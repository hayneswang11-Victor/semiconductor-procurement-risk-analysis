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50069492d54f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1527aa01ee3c40bc"/>
    <x:sheet xmlns:r="http://schemas.openxmlformats.org/officeDocument/2006/relationships" name="01_Assumptions" sheetId="2" r:id="R4407345a13694e7d"/>
    <x:sheet xmlns:r="http://schemas.openxmlformats.org/officeDocument/2006/relationships" name="02_Supplier_Master" sheetId="3" r:id="R648fbb5981064b12"/>
    <x:sheet xmlns:r="http://schemas.openxmlformats.org/officeDocument/2006/relationships" name="03_Demand_Forecast" sheetId="4" r:id="R2551d3ebc2bf4fc4"/>
    <x:sheet xmlns:r="http://schemas.openxmlformats.org/officeDocument/2006/relationships" name="04_Cost_Risk_Model" sheetId="5" r:id="Rbb09868ec4f94824"/>
    <x:sheet xmlns:r="http://schemas.openxmlformats.org/officeDocument/2006/relationships" name="05_Material_Summary" sheetId="6" r:id="R9fd5cb68d419460d"/>
    <x:sheet xmlns:r="http://schemas.openxmlformats.org/officeDocument/2006/relationships" name="06_Scenario_Analysis" sheetId="7" r:id="Rd0fa69cee6c74e1e"/>
    <x:sheet xmlns:r="http://schemas.openxmlformats.org/officeDocument/2006/relationships" name="07_Monte_Carlo" sheetId="8" r:id="R44fde076aab6487a"/>
    <x:sheet xmlns:r="http://schemas.openxmlformats.org/officeDocument/2006/relationships" name="08_EDA_IP_Extension" sheetId="9" r:id="Ree424577ae224eac"/>
    <x:sheet xmlns:r="http://schemas.openxmlformats.org/officeDocument/2006/relationships" name="09_Dashboard" sheetId="10" r:id="R4de455192f0e4d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0x"/>
    <x:numFmt numFmtId="201" formatCode="0.0000"/>
    <x:numFmt numFmtId="202" formatCode="0.0%"/>
    <x:numFmt numFmtId="203" formatCode="#,##0.0000"/>
    <x:numFmt numFmtId="204" formatCode="#,##0"/>
    <x:numFmt numFmtId="205" formatCode="#,##0.00"/>
    <x:numFmt numFmtId="206" formatCode="0.0"/>
    <x:numFmt numFmtId="207" formatCode="0.000"/>
  </x:numFmts>
  <x:fonts count="13">
    <x:font>
      <x:sz val="11"/>
      <x:name val="Carlito"/>
    </x:font>
    <x:font>
      <x:b/>
      <x:sz val="16"/>
      <x:color rgb="FFFFFFFF"/>
      <x:name val="Carlito"/>
    </x:font>
    <x:font>
      <x:sz val="9"/>
      <x:color rgb="FF1F2937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color rgb="FF8B2E2E"/>
      <x:name val="Carlito"/>
    </x:font>
    <x:font>
      <x:b/>
      <x:sz val="10"/>
      <x:color rgb="FF1F2937"/>
      <x:name val="Aptos"/>
    </x:font>
    <x:font>
      <x:sz val="10"/>
      <x:color rgb="FF1F2937"/>
      <x:name val="Aptos"/>
    </x:font>
    <x:font>
      <x:b/>
      <x:sz val="16"/>
      <x:color rgb="FFFFFFFF"/>
      <x:name val="Aptos Display"/>
    </x:font>
    <x:font>
      <x:b/>
      <x:sz val="11"/>
      <x:color rgb="FF1F2937"/>
      <x:name val="Carlito"/>
    </x:font>
    <x:font>
      <x:sz val="11"/>
      <x:color rgb="FF1F2937"/>
      <x:name val="Carlito"/>
    </x:font>
    <x:font>
      <x:b/>
      <x:sz val="10"/>
      <x:color rgb="FFFFFFFF"/>
      <x:name val="Carlito"/>
    </x:font>
    <x:font>
      <x:b/>
      <x:sz val="10"/>
      <x:color rgb="FFFFFFFF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5F7"/>
      </x:patternFill>
    </x:fill>
    <x:fill>
      <x:patternFill patternType="solid">
        <x:fgColor rgb="FF1F6D7A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2E75B6"/>
      </x:patternFill>
    </x:fill>
    <x:fill>
      <x:patternFill patternType="solid">
        <x:fgColor rgb="FFEEF5FA"/>
      </x:patternFill>
    </x:fill>
  </x:fills>
  <x:borders count="2">
    <x:border/>
    <x:border/>
  </x:borders>
  <x:cellStyleXfs count="1">
    <x:xf numFmtId="0" fontId="0" fillId="0" borderId="0"/>
  </x:cellStyleXfs>
  <x:cellXfs count="2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6" fillId="2" borderId="0" xfId="0" applyNumberFormat="1" applyFont="1" applyFill="1" applyBorder="1" applyAlignment="1">
      <x:alignment horizontal="left" vertical="center"/>
    </x:xf>
    <x:xf numFmtId="0" fontId="7" fillId="3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6" fillId="4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/>
    <x:xf numFmtId="0" fontId="7" fillId="7" borderId="0" xfId="0" applyNumberFormat="1" applyFont="1" applyFill="1" applyBorder="1"/>
    <x:xf numFmtId="0" fontId="7" fillId="8" borderId="0" xfId="0" applyNumberFormat="1" applyFont="1" applyFill="1" applyBorder="1"/>
    <x:xf numFmtId="0" fontId="7" fillId="5" borderId="0" xfId="0" applyNumberFormat="1" applyFont="1" applyFill="1" applyBorder="1"/>
    <x:xf numFmtId="0" fontId="6" fillId="2" borderId="1" xfId="0" applyNumberFormat="1" applyFont="1" applyFill="1" applyBorder="1" applyAlignment="1">
      <x:alignment horizontal="left" vertical="center"/>
    </x:xf>
    <x:xf numFmtId="0" fontId="7" fillId="3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/>
    <x:xf numFmtId="0" fontId="6" fillId="4" borderId="1" xfId="0" applyNumberFormat="1" applyFont="1" applyFill="1" applyBorder="1" applyAlignment="1">
      <x:alignment horizontal="left" vertical="center"/>
    </x:xf>
    <x:xf numFmtId="0" fontId="6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/>
    <x:xf numFmtId="0" fontId="7" fillId="7" borderId="1" xfId="0" applyNumberFormat="1" applyFont="1" applyFill="1" applyBorder="1"/>
    <x:xf numFmtId="0" fontId="7" fillId="8" borderId="1" xfId="0" applyNumberFormat="1" applyFont="1" applyFill="1" applyBorder="1"/>
    <x:xf numFmtId="0" fontId="7" fillId="5" borderId="1" xfId="0" applyNumberFormat="1" applyFont="1" applyFill="1" applyBorder="1"/>
    <x:xf numFmtId="0" fontId="8" fillId="2" borderId="0" xfId="0" applyNumberFormat="1" applyFont="1" applyFill="1" applyBorder="1" applyAlignment="1">
      <x:alignment horizontal="left" vertical="center"/>
    </x:xf>
    <x:xf numFmtId="0" fontId="8" fillId="2" borderId="1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horizontal="left"/>
    </x:xf>
    <x:xf numFmtId="0" fontId="10" fillId="6" borderId="0" xfId="0" applyNumberFormat="1" applyFont="1" applyFill="1" applyBorder="1" applyAlignment="1">
      <x:alignment horizontal="left" vertical="center"/>
    </x:xf>
    <x:xf numFmtId="0" fontId="10" fillId="6" borderId="1" xfId="0" applyNumberFormat="1" applyFont="1" applyFill="1" applyBorder="1"/>
    <x:xf numFmtId="0" fontId="10" fillId="6" borderId="1" xfId="0" applyNumberFormat="1" applyFont="1" applyFill="1" applyBorder="1" applyAlignment="1">
      <x:alignment horizontal="left"/>
    </x:xf>
    <x:xf numFmtId="0" fontId="10" fillId="6" borderId="1" xfId="0" applyNumberFormat="1" applyFont="1" applyFill="1" applyBorder="1" applyAlignment="1">
      <x:alignment horizontal="left" vertical="center"/>
    </x:xf>
    <x:xf numFmtId="0" fontId="0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0" xfId="0" applyNumberFormat="1" applyFont="1" applyFill="1" applyBorder="1" applyAlignment="1">
      <x:alignment wrapText="1"/>
    </x:xf>
    <x:xf numFmtId="0" fontId="11" fillId="9" borderId="0" xfId="0" applyNumberFormat="1" applyFont="1" applyFill="1" applyBorder="1" applyAlignment="1">
      <x:alignment horizontal="center" wrapText="1"/>
    </x:xf>
    <x:xf numFmtId="0" fontId="11" fillId="9" borderId="0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/>
    <x:xf numFmtId="0" fontId="11" fillId="9" borderId="1" xfId="0" applyNumberFormat="1" applyFont="1" applyFill="1" applyBorder="1"/>
    <x:xf numFmtId="0" fontId="11" fillId="9" borderId="1" xfId="0" applyNumberFormat="1" applyFont="1" applyFill="1" applyBorder="1" applyAlignment="1">
      <x:alignment wrapText="1"/>
    </x:xf>
    <x:xf numFmtId="0" fontId="11" fillId="9" borderId="1" xfId="0" applyNumberFormat="1" applyFont="1" applyFill="1" applyBorder="1" applyAlignment="1">
      <x:alignment horizontal="center" wrapText="1"/>
    </x:xf>
    <x:xf numFmtId="0" fontId="11" fillId="9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10" borderId="0" xfId="0" applyNumberFormat="1" applyFont="1" applyFill="1" applyBorder="1"/>
    <x:xf numFmtId="200" fontId="0" fillId="10" borderId="1" xfId="0" applyNumberFormat="1" applyFont="1" applyFill="1" applyBorder="1"/>
    <x:xf numFmtId="201" fontId="10" fillId="6" borderId="0" xfId="0" applyNumberFormat="1" applyFont="1" applyFill="1" applyBorder="1" applyAlignment="1">
      <x:alignment horizontal="left" vertical="center"/>
    </x:xf>
    <x:xf numFmtId="201" fontId="10" fillId="6" borderId="1" xfId="0" applyNumberFormat="1" applyFont="1" applyFill="1" applyBorder="1" applyAlignment="1">
      <x:alignment horizontal="left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6" borderId="0" xfId="0" applyNumberFormat="1" applyFont="1" applyFill="1" applyBorder="1"/>
    <x:xf numFmtId="202" fontId="0" fillId="6" borderId="1" xfId="0" applyNumberFormat="1" applyFont="1" applyFill="1" applyBorder="1"/>
    <x:xf numFmtId="203" fontId="0" fillId="6" borderId="0" xfId="0" applyNumberFormat="1" applyFont="1" applyFill="1" applyBorder="1"/>
    <x:xf numFmtId="203" fontId="0" fillId="6" borderId="1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202" fontId="0" fillId="6" borderId="0" xfId="0" applyNumberFormat="1" applyFont="1" applyFill="1" applyBorder="1" applyAlignment="1">
      <x:alignment wrapText="1"/>
    </x:xf>
    <x:xf numFmtId="203" fontId="0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1" xfId="0" applyNumberFormat="1" applyFont="1" applyFill="1" applyBorder="1" applyAlignment="1">
      <x:alignment wrapText="1"/>
    </x:xf>
    <x:xf numFmtId="202" fontId="0" fillId="6" borderId="1" xfId="0" applyNumberFormat="1" applyFont="1" applyFill="1" applyBorder="1" applyAlignment="1">
      <x:alignment wrapText="1"/>
    </x:xf>
    <x:xf numFmtId="203" fontId="0" fillId="6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0" fillId="6" borderId="0" xfId="0" applyNumberFormat="1" applyFont="1" applyFill="1" applyBorder="1"/>
    <x:xf numFmtId="204" fontId="0" fillId="0" borderId="0" xfId="0" applyNumberFormat="1" applyFont="1" applyFill="1" applyBorder="1"/>
    <x:xf numFmtId="204" fontId="0" fillId="6" borderId="1" xfId="0" applyNumberFormat="1" applyFont="1" applyFill="1" applyBorder="1"/>
    <x:xf numFmtId="204" fontId="0" fillId="0" borderId="1" xfId="0" applyNumberFormat="1" applyFont="1" applyFill="1" applyBorder="1"/>
    <x:xf numFmtId="0" fontId="0" fillId="10" borderId="0" xfId="0" applyNumberFormat="1" applyFont="1" applyFill="1" applyBorder="1"/>
    <x:xf numFmtId="0" fontId="0" fillId="10" borderId="1" xfId="0" applyNumberFormat="1" applyFont="1" applyFill="1" applyBorder="1"/>
    <x:xf numFmtId="202" fontId="0" fillId="10" borderId="0" xfId="0" applyNumberFormat="1" applyFont="1" applyFill="1" applyBorder="1"/>
    <x:xf numFmtId="202" fontId="0" fillId="10" borderId="1" xfId="0" applyNumberFormat="1" applyFont="1" applyFill="1" applyBorder="1"/>
    <x:xf numFmtId="205" fontId="0" fillId="10" borderId="0" xfId="0" applyNumberFormat="1" applyFont="1" applyFill="1" applyBorder="1"/>
    <x:xf numFmtId="205" fontId="0" fillId="10" borderId="1" xfId="0" applyNumberFormat="1" applyFont="1" applyFill="1" applyBorder="1"/>
    <x:xf numFmtId="204" fontId="0" fillId="10" borderId="0" xfId="0" applyNumberFormat="1" applyFont="1" applyFill="1" applyBorder="1"/>
    <x:xf numFmtId="204" fontId="0" fillId="10" borderId="1" xfId="0" applyNumberFormat="1" applyFont="1" applyFill="1" applyBorder="1"/>
    <x:xf numFmtId="206" fontId="0" fillId="10" borderId="0" xfId="0" applyNumberFormat="1" applyFont="1" applyFill="1" applyBorder="1"/>
    <x:xf numFmtId="206" fontId="0" fillId="10" borderId="1" xfId="0" applyNumberFormat="1" applyFont="1" applyFill="1" applyBorder="1"/>
    <x:xf numFmtId="207" fontId="0" fillId="10" borderId="0" xfId="0" applyNumberFormat="1" applyFont="1" applyFill="1" applyBorder="1"/>
    <x:xf numFmtId="207" fontId="0" fillId="1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7" fontId="0" fillId="0" borderId="0" xfId="0" applyNumberFormat="1" applyFont="1" applyFill="1" applyBorder="1"/>
    <x:xf numFmtId="207" fontId="0" fillId="0" borderId="1" xfId="0" applyNumberFormat="1" applyFont="1" applyFill="1" applyBorder="1"/>
    <x:xf numFmtId="0" fontId="9" fillId="10" borderId="0" xfId="0" applyNumberFormat="1" applyFont="1" applyFill="1" applyBorder="1"/>
    <x:xf numFmtId="0" fontId="9" fillId="10" borderId="1" xfId="0" applyNumberFormat="1" applyFont="1" applyFill="1" applyBorder="1"/>
    <x:xf numFmtId="0" fontId="6" fillId="2" borderId="0" xfId="0" applyNumberFormat="1" applyFont="1" applyFill="1" applyBorder="1" applyAlignment="1">
      <x:alignment horizontal="left" vertical="center" wrapText="1"/>
    </x:xf>
    <x:xf numFmtId="0" fontId="6" fillId="4" borderId="0" xfId="0" applyNumberFormat="1" applyFont="1" applyFill="1" applyBorder="1" applyAlignment="1">
      <x:alignment horizontal="left" vertical="center" wrapText="1"/>
    </x:xf>
    <x:xf numFmtId="0" fontId="7" fillId="6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horizontal="left" vertical="center" wrapText="1"/>
    </x:xf>
    <x:xf numFmtId="0" fontId="6" fillId="4" borderId="1" xfId="0" applyNumberFormat="1" applyFont="1" applyFill="1" applyBorder="1" applyAlignment="1">
      <x:alignment horizontal="left" vertical="center" wrapText="1"/>
    </x:xf>
    <x:xf numFmtId="0" fontId="7" fillId="6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wrapText="1"/>
    </x:xf>
    <x:xf numFmtId="0" fontId="7" fillId="8" borderId="1" xfId="0" applyNumberFormat="1" applyFont="1" applyFill="1" applyBorder="1" applyAlignment="1">
      <x:alignment wrapText="1"/>
    </x:xf>
    <x:xf numFmtId="0" fontId="7" fillId="5" borderId="1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7" fillId="6" borderId="0" xfId="0" applyNumberFormat="1" applyFont="1" applyFill="1" applyBorder="1" applyAlignment="1">
      <x:alignment horizontal="left" vertical="center"/>
    </x:xf>
    <x:xf numFmtId="200" fontId="7" fillId="0" borderId="0" xfId="0" applyNumberFormat="1" applyFont="1" applyFill="1" applyBorder="1"/>
    <x:xf numFmtId="200" fontId="7" fillId="10" borderId="0" xfId="0" applyNumberFormat="1" applyFont="1" applyFill="1" applyBorder="1"/>
    <x:xf numFmtId="201" fontId="7" fillId="6" borderId="0" xfId="0" applyNumberFormat="1" applyFont="1" applyFill="1" applyBorder="1" applyAlignment="1">
      <x:alignment horizontal="left" vertical="center"/>
    </x:xf>
    <x:xf numFmtId="0" fontId="6" fillId="9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/>
    <x:xf numFmtId="0" fontId="7" fillId="6" borderId="1" xfId="0" applyNumberFormat="1" applyFont="1" applyFill="1" applyBorder="1" applyAlignment="1">
      <x:alignment horizontal="left" vertical="center"/>
    </x:xf>
    <x:xf numFmtId="200" fontId="7" fillId="0" borderId="1" xfId="0" applyNumberFormat="1" applyFont="1" applyFill="1" applyBorder="1"/>
    <x:xf numFmtId="200" fontId="7" fillId="10" borderId="1" xfId="0" applyNumberFormat="1" applyFont="1" applyFill="1" applyBorder="1"/>
    <x:xf numFmtId="201" fontId="7" fillId="6" borderId="1" xfId="0" applyNumberFormat="1" applyFont="1" applyFill="1" applyBorder="1" applyAlignment="1">
      <x:alignment horizontal="left" vertical="center"/>
    </x:xf>
    <x:xf numFmtId="0" fontId="7" fillId="6" borderId="0" xfId="0" applyNumberFormat="1" applyFont="1" applyFill="1" applyBorder="1" applyAlignment="1">
      <x:alignment horizontal="left" vertical="center" wrapText="1"/>
    </x:xf>
    <x:xf numFmtId="200" fontId="7" fillId="0" borderId="0" xfId="0" applyNumberFormat="1" applyFont="1" applyFill="1" applyBorder="1" applyAlignment="1">
      <x:alignment wrapText="1"/>
    </x:xf>
    <x:xf numFmtId="200" fontId="7" fillId="10" borderId="0" xfId="0" applyNumberFormat="1" applyFont="1" applyFill="1" applyBorder="1" applyAlignment="1">
      <x:alignment wrapText="1"/>
    </x:xf>
    <x:xf numFmtId="201" fontId="7" fillId="6" borderId="0" xfId="0" applyNumberFormat="1" applyFont="1" applyFill="1" applyBorder="1" applyAlignment="1">
      <x:alignment horizontal="left" vertical="center" wrapText="1"/>
    </x:xf>
    <x:xf numFmtId="0" fontId="7" fillId="6" borderId="1" xfId="0" applyNumberFormat="1" applyFont="1" applyFill="1" applyBorder="1" applyAlignment="1">
      <x:alignment horizontal="left" vertical="center" wrapText="1"/>
    </x:xf>
    <x:xf numFmtId="200" fontId="7" fillId="0" borderId="1" xfId="0" applyNumberFormat="1" applyFont="1" applyFill="1" applyBorder="1" applyAlignment="1">
      <x:alignment wrapText="1"/>
    </x:xf>
    <x:xf numFmtId="200" fontId="7" fillId="10" borderId="1" xfId="0" applyNumberFormat="1" applyFont="1" applyFill="1" applyBorder="1" applyAlignment="1">
      <x:alignment wrapText="1"/>
    </x:xf>
    <x:xf numFmtId="201" fontId="7" fillId="6" borderId="1" xfId="0" applyNumberFormat="1" applyFont="1" applyFill="1" applyBorder="1" applyAlignment="1">
      <x:alignment horizontal="left" vertical="center" wrapText="1"/>
    </x:xf>
    <x:xf numFmtId="202" fontId="7" fillId="6" borderId="0" xfId="0" applyNumberFormat="1" applyFont="1" applyFill="1" applyBorder="1" applyAlignment="1">
      <x:alignment wrapText="1"/>
    </x:xf>
    <x:xf numFmtId="203" fontId="7" fillId="6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7" fillId="6" borderId="1" xfId="0" applyNumberFormat="1" applyFont="1" applyFill="1" applyBorder="1" applyAlignment="1">
      <x:alignment wrapText="1"/>
    </x:xf>
    <x:xf numFmtId="203" fontId="7" fillId="6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7" fillId="6" borderId="0" xfId="0" applyNumberFormat="1" applyFont="1" applyFill="1" applyBorder="1"/>
    <x:xf numFmtId="204" fontId="7" fillId="0" borderId="0" xfId="0" applyNumberFormat="1" applyFont="1" applyFill="1" applyBorder="1"/>
    <x:xf numFmtId="204" fontId="7" fillId="6" borderId="1" xfId="0" applyNumberFormat="1" applyFont="1" applyFill="1" applyBorder="1"/>
    <x:xf numFmtId="204" fontId="7" fillId="0" borderId="1" xfId="0" applyNumberFormat="1" applyFont="1" applyFill="1" applyBorder="1"/>
    <x:xf numFmtId="204" fontId="7" fillId="6" borderId="0" xfId="0" applyNumberFormat="1" applyFont="1" applyFill="1" applyBorder="1" applyAlignment="1">
      <x:alignment wrapText="1"/>
    </x:xf>
    <x:xf numFmtId="204" fontId="7" fillId="0" borderId="0" xfId="0" applyNumberFormat="1" applyFont="1" applyFill="1" applyBorder="1" applyAlignment="1">
      <x:alignment wrapText="1"/>
    </x:xf>
    <x:xf numFmtId="204" fontId="7" fillId="6" borderId="1" xfId="0" applyNumberFormat="1" applyFont="1" applyFill="1" applyBorder="1" applyAlignment="1">
      <x:alignment wrapText="1"/>
    </x:xf>
    <x:xf numFmtId="204" fontId="7" fillId="0" borderId="1" xfId="0" applyNumberFormat="1" applyFont="1" applyFill="1" applyBorder="1" applyAlignment="1">
      <x:alignment wrapText="1"/>
    </x:xf>
    <x:xf numFmtId="202" fontId="7" fillId="6" borderId="0" xfId="0" applyNumberFormat="1" applyFont="1" applyFill="1" applyBorder="1"/>
    <x:xf numFmtId="205" fontId="7" fillId="10" borderId="0" xfId="0" applyNumberFormat="1" applyFont="1" applyFill="1" applyBorder="1"/>
    <x:xf numFmtId="204" fontId="7" fillId="10" borderId="0" xfId="0" applyNumberFormat="1" applyFont="1" applyFill="1" applyBorder="1"/>
    <x:xf numFmtId="0" fontId="7" fillId="10" borderId="0" xfId="0" applyNumberFormat="1" applyFont="1" applyFill="1" applyBorder="1"/>
    <x:xf numFmtId="202" fontId="7" fillId="10" borderId="0" xfId="0" applyNumberFormat="1" applyFont="1" applyFill="1" applyBorder="1"/>
    <x:xf numFmtId="206" fontId="7" fillId="10" borderId="0" xfId="0" applyNumberFormat="1" applyFont="1" applyFill="1" applyBorder="1"/>
    <x:xf numFmtId="207" fontId="7" fillId="10" borderId="0" xfId="0" applyNumberFormat="1" applyFont="1" applyFill="1" applyBorder="1"/>
    <x:xf numFmtId="0" fontId="7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7" fillId="6" borderId="1" xfId="0" applyNumberFormat="1" applyFont="1" applyFill="1" applyBorder="1"/>
    <x:xf numFmtId="205" fontId="7" fillId="10" borderId="1" xfId="0" applyNumberFormat="1" applyFont="1" applyFill="1" applyBorder="1"/>
    <x:xf numFmtId="204" fontId="7" fillId="10" borderId="1" xfId="0" applyNumberFormat="1" applyFont="1" applyFill="1" applyBorder="1"/>
    <x:xf numFmtId="0" fontId="7" fillId="10" borderId="1" xfId="0" applyNumberFormat="1" applyFont="1" applyFill="1" applyBorder="1"/>
    <x:xf numFmtId="202" fontId="7" fillId="10" borderId="1" xfId="0" applyNumberFormat="1" applyFont="1" applyFill="1" applyBorder="1"/>
    <x:xf numFmtId="206" fontId="7" fillId="10" borderId="1" xfId="0" applyNumberFormat="1" applyFont="1" applyFill="1" applyBorder="1"/>
    <x:xf numFmtId="207" fontId="7" fillId="10" borderId="1" xfId="0" applyNumberFormat="1" applyFont="1" applyFill="1" applyBorder="1"/>
    <x:xf numFmtId="0" fontId="7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7" fillId="10" borderId="0" xfId="0" applyNumberFormat="1" applyFont="1" applyFill="1" applyBorder="1" applyAlignment="1">
      <x:alignment wrapText="1"/>
    </x:xf>
    <x:xf numFmtId="204" fontId="7" fillId="10" borderId="0" xfId="0" applyNumberFormat="1" applyFont="1" applyFill="1" applyBorder="1" applyAlignment="1">
      <x:alignment wrapText="1"/>
    </x:xf>
    <x:xf numFmtId="0" fontId="7" fillId="10" borderId="0" xfId="0" applyNumberFormat="1" applyFont="1" applyFill="1" applyBorder="1" applyAlignment="1">
      <x:alignment wrapText="1"/>
    </x:xf>
    <x:xf numFmtId="202" fontId="7" fillId="10" borderId="0" xfId="0" applyNumberFormat="1" applyFont="1" applyFill="1" applyBorder="1" applyAlignment="1">
      <x:alignment wrapText="1"/>
    </x:xf>
    <x:xf numFmtId="206" fontId="7" fillId="10" borderId="0" xfId="0" applyNumberFormat="1" applyFont="1" applyFill="1" applyBorder="1" applyAlignment="1">
      <x:alignment wrapText="1"/>
    </x:xf>
    <x:xf numFmtId="207" fontId="7" fillId="10" borderId="0" xfId="0" applyNumberFormat="1" applyFont="1" applyFill="1" applyBorder="1" applyAlignment="1">
      <x:alignment wrapText="1"/>
    </x:xf>
    <x:xf numFmtId="205" fontId="7" fillId="10" borderId="1" xfId="0" applyNumberFormat="1" applyFont="1" applyFill="1" applyBorder="1" applyAlignment="1">
      <x:alignment wrapText="1"/>
    </x:xf>
    <x:xf numFmtId="204" fontId="7" fillId="10" borderId="1" xfId="0" applyNumberFormat="1" applyFont="1" applyFill="1" applyBorder="1" applyAlignment="1">
      <x:alignment wrapText="1"/>
    </x:xf>
    <x:xf numFmtId="0" fontId="7" fillId="10" borderId="1" xfId="0" applyNumberFormat="1" applyFont="1" applyFill="1" applyBorder="1" applyAlignment="1">
      <x:alignment wrapText="1"/>
    </x:xf>
    <x:xf numFmtId="202" fontId="7" fillId="10" borderId="1" xfId="0" applyNumberFormat="1" applyFont="1" applyFill="1" applyBorder="1" applyAlignment="1">
      <x:alignment wrapText="1"/>
    </x:xf>
    <x:xf numFmtId="206" fontId="7" fillId="10" borderId="1" xfId="0" applyNumberFormat="1" applyFont="1" applyFill="1" applyBorder="1" applyAlignment="1">
      <x:alignment wrapText="1"/>
    </x:xf>
    <x:xf numFmtId="207" fontId="7" fillId="10" borderId="1" xfId="0" applyNumberFormat="1" applyFont="1" applyFill="1" applyBorder="1" applyAlignment="1">
      <x:alignment wrapText="1"/>
    </x:xf>
    <x:xf numFmtId="202" fontId="7" fillId="0" borderId="0" xfId="0" applyNumberFormat="1" applyFont="1" applyFill="1" applyBorder="1"/>
    <x:xf numFmtId="205" fontId="7" fillId="0" borderId="0" xfId="0" applyNumberFormat="1" applyFont="1" applyFill="1" applyBorder="1"/>
    <x:xf numFmtId="206" fontId="7" fillId="0" borderId="0" xfId="0" applyNumberFormat="1" applyFont="1" applyFill="1" applyBorder="1"/>
    <x:xf numFmtId="207" fontId="7" fillId="0" borderId="0" xfId="0" applyNumberFormat="1" applyFont="1" applyFill="1" applyBorder="1"/>
    <x:xf numFmtId="202" fontId="7" fillId="0" borderId="1" xfId="0" applyNumberFormat="1" applyFont="1" applyFill="1" applyBorder="1"/>
    <x:xf numFmtId="205" fontId="7" fillId="0" borderId="1" xfId="0" applyNumberFormat="1" applyFont="1" applyFill="1" applyBorder="1"/>
    <x:xf numFmtId="206" fontId="7" fillId="0" borderId="1" xfId="0" applyNumberFormat="1" applyFont="1" applyFill="1" applyBorder="1"/>
    <x:xf numFmtId="207" fontId="7" fillId="0" borderId="1" xfId="0" applyNumberFormat="1" applyFont="1" applyFill="1" applyBorder="1"/>
    <x:xf numFmtId="202" fontId="7" fillId="0" borderId="0" xfId="0" applyNumberFormat="1" applyFont="1" applyFill="1" applyBorder="1" applyAlignment="1">
      <x:alignment wrapText="1"/>
    </x:xf>
    <x:xf numFmtId="205" fontId="7" fillId="0" borderId="0" xfId="0" applyNumberFormat="1" applyFont="1" applyFill="1" applyBorder="1" applyAlignment="1">
      <x:alignment wrapText="1"/>
    </x:xf>
    <x:xf numFmtId="206" fontId="7" fillId="0" borderId="0" xfId="0" applyNumberFormat="1" applyFont="1" applyFill="1" applyBorder="1" applyAlignment="1">
      <x:alignment wrapText="1"/>
    </x:xf>
    <x:xf numFmtId="207" fontId="7" fillId="0" borderId="0" xfId="0" applyNumberFormat="1" applyFont="1" applyFill="1" applyBorder="1" applyAlignment="1">
      <x:alignment wrapText="1"/>
    </x:xf>
    <x:xf numFmtId="202" fontId="7" fillId="0" borderId="1" xfId="0" applyNumberFormat="1" applyFont="1" applyFill="1" applyBorder="1" applyAlignment="1">
      <x:alignment wrapText="1"/>
    </x:xf>
    <x:xf numFmtId="205" fontId="7" fillId="0" borderId="1" xfId="0" applyNumberFormat="1" applyFont="1" applyFill="1" applyBorder="1" applyAlignment="1">
      <x:alignment wrapText="1"/>
    </x:xf>
    <x:xf numFmtId="206" fontId="7" fillId="0" borderId="1" xfId="0" applyNumberFormat="1" applyFont="1" applyFill="1" applyBorder="1" applyAlignment="1">
      <x:alignment wrapText="1"/>
    </x:xf>
    <x:xf numFmtId="207" fontId="7" fillId="0" borderId="1" xfId="0" applyNumberFormat="1" applyFont="1" applyFill="1" applyBorder="1" applyAlignment="1">
      <x:alignment wrapText="1"/>
    </x:xf>
    <x:xf numFmtId="0" fontId="6" fillId="10" borderId="0" xfId="0" applyNumberFormat="1" applyFont="1" applyFill="1" applyBorder="1"/>
    <x:xf numFmtId="0" fontId="6" fillId="10" borderId="1" xfId="0" applyNumberFormat="1" applyFont="1" applyFill="1" applyBorder="1"/>
    <x:xf numFmtId="0" fontId="6" fillId="10" borderId="0" xfId="0" applyNumberFormat="1" applyFont="1" applyFill="1" applyBorder="1" applyAlignment="1">
      <x:alignment wrapText="1"/>
    </x:xf>
    <x:xf numFmtId="0" fontId="6" fillId="10" borderId="1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left" vertical="center" wrapText="1"/>
    </x:xf>
    <x:xf numFmtId="0" fontId="8" fillId="2" borderId="1" xfId="0" applyNumberFormat="1" applyFont="1" applyFill="1" applyBorder="1" applyAlignment="1">
      <x:alignment horizontal="left" vertical="center" wrapText="1"/>
    </x:xf>
    <x:xf numFmtId="0" fontId="7" fillId="9" borderId="0" xfId="0" applyNumberFormat="1" applyFont="1" applyFill="1" applyBorder="1" applyAlignment="1">
      <x:alignment wrapText="1"/>
    </x:xf>
    <x:xf numFmtId="0" fontId="12" fillId="9" borderId="0" xfId="0" applyNumberFormat="1" applyFont="1" applyFill="1" applyBorder="1" applyAlignment="1">
      <x:alignment wrapText="1"/>
    </x:xf>
    <x:xf numFmtId="0" fontId="12" fillId="9" borderId="0" xfId="0" applyNumberFormat="1" applyFont="1" applyFill="1" applyBorder="1" applyAlignment="1">
      <x:alignment horizontal="center" wrapText="1"/>
    </x:xf>
    <x:xf numFmtId="0" fontId="12" fillId="9" borderId="0" xfId="0" applyNumberFormat="1" applyFont="1" applyFill="1" applyBorder="1" applyAlignment="1">
      <x:alignment horizontal="center" vertical="center" wrapText="1"/>
    </x:xf>
    <x:xf numFmtId="0" fontId="7" fillId="9" borderId="1" xfId="0" applyNumberFormat="1" applyFont="1" applyFill="1" applyBorder="1" applyAlignment="1">
      <x:alignment wrapText="1"/>
    </x:xf>
    <x:xf numFmtId="0" fontId="12" fillId="9" borderId="1" xfId="0" applyNumberFormat="1" applyFont="1" applyFill="1" applyBorder="1" applyAlignment="1">
      <x:alignment wrapText="1"/>
    </x:xf>
    <x:xf numFmtId="0" fontId="12" fillId="9" borderId="1" xfId="0" applyNumberFormat="1" applyFont="1" applyFill="1" applyBorder="1" applyAlignment="1">
      <x:alignment horizontal="center" wrapText="1"/>
    </x:xf>
    <x:xf numFmtId="0" fontId="12" fillId="9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color rgb="FF9C0006"/>
      </x:font>
      <x:fill>
        <x:patternFill>
          <x:bgColor rgb="FFF4CCCC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4CCCC"/>
        </x:patternFill>
      </x:fill>
    </x:dxf>
    <x:dxf>
      <x:font>
        <x:color rgb="FF006100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9d3676d91d4906" /><Relationship Type="http://schemas.openxmlformats.org/officeDocument/2006/relationships/theme" Target="/xl/theme/theme1.xml" Id="R7d4810bbb0844cde" /><Relationship Type="http://schemas.microsoft.com/office/2022/11/relationships/FeaturePropertyBag" Target="/xl/featurePropertyBag/featurePropertyBag.xml" Id="Rd6eb5703a8fb4367" /><Relationship Type="http://schemas.openxmlformats.org/officeDocument/2006/relationships/sharedStrings" Target="/xl/sharedStrings.xml" Id="R8dffabf76b304e9d" /><Relationship Type="http://schemas.openxmlformats.org/officeDocument/2006/relationships/worksheet" Target="/xl/worksheets/sheet1.xml" Id="R1527aa01ee3c40bc" /><Relationship Type="http://schemas.openxmlformats.org/officeDocument/2006/relationships/worksheet" Target="/xl/worksheets/sheet2.xml" Id="R4407345a13694e7d" /><Relationship Type="http://schemas.openxmlformats.org/officeDocument/2006/relationships/worksheet" Target="/xl/worksheets/sheet3.xml" Id="R648fbb5981064b12" /><Relationship Type="http://schemas.openxmlformats.org/officeDocument/2006/relationships/worksheet" Target="/xl/worksheets/sheet4.xml" Id="R2551d3ebc2bf4fc4" /><Relationship Type="http://schemas.openxmlformats.org/officeDocument/2006/relationships/worksheet" Target="/xl/worksheets/sheet5.xml" Id="Rbb09868ec4f94824" /><Relationship Type="http://schemas.openxmlformats.org/officeDocument/2006/relationships/worksheet" Target="/xl/worksheets/sheet6.xml" Id="R9fd5cb68d419460d" /><Relationship Type="http://schemas.openxmlformats.org/officeDocument/2006/relationships/worksheet" Target="/xl/worksheets/sheet7.xml" Id="Rd0fa69cee6c74e1e" /><Relationship Type="http://schemas.openxmlformats.org/officeDocument/2006/relationships/worksheet" Target="/xl/worksheets/sheet8.xml" Id="R44fde076aab6487a" /><Relationship Type="http://schemas.openxmlformats.org/officeDocument/2006/relationships/worksheet" Target="/xl/worksheets/sheet9.xml" Id="Ree424577ae224eac" /><Relationship Type="http://schemas.openxmlformats.org/officeDocument/2006/relationships/worksheet" Target="/xl/worksheets/sheet10.xml" Id="R4de455192f0e4df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6c49e37a10d4d58" /><Relationship Type="http://schemas.openxmlformats.org/officeDocument/2006/relationships/chart" Target="/xl/drawings/charts/chart2.xml" Id="R43e2c577453748d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671479288af34c1d" /><Relationship Type="http://schemas.openxmlformats.org/officeDocument/2006/relationships/chart" Target="/xl/drawings/charts/chart4.xml" Id="Re110326c9a5f450f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fa644dc5cd844db7" /><Relationship Type="http://schemas.openxmlformats.org/officeDocument/2006/relationships/chart" Target="/xl/drawings/charts/chart6.xml" Id="Rbf0467d65c35498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不同情景下的年度采购成本（百万元）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Lowest Cost</c:v>
          </c:tx>
          <c:cat>
            <c:strRef>
              <c:f>'06_Scenario_Analysis'!$K$6:$K$10</c:f>
              <c:strCache>
                <c:ptCount val="0"/>
              </c:strCache>
            </c:strRef>
          </c:cat>
          <c:val>
            <c:numRef>
              <c:f>'06_Scenario_Analysis'!$L$6:$L$10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Balanced</c:v>
          </c:tx>
          <c:cat>
            <c:strRef>
              <c:f>'06_Scenario_Analysis'!$K$6:$K$10</c:f>
              <c:strCache>
                <c:ptCount val="0"/>
              </c:strCache>
            </c:strRef>
          </c:cat>
          <c:val>
            <c:numRef>
              <c:f>'06_Scenario_Analysis'!$M$6:$M$10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Resilience</c:v>
          </c:tx>
          <c:cat>
            <c:strRef>
              <c:f>'06_Scenario_Analysis'!$K$6:$K$10</c:f>
              <c:strCache>
                <c:ptCount val="0"/>
              </c:strCache>
            </c:strRef>
          </c:cat>
          <c:val>
            <c:numRef>
              <c:f>'06_Scenario_Analysis'!$N$6:$N$10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不同情景下的成本加权供应风险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Lowest Cost</c:v>
          </c:tx>
          <c:cat>
            <c:strRef>
              <c:f>'06_Scenario_Analysis'!$K$13:$K$17</c:f>
              <c:strCache>
                <c:ptCount val="0"/>
              </c:strCache>
            </c:strRef>
          </c:cat>
          <c:val>
            <c:numRef>
              <c:f>'06_Scenario_Analysis'!$L$13:$L$17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Balanced</c:v>
          </c:tx>
          <c:cat>
            <c:strRef>
              <c:f>'06_Scenario_Analysis'!$K$13:$K$17</c:f>
              <c:strCache>
                <c:ptCount val="0"/>
              </c:strCache>
            </c:strRef>
          </c:cat>
          <c:val>
            <c:numRef>
              <c:f>'06_Scenario_Analysis'!$M$13:$M$17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Resilience</c:v>
          </c:tx>
          <c:cat>
            <c:strRef>
              <c:f>'06_Scenario_Analysis'!$K$13:$K$17</c:f>
              <c:strCache>
                <c:ptCount val="0"/>
              </c:strCache>
            </c:strRef>
          </c:cat>
          <c:val>
            <c:numRef>
              <c:f>'06_Scenario_Analysis'!$N$13:$N$17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Monte Carlo：平均年度采购成本与风险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Mean Cost (CNY mn)</c:v>
          </c:tx>
          <c:cat>
            <c:strRef>
              <c:f>'07_Monte_Carlo'!$J$6:$J$8</c:f>
              <c:strCache>
                <c:ptCount val="0"/>
              </c:strCache>
            </c:strRef>
          </c:cat>
          <c:val>
            <c:numRef>
              <c:f>'07_Monte_Carlo'!$K$6:$K$8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Monte Carlo：任一物料缺货概率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Any Shortage Probability</c:v>
          </c:tx>
          <c:cat>
            <c:strRef>
              <c:f>'07_Monte_Carlo'!$O$6:$O$8</c:f>
              <c:strCache>
                <c:ptCount val="0"/>
              </c:strCache>
            </c:strRef>
          </c:cat>
          <c:val>
            <c:numRef>
              <c:f>'07_Monte_Carlo'!$P$6:$P$8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Python 参考：年度采购成本（百万元 CNY）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Lowest Cost</c:v>
          </c:tx>
          <c:cat>
            <c:strRef>
              <c:f>'09_Dashboard'!$J$6:$J$10</c:f>
              <c:strCache>
                <c:ptCount val="0"/>
              </c:strCache>
            </c:strRef>
          </c:cat>
          <c:val>
            <c:numRef>
              <c:f>'09_Dashboard'!$K$6:$K$10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Balanced</c:v>
          </c:tx>
          <c:cat>
            <c:strRef>
              <c:f>'09_Dashboard'!$J$6:$J$10</c:f>
              <c:strCache>
                <c:ptCount val="0"/>
              </c:strCache>
            </c:strRef>
          </c:cat>
          <c:val>
            <c:numRef>
              <c:f>'09_Dashboard'!$L$6:$L$10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Resilience</c:v>
          </c:tx>
          <c:cat>
            <c:strRef>
              <c:f>'09_Dashboard'!$J$6:$J$10</c:f>
              <c:strCache>
                <c:ptCount val="0"/>
              </c:strCache>
            </c:strRef>
          </c:cat>
          <c:val>
            <c:numRef>
              <c:f>'09_Dashboard'!$M$6:$M$10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Monte Carlo：任一物料缺货概率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Any Shortage Probability</c:v>
          </c:tx>
          <c:cat>
            <c:strRef>
              <c:f>'09_Dashboard'!$J$13:$J$15</c:f>
              <c:strCache>
                <c:ptCount val="0"/>
              </c:strCache>
            </c:strRef>
          </c:cat>
          <c:val>
            <c:numRef>
              <c:f>'09_Dashboard'!$K$13:$K$15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19</xdr:row>
      <xdr:rowOff>0</xdr:rowOff>
    </xdr:from>
    <xdr:to>
      <xdr:col>18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6c49e37a10d4d58"/>
        </a:graphicData>
      </a:graphic>
    </xdr:graphicFrame>
    <xdr:clientData/>
  </xdr:twoCellAnchor>
  <xdr:twoCellAnchor>
    <xdr:from>
      <xdr:col>18</xdr:col>
      <xdr:colOff>0</xdr:colOff>
      <xdr:row>19</xdr:row>
      <xdr:rowOff>0</xdr:rowOff>
    </xdr:from>
    <xdr:to>
      <xdr:col>26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3e2c577453748dc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9</xdr:row>
      <xdr:rowOff>0</xdr:rowOff>
    </xdr:from>
    <xdr:to>
      <xdr:col>17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1479288af34c1d"/>
        </a:graphicData>
      </a:graphic>
    </xdr:graphicFrame>
    <xdr:clientData/>
  </xdr:twoCellAnchor>
  <xdr:twoCellAnchor>
    <xdr:from>
      <xdr:col>17</xdr:col>
      <xdr:colOff>0</xdr:colOff>
      <xdr:row>9</xdr:row>
      <xdr:rowOff>0</xdr:rowOff>
    </xdr:from>
    <xdr:to>
      <xdr:col>25</xdr:col>
      <xdr:colOff>0</xdr:colOff>
      <xdr:row>23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110326c9a5f450f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9</xdr:col>
      <xdr:colOff>0</xdr:colOff>
      <xdr:row>16</xdr:row>
      <xdr:rowOff>0</xdr:rowOff>
    </xdr:from>
    <xdr:to>
      <xdr:col>16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a644dc5cd844db7"/>
        </a:graphicData>
      </a:graphic>
    </xdr:graphicFrame>
    <xdr:clientData/>
  </xdr:twoCellAnchor>
  <xdr:twoCellAnchor>
    <xdr:from>
      <xdr:col>9</xdr:col>
      <xdr:colOff>0</xdr:colOff>
      <xdr:row>31</xdr:row>
      <xdr:rowOff>0</xdr:rowOff>
    </xdr:from>
    <xdr:to>
      <xdr:col>16</xdr:col>
      <xdr:colOff>0</xdr:colOff>
      <xdr:row>45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f0467d65c35498d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9625e1ec57f1483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2.xml" Id="R41d4661fdbca46b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3.xml" Id="Re97d9310b6f54d22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7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 ht="28" customHeight="1">
      <x:c r="A1" s="226" t="str">
        <x:v>采购成本、需求与供应风险分析模型</x:v>
      </x:c>
      <x:c r="B1" s="132"/>
      <x:c r="C1" s="132"/>
      <x:c r="D1" s="132"/>
      <x:c r="E1" s="132"/>
      <x:c r="F1" s="132"/>
      <x:c r="G1" s="132"/>
      <x:c r="H1" s="132"/>
      <x:c r="I1" s="132"/>
      <x:c r="J1" s="132"/>
      <x:c r="K1" s="49"/>
      <x:c r="L1" s="49"/>
      <x:c r="M1" s="49"/>
      <x:c r="N1" s="49"/>
      <x:c r="O1" s="49"/>
      <x:c r="P1" s="49"/>
      <x:c r="Q1" s="49"/>
      <x:c r="R1" s="49"/>
      <x:c r="S1" s="49"/>
      <x:c r="T1" s="49"/>
      <x:c r="U1" s="49"/>
      <x:c r="V1" s="49"/>
      <x:c r="W1" s="49"/>
      <x:c r="X1" s="49"/>
      <x:c r="Y1" s="49"/>
      <x:c r="Z1" s="49"/>
      <x:c r="AA1" s="49"/>
      <x:c r="AB1" s="49"/>
      <x:c r="AC1" s="49"/>
      <x:c r="AD1" s="49"/>
      <x:c r="AE1" s="49"/>
      <x:c r="AF1" s="49"/>
      <x:c r="AG1" s="49"/>
      <x:c r="AH1" s="49"/>
      <x:c r="AI1" s="49"/>
      <x:c r="AJ1" s="49"/>
      <x:c r="AK1" s="49"/>
      <x:c r="AL1" s="49"/>
      <x:c r="AM1" s="49"/>
      <x:c r="AN1" s="49"/>
      <x:c r="AO1" s="49"/>
      <x:c r="AP1" s="49"/>
      <x:c r="AQ1" s="49"/>
      <x:c r="AR1" s="49"/>
      <x:c r="AS1" s="49"/>
      <x:c r="AT1" s="49"/>
      <x:c r="AU1" s="49"/>
      <x:c r="AV1" s="49"/>
      <x:c r="AW1" s="49"/>
      <x:c r="AX1" s="49"/>
      <x:c r="AY1" s="49"/>
      <x:c r="AZ1" s="49"/>
    </x:row>
    <x:row r="2" ht="22" customHeight="1">
      <x:c r="A2" s="45" t="str">
        <x:v>面向半导体/制造业采购分析的可编辑 Excel 模型。所有供应商、价格、产能、交期及 EDA/IP 费用均为模拟数据，仅用于分析方法演示。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9"/>
      <x:c r="L2" s="49"/>
      <x:c r="M2" s="49"/>
      <x:c r="N2" s="49"/>
      <x:c r="O2" s="49"/>
      <x:c r="P2" s="49"/>
      <x:c r="Q2" s="49"/>
      <x:c r="R2" s="49"/>
      <x:c r="S2" s="49"/>
      <x:c r="T2" s="49"/>
      <x:c r="U2" s="49"/>
      <x:c r="V2" s="49"/>
      <x:c r="W2" s="49"/>
      <x:c r="X2" s="49"/>
      <x:c r="Y2" s="49"/>
      <x:c r="Z2" s="49"/>
      <x:c r="AA2" s="49"/>
      <x:c r="AB2" s="49"/>
      <x:c r="AC2" s="49"/>
      <x:c r="AD2" s="49"/>
      <x:c r="AE2" s="49"/>
      <x:c r="AF2" s="49"/>
      <x:c r="AG2" s="49"/>
      <x:c r="AH2" s="49"/>
      <x:c r="AI2" s="49"/>
      <x:c r="AJ2" s="49"/>
      <x:c r="AK2" s="49"/>
      <x:c r="AL2" s="49"/>
      <x:c r="AM2" s="49"/>
      <x:c r="AN2" s="49"/>
      <x:c r="AO2" s="49"/>
      <x:c r="AP2" s="49"/>
      <x:c r="AQ2" s="49"/>
      <x:c r="AR2" s="49"/>
      <x:c r="AS2" s="49"/>
      <x:c r="AT2" s="49"/>
      <x:c r="AU2" s="49"/>
      <x:c r="AV2" s="49"/>
      <x:c r="AW2" s="49"/>
      <x:c r="AX2" s="49"/>
      <x:c r="AY2" s="49"/>
      <x:c r="AZ2" s="49"/>
    </x:row>
    <x:row r="3" ht="22" customHeight="1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9"/>
      <x:c r="L3" s="49"/>
      <x:c r="M3" s="49"/>
      <x:c r="N3" s="49"/>
      <x:c r="O3" s="49"/>
      <x:c r="P3" s="49"/>
      <x:c r="Q3" s="49"/>
      <x:c r="R3" s="49"/>
      <x:c r="S3" s="49"/>
      <x:c r="T3" s="49"/>
      <x:c r="U3" s="49"/>
      <x:c r="V3" s="49"/>
      <x:c r="W3" s="49"/>
      <x:c r="X3" s="49"/>
      <x:c r="Y3" s="49"/>
      <x:c r="Z3" s="49"/>
      <x:c r="AA3" s="49"/>
      <x:c r="AB3" s="49"/>
      <x:c r="AC3" s="49"/>
      <x:c r="AD3" s="49"/>
      <x:c r="AE3" s="49"/>
      <x:c r="AF3" s="49"/>
      <x:c r="AG3" s="49"/>
      <x:c r="AH3" s="49"/>
      <x:c r="AI3" s="49"/>
      <x:c r="AJ3" s="49"/>
      <x:c r="AK3" s="49"/>
      <x:c r="AL3" s="49"/>
      <x:c r="AM3" s="49"/>
      <x:c r="AN3" s="49"/>
      <x:c r="AO3" s="49"/>
      <x:c r="AP3" s="49"/>
      <x:c r="AQ3" s="49"/>
      <x:c r="AR3" s="49"/>
      <x:c r="AS3" s="49"/>
      <x:c r="AT3" s="49"/>
      <x:c r="AU3" s="49"/>
      <x:c r="AV3" s="49"/>
      <x:c r="AW3" s="49"/>
      <x:c r="AX3" s="49"/>
      <x:c r="AY3" s="49"/>
      <x:c r="AZ3" s="49"/>
    </x:row>
    <x:row r="4">
      <x:c r="A4" s="49"/>
      <x:c r="B4" s="49"/>
      <x:c r="C4" s="49"/>
      <x:c r="D4" s="49"/>
      <x:c r="E4" s="49"/>
      <x:c r="F4" s="49"/>
      <x:c r="G4" s="49"/>
      <x:c r="H4" s="49"/>
      <x:c r="I4" s="49"/>
      <x:c r="J4" s="49"/>
      <x:c r="K4" s="49"/>
      <x:c r="L4" s="49"/>
      <x:c r="M4" s="49"/>
      <x:c r="N4" s="49"/>
      <x:c r="O4" s="49"/>
      <x:c r="P4" s="49"/>
      <x:c r="Q4" s="49"/>
      <x:c r="R4" s="49"/>
      <x:c r="S4" s="49"/>
      <x:c r="T4" s="49"/>
      <x:c r="U4" s="49"/>
      <x:c r="V4" s="49"/>
      <x:c r="W4" s="49"/>
      <x:c r="X4" s="49"/>
      <x:c r="Y4" s="49"/>
      <x:c r="Z4" s="49"/>
      <x:c r="AA4" s="49"/>
      <x:c r="AB4" s="49"/>
      <x:c r="AC4" s="49"/>
      <x:c r="AD4" s="49"/>
      <x:c r="AE4" s="49"/>
      <x:c r="AF4" s="49"/>
      <x:c r="AG4" s="49"/>
      <x:c r="AH4" s="49"/>
      <x:c r="AI4" s="49"/>
      <x:c r="AJ4" s="49"/>
      <x:c r="AK4" s="49"/>
      <x:c r="AL4" s="49"/>
      <x:c r="AM4" s="49"/>
      <x:c r="AN4" s="49"/>
      <x:c r="AO4" s="49"/>
      <x:c r="AP4" s="49"/>
      <x:c r="AQ4" s="49"/>
      <x:c r="AR4" s="49"/>
      <x:c r="AS4" s="49"/>
      <x:c r="AT4" s="49"/>
      <x:c r="AU4" s="49"/>
      <x:c r="AV4" s="49"/>
      <x:c r="AW4" s="49"/>
      <x:c r="AX4" s="49"/>
      <x:c r="AY4" s="49"/>
      <x:c r="AZ4" s="49"/>
    </x:row>
    <x:row r="5">
      <x:c r="A5" s="133" t="str">
        <x:v>使用方法</x:v>
      </x:c>
      <x:c r="B5" s="133"/>
      <x:c r="C5" s="133"/>
      <x:c r="D5" s="133"/>
      <x:c r="E5" s="133"/>
      <x:c r="F5" s="133"/>
      <x:c r="G5" s="133"/>
      <x:c r="H5" s="133"/>
      <x:c r="I5" s="133"/>
      <x:c r="J5" s="133"/>
      <x:c r="K5" s="49"/>
      <x:c r="L5" s="49"/>
      <x:c r="M5" s="49"/>
      <x:c r="N5" s="49"/>
      <x:c r="O5" s="49"/>
      <x:c r="P5" s="49"/>
      <x:c r="Q5" s="49"/>
      <x:c r="R5" s="49"/>
      <x:c r="S5" s="49"/>
      <x:c r="T5" s="49"/>
      <x:c r="U5" s="49"/>
      <x:c r="V5" s="49"/>
      <x:c r="W5" s="49"/>
      <x:c r="X5" s="49"/>
      <x:c r="Y5" s="49"/>
      <x:c r="Z5" s="49"/>
      <x:c r="AA5" s="49"/>
      <x:c r="AB5" s="49"/>
      <x:c r="AC5" s="49"/>
      <x:c r="AD5" s="49"/>
      <x:c r="AE5" s="49"/>
      <x:c r="AF5" s="49"/>
      <x:c r="AG5" s="49"/>
      <x:c r="AH5" s="49"/>
      <x:c r="AI5" s="49"/>
      <x:c r="AJ5" s="49"/>
      <x:c r="AK5" s="49"/>
      <x:c r="AL5" s="49"/>
      <x:c r="AM5" s="49"/>
      <x:c r="AN5" s="49"/>
      <x:c r="AO5" s="49"/>
      <x:c r="AP5" s="49"/>
      <x:c r="AQ5" s="49"/>
      <x:c r="AR5" s="49"/>
      <x:c r="AS5" s="49"/>
      <x:c r="AT5" s="49"/>
      <x:c r="AU5" s="49"/>
      <x:c r="AV5" s="49"/>
      <x:c r="AW5" s="49"/>
      <x:c r="AX5" s="49"/>
      <x:c r="AY5" s="49"/>
      <x:c r="AZ5" s="49"/>
    </x:row>
    <x:row r="6">
      <x:c r="A6" s="48" t="str">
        <x:v>1</x:v>
      </x:c>
      <x:c r="B6" s="49" t="str">
        <x:v>进入 01_Assumptions</x:v>
      </x:c>
      <x:c r="C6" s="49" t="str">
        <x:v>在黄色单元格中选择情景与采购策略。</x:v>
      </x:c>
      <x:c r="D6" s="49"/>
      <x:c r="E6" s="49"/>
      <x:c r="F6" s="49"/>
      <x:c r="G6" s="49"/>
      <x:c r="H6" s="49"/>
      <x:c r="I6" s="49"/>
      <x:c r="J6" s="49"/>
      <x:c r="K6" s="49"/>
      <x:c r="L6" s="49"/>
      <x:c r="M6" s="49"/>
      <x:c r="N6" s="49"/>
      <x:c r="O6" s="49"/>
      <x:c r="P6" s="49"/>
      <x:c r="Q6" s="49"/>
      <x:c r="R6" s="49"/>
      <x:c r="S6" s="49"/>
      <x:c r="T6" s="49"/>
      <x:c r="U6" s="49"/>
      <x:c r="V6" s="49"/>
      <x:c r="W6" s="49"/>
      <x:c r="X6" s="49"/>
      <x:c r="Y6" s="49"/>
      <x:c r="Z6" s="49"/>
      <x:c r="AA6" s="49"/>
      <x:c r="AB6" s="49"/>
      <x:c r="AC6" s="49"/>
      <x:c r="AD6" s="49"/>
      <x:c r="AE6" s="49"/>
      <x:c r="AF6" s="49"/>
      <x:c r="AG6" s="49"/>
      <x:c r="AH6" s="49"/>
      <x:c r="AI6" s="49"/>
      <x:c r="AJ6" s="49"/>
      <x:c r="AK6" s="49"/>
      <x:c r="AL6" s="49"/>
      <x:c r="AM6" s="49"/>
      <x:c r="AN6" s="49"/>
      <x:c r="AO6" s="49"/>
      <x:c r="AP6" s="49"/>
      <x:c r="AQ6" s="49"/>
      <x:c r="AR6" s="49"/>
      <x:c r="AS6" s="49"/>
      <x:c r="AT6" s="49"/>
      <x:c r="AU6" s="49"/>
      <x:c r="AV6" s="49"/>
      <x:c r="AW6" s="49"/>
      <x:c r="AX6" s="49"/>
      <x:c r="AY6" s="49"/>
      <x:c r="AZ6" s="49"/>
    </x:row>
    <x:row r="7">
      <x:c r="A7" s="48" t="str">
        <x:v>2</x:v>
      </x:c>
      <x:c r="B7" s="49" t="str">
        <x:v>查看动态模型</x:v>
      </x:c>
      <x:c r="C7" s="49" t="str">
        <x:v>03_Demand_Forecast、04_Cost_Risk_Model 与 05_Material_Summary 会随输入自动重算。</x:v>
      </x:c>
      <x:c r="D7" s="49"/>
      <x:c r="E7" s="49"/>
      <x:c r="F7" s="49"/>
      <x:c r="G7" s="49"/>
      <x:c r="H7" s="49"/>
      <x:c r="I7" s="49"/>
      <x:c r="J7" s="49"/>
      <x:c r="K7" s="49"/>
      <x:c r="L7" s="49"/>
      <x:c r="M7" s="49"/>
      <x:c r="N7" s="49"/>
      <x:c r="O7" s="49"/>
      <x:c r="P7" s="49"/>
      <x:c r="Q7" s="49"/>
      <x:c r="R7" s="49"/>
      <x:c r="S7" s="49"/>
      <x:c r="T7" s="49"/>
      <x:c r="U7" s="49"/>
      <x:c r="V7" s="49"/>
      <x:c r="W7" s="49"/>
      <x:c r="X7" s="49"/>
      <x:c r="Y7" s="49"/>
      <x:c r="Z7" s="49"/>
      <x:c r="AA7" s="49"/>
      <x:c r="AB7" s="49"/>
      <x:c r="AC7" s="49"/>
      <x:c r="AD7" s="49"/>
      <x:c r="AE7" s="49"/>
      <x:c r="AF7" s="49"/>
      <x:c r="AG7" s="49"/>
      <x:c r="AH7" s="49"/>
      <x:c r="AI7" s="49"/>
      <x:c r="AJ7" s="49"/>
      <x:c r="AK7" s="49"/>
      <x:c r="AL7" s="49"/>
      <x:c r="AM7" s="49"/>
      <x:c r="AN7" s="49"/>
      <x:c r="AO7" s="49"/>
      <x:c r="AP7" s="49"/>
      <x:c r="AQ7" s="49"/>
      <x:c r="AR7" s="49"/>
      <x:c r="AS7" s="49"/>
      <x:c r="AT7" s="49"/>
      <x:c r="AU7" s="49"/>
      <x:c r="AV7" s="49"/>
      <x:c r="AW7" s="49"/>
      <x:c r="AX7" s="49"/>
      <x:c r="AY7" s="49"/>
      <x:c r="AZ7" s="49"/>
    </x:row>
    <x:row r="8">
      <x:c r="A8" s="48" t="str">
        <x:v>3</x:v>
      </x:c>
      <x:c r="B8" s="49" t="str">
        <x:v>查看基准对比</x:v>
      </x:c>
      <x:c r="C8" s="49" t="str">
        <x:v>06_Scenario_Analysis 与 07_Monte_Carlo 为 Python 生成的参考结果。</x:v>
      </x:c>
      <x:c r="D8" s="49"/>
      <x:c r="E8" s="49"/>
      <x:c r="F8" s="49"/>
      <x:c r="G8" s="49"/>
      <x:c r="H8" s="49"/>
      <x:c r="I8" s="49"/>
      <x:c r="J8" s="49"/>
      <x:c r="K8" s="49"/>
      <x:c r="L8" s="49"/>
      <x:c r="M8" s="49"/>
      <x:c r="N8" s="49"/>
      <x:c r="O8" s="49"/>
      <x:c r="P8" s="49"/>
      <x:c r="Q8" s="49"/>
      <x:c r="R8" s="49"/>
      <x:c r="S8" s="49"/>
      <x:c r="T8" s="49"/>
      <x:c r="U8" s="49"/>
      <x:c r="V8" s="49"/>
      <x:c r="W8" s="49"/>
      <x:c r="X8" s="49"/>
      <x:c r="Y8" s="49"/>
      <x:c r="Z8" s="49"/>
      <x:c r="AA8" s="49"/>
      <x:c r="AB8" s="49"/>
      <x:c r="AC8" s="49"/>
      <x:c r="AD8" s="49"/>
      <x:c r="AE8" s="49"/>
      <x:c r="AF8" s="49"/>
      <x:c r="AG8" s="49"/>
      <x:c r="AH8" s="49"/>
      <x:c r="AI8" s="49"/>
      <x:c r="AJ8" s="49"/>
      <x:c r="AK8" s="49"/>
      <x:c r="AL8" s="49"/>
      <x:c r="AM8" s="49"/>
      <x:c r="AN8" s="49"/>
      <x:c r="AO8" s="49"/>
      <x:c r="AP8" s="49"/>
      <x:c r="AQ8" s="49"/>
      <x:c r="AR8" s="49"/>
      <x:c r="AS8" s="49"/>
      <x:c r="AT8" s="49"/>
      <x:c r="AU8" s="49"/>
      <x:c r="AV8" s="49"/>
      <x:c r="AW8" s="49"/>
      <x:c r="AX8" s="49"/>
      <x:c r="AY8" s="49"/>
      <x:c r="AZ8" s="49"/>
    </x:row>
    <x:row r="9">
      <x:c r="A9" s="48" t="str">
        <x:v>4</x:v>
      </x:c>
      <x:c r="B9" s="49" t="str">
        <x:v>查看 EDA/IP 扩展</x:v>
      </x:c>
      <x:c r="C9" s="49" t="str">
        <x:v>08_EDA_IP_Extension 用于比较模拟授权需求、成本与覆盖策略。</x:v>
      </x:c>
      <x:c r="D9" s="49"/>
      <x:c r="E9" s="49"/>
      <x:c r="F9" s="49"/>
      <x:c r="G9" s="49"/>
      <x:c r="H9" s="49"/>
      <x:c r="I9" s="49"/>
      <x:c r="J9" s="49"/>
      <x:c r="K9" s="49"/>
      <x:c r="L9" s="49"/>
      <x:c r="M9" s="49"/>
      <x:c r="N9" s="49"/>
      <x:c r="O9" s="49"/>
      <x:c r="P9" s="49"/>
      <x:c r="Q9" s="49"/>
      <x:c r="R9" s="49"/>
      <x:c r="S9" s="49"/>
      <x:c r="T9" s="49"/>
      <x:c r="U9" s="49"/>
      <x:c r="V9" s="49"/>
      <x:c r="W9" s="49"/>
      <x:c r="X9" s="49"/>
      <x:c r="Y9" s="49"/>
      <x:c r="Z9" s="49"/>
      <x:c r="AA9" s="49"/>
      <x:c r="AB9" s="49"/>
      <x:c r="AC9" s="49"/>
      <x:c r="AD9" s="49"/>
      <x:c r="AE9" s="49"/>
      <x:c r="AF9" s="49"/>
      <x:c r="AG9" s="49"/>
      <x:c r="AH9" s="49"/>
      <x:c r="AI9" s="49"/>
      <x:c r="AJ9" s="49"/>
      <x:c r="AK9" s="49"/>
      <x:c r="AL9" s="49"/>
      <x:c r="AM9" s="49"/>
      <x:c r="AN9" s="49"/>
      <x:c r="AO9" s="49"/>
      <x:c r="AP9" s="49"/>
      <x:c r="AQ9" s="49"/>
      <x:c r="AR9" s="49"/>
      <x:c r="AS9" s="49"/>
      <x:c r="AT9" s="49"/>
      <x:c r="AU9" s="49"/>
      <x:c r="AV9" s="49"/>
      <x:c r="AW9" s="49"/>
      <x:c r="AX9" s="49"/>
      <x:c r="AY9" s="49"/>
      <x:c r="AZ9" s="49"/>
    </x:row>
    <x:row r="10">
      <x:c r="A10" s="48" t="str">
        <x:v>5</x:v>
      </x:c>
      <x:c r="B10" s="49" t="str">
        <x:v>查看决策看板</x:v>
      </x:c>
      <x:c r="C10" s="49" t="str">
        <x:v>09_Dashboard 汇总当前情景、采购风险、物料覆盖与压力测试结果。</x:v>
      </x:c>
      <x:c r="D10" s="49"/>
      <x:c r="E10" s="49"/>
      <x:c r="F10" s="49"/>
      <x:c r="G10" s="49"/>
      <x:c r="H10" s="49"/>
      <x:c r="I10" s="49"/>
      <x:c r="J10" s="49"/>
      <x:c r="K10" s="49"/>
      <x:c r="L10" s="49"/>
      <x:c r="M10" s="49"/>
      <x:c r="N10" s="49"/>
      <x:c r="O10" s="49"/>
      <x:c r="P10" s="49"/>
      <x:c r="Q10" s="49"/>
      <x:c r="R10" s="49"/>
      <x:c r="S10" s="49"/>
      <x:c r="T10" s="49"/>
      <x:c r="U10" s="49"/>
      <x:c r="V10" s="49"/>
      <x:c r="W10" s="49"/>
      <x:c r="X10" s="49"/>
      <x:c r="Y10" s="49"/>
      <x:c r="Z10" s="49"/>
      <x:c r="AA10" s="49"/>
      <x:c r="AB10" s="49"/>
      <x:c r="AC10" s="49"/>
      <x:c r="AD10" s="49"/>
      <x:c r="AE10" s="49"/>
      <x:c r="AF10" s="49"/>
      <x:c r="AG10" s="49"/>
      <x:c r="AH10" s="49"/>
      <x:c r="AI10" s="49"/>
      <x:c r="AJ10" s="49"/>
      <x:c r="AK10" s="49"/>
      <x:c r="AL10" s="49"/>
      <x:c r="AM10" s="49"/>
      <x:c r="AN10" s="49"/>
      <x:c r="AO10" s="49"/>
      <x:c r="AP10" s="49"/>
      <x:c r="AQ10" s="49"/>
      <x:c r="AR10" s="49"/>
      <x:c r="AS10" s="49"/>
      <x:c r="AT10" s="49"/>
      <x:c r="AU10" s="49"/>
      <x:c r="AV10" s="49"/>
      <x:c r="AW10" s="49"/>
      <x:c r="AX10" s="49"/>
      <x:c r="AY10" s="49"/>
      <x:c r="AZ10" s="49"/>
    </x:row>
    <x:row r="11">
      <x:c r="A11" s="49"/>
      <x:c r="B11" s="49"/>
      <x:c r="C11" s="49"/>
      <x:c r="D11" s="49"/>
      <x:c r="E11" s="49"/>
      <x:c r="F11" s="49"/>
      <x:c r="G11" s="49"/>
      <x:c r="H11" s="49"/>
      <x:c r="I11" s="49"/>
      <x:c r="J11" s="49"/>
      <x:c r="K11" s="49"/>
      <x:c r="L11" s="49"/>
      <x:c r="M11" s="49"/>
      <x:c r="N11" s="49"/>
      <x:c r="O11" s="49"/>
      <x:c r="P11" s="49"/>
      <x:c r="Q11" s="49"/>
      <x:c r="R11" s="49"/>
      <x:c r="S11" s="49"/>
      <x:c r="T11" s="49"/>
      <x:c r="U11" s="49"/>
      <x:c r="V11" s="49"/>
      <x:c r="W11" s="49"/>
      <x:c r="X11" s="49"/>
      <x:c r="Y11" s="49"/>
      <x:c r="Z11" s="49"/>
      <x:c r="AA11" s="49"/>
      <x:c r="AB11" s="49"/>
      <x:c r="AC11" s="49"/>
      <x:c r="AD11" s="49"/>
      <x:c r="AE11" s="49"/>
      <x:c r="AF11" s="49"/>
      <x:c r="AG11" s="49"/>
      <x:c r="AH11" s="49"/>
      <x:c r="AI11" s="49"/>
      <x:c r="AJ11" s="49"/>
      <x:c r="AK11" s="49"/>
      <x:c r="AL11" s="49"/>
      <x:c r="AM11" s="49"/>
      <x:c r="AN11" s="49"/>
      <x:c r="AO11" s="49"/>
      <x:c r="AP11" s="49"/>
      <x:c r="AQ11" s="49"/>
      <x:c r="AR11" s="49"/>
      <x:c r="AS11" s="49"/>
      <x:c r="AT11" s="49"/>
      <x:c r="AU11" s="49"/>
      <x:c r="AV11" s="49"/>
      <x:c r="AW11" s="49"/>
      <x:c r="AX11" s="49"/>
      <x:c r="AY11" s="49"/>
      <x:c r="AZ11" s="49"/>
    </x:row>
    <x:row r="12">
      <x:c r="A12" s="133" t="str">
        <x:v>使用边界</x:v>
      </x:c>
      <x:c r="B12" s="133"/>
      <x:c r="C12" s="133"/>
      <x:c r="D12" s="133"/>
      <x:c r="E12" s="133"/>
      <x:c r="F12" s="133"/>
      <x:c r="G12" s="133"/>
      <x:c r="H12" s="133"/>
      <x:c r="I12" s="133"/>
      <x:c r="J12" s="133"/>
      <x:c r="K12" s="49"/>
      <x:c r="L12" s="49"/>
      <x:c r="M12" s="49"/>
      <x:c r="N12" s="49"/>
      <x:c r="O12" s="49"/>
      <x:c r="P12" s="49"/>
      <x:c r="Q12" s="49"/>
      <x:c r="R12" s="49"/>
      <x:c r="S12" s="49"/>
      <x:c r="T12" s="49"/>
      <x:c r="U12" s="49"/>
      <x:c r="V12" s="49"/>
      <x:c r="W12" s="49"/>
      <x:c r="X12" s="49"/>
      <x:c r="Y12" s="49"/>
      <x:c r="Z12" s="49"/>
      <x:c r="AA12" s="49"/>
      <x:c r="AB12" s="49"/>
      <x:c r="AC12" s="49"/>
      <x:c r="AD12" s="49"/>
      <x:c r="AE12" s="49"/>
      <x:c r="AF12" s="49"/>
      <x:c r="AG12" s="49"/>
      <x:c r="AH12" s="49"/>
      <x:c r="AI12" s="49"/>
      <x:c r="AJ12" s="49"/>
      <x:c r="AK12" s="49"/>
      <x:c r="AL12" s="49"/>
      <x:c r="AM12" s="49"/>
      <x:c r="AN12" s="49"/>
      <x:c r="AO12" s="49"/>
      <x:c r="AP12" s="49"/>
      <x:c r="AQ12" s="49"/>
      <x:c r="AR12" s="49"/>
      <x:c r="AS12" s="49"/>
      <x:c r="AT12" s="49"/>
      <x:c r="AU12" s="49"/>
      <x:c r="AV12" s="49"/>
      <x:c r="AW12" s="49"/>
      <x:c r="AX12" s="49"/>
      <x:c r="AY12" s="49"/>
      <x:c r="AZ12" s="49"/>
    </x:row>
    <x:row r="13">
      <x:c r="A13" s="50" t="str">
        <x:v>本工作簿是求职作品集/学习模型，不是企业采购系统；不包含真实供应商报价、采购订单、BOM 成本、合同、授权价格或谈判结果。所有输出仅用于展示分析方法，不应表述为真实降本成果或供应商决策。</x:v>
      </x:c>
      <x:c r="B13" s="50"/>
      <x:c r="C13" s="50"/>
      <x:c r="D13" s="50"/>
      <x:c r="E13" s="50"/>
      <x:c r="F13" s="50"/>
      <x:c r="G13" s="50"/>
      <x:c r="H13" s="50"/>
      <x:c r="I13" s="50"/>
      <x:c r="J13" s="50"/>
      <x:c r="K13" s="49"/>
      <x:c r="L13" s="49"/>
      <x:c r="M13" s="49"/>
      <x:c r="N13" s="49"/>
      <x:c r="O13" s="49"/>
      <x:c r="P13" s="49"/>
      <x:c r="Q13" s="49"/>
      <x:c r="R13" s="49"/>
      <x:c r="S13" s="49"/>
      <x:c r="T13" s="49"/>
      <x:c r="U13" s="49"/>
      <x:c r="V13" s="49"/>
      <x:c r="W13" s="49"/>
      <x:c r="X13" s="49"/>
      <x:c r="Y13" s="49"/>
      <x:c r="Z13" s="49"/>
      <x:c r="AA13" s="49"/>
      <x:c r="AB13" s="49"/>
      <x:c r="AC13" s="49"/>
      <x:c r="AD13" s="49"/>
      <x:c r="AE13" s="49"/>
      <x:c r="AF13" s="49"/>
      <x:c r="AG13" s="49"/>
      <x:c r="AH13" s="49"/>
      <x:c r="AI13" s="49"/>
      <x:c r="AJ13" s="49"/>
      <x:c r="AK13" s="49"/>
      <x:c r="AL13" s="49"/>
      <x:c r="AM13" s="49"/>
      <x:c r="AN13" s="49"/>
      <x:c r="AO13" s="49"/>
      <x:c r="AP13" s="49"/>
      <x:c r="AQ13" s="49"/>
      <x:c r="AR13" s="49"/>
      <x:c r="AS13" s="49"/>
      <x:c r="AT13" s="49"/>
      <x:c r="AU13" s="49"/>
      <x:c r="AV13" s="49"/>
      <x:c r="AW13" s="49"/>
      <x:c r="AX13" s="49"/>
      <x:c r="AY13" s="49"/>
      <x:c r="AZ13" s="49"/>
    </x:row>
    <x:row r="14">
      <x:c r="A14" s="50"/>
      <x:c r="B14" s="50"/>
      <x:c r="C14" s="50"/>
      <x:c r="D14" s="50"/>
      <x:c r="E14" s="50"/>
      <x:c r="F14" s="50"/>
      <x:c r="G14" s="50"/>
      <x:c r="H14" s="50"/>
      <x:c r="I14" s="50"/>
      <x:c r="J14" s="50"/>
      <x:c r="K14" s="49"/>
      <x:c r="L14" s="49"/>
      <x:c r="M14" s="49"/>
      <x:c r="N14" s="49"/>
      <x:c r="O14" s="49"/>
      <x:c r="P14" s="49"/>
      <x:c r="Q14" s="49"/>
      <x:c r="R14" s="49"/>
      <x:c r="S14" s="49"/>
      <x:c r="T14" s="49"/>
      <x:c r="U14" s="49"/>
      <x:c r="V14" s="49"/>
      <x:c r="W14" s="49"/>
      <x:c r="X14" s="49"/>
      <x:c r="Y14" s="49"/>
      <x:c r="Z14" s="49"/>
      <x:c r="AA14" s="49"/>
      <x:c r="AB14" s="49"/>
      <x:c r="AC14" s="49"/>
      <x:c r="AD14" s="49"/>
      <x:c r="AE14" s="49"/>
      <x:c r="AF14" s="49"/>
      <x:c r="AG14" s="49"/>
      <x:c r="AH14" s="49"/>
      <x:c r="AI14" s="49"/>
      <x:c r="AJ14" s="49"/>
      <x:c r="AK14" s="49"/>
      <x:c r="AL14" s="49"/>
      <x:c r="AM14" s="49"/>
      <x:c r="AN14" s="49"/>
      <x:c r="AO14" s="49"/>
      <x:c r="AP14" s="49"/>
      <x:c r="AQ14" s="49"/>
      <x:c r="AR14" s="49"/>
      <x:c r="AS14" s="49"/>
      <x:c r="AT14" s="49"/>
      <x:c r="AU14" s="49"/>
      <x:c r="AV14" s="49"/>
      <x:c r="AW14" s="49"/>
      <x:c r="AX14" s="49"/>
      <x:c r="AY14" s="49"/>
      <x:c r="AZ14" s="49"/>
    </x:row>
    <x:row r="15">
      <x:c r="A15" s="50"/>
      <x:c r="B15" s="50"/>
      <x:c r="C15" s="50"/>
      <x:c r="D15" s="50"/>
      <x:c r="E15" s="50"/>
      <x:c r="F15" s="50"/>
      <x:c r="G15" s="50"/>
      <x:c r="H15" s="50"/>
      <x:c r="I15" s="50"/>
      <x:c r="J15" s="50"/>
      <x:c r="K15" s="49"/>
      <x:c r="L15" s="49"/>
      <x:c r="M15" s="49"/>
      <x:c r="N15" s="49"/>
      <x:c r="O15" s="49"/>
      <x:c r="P15" s="49"/>
      <x:c r="Q15" s="49"/>
      <x:c r="R15" s="49"/>
      <x:c r="S15" s="49"/>
      <x:c r="T15" s="49"/>
      <x:c r="U15" s="49"/>
      <x:c r="V15" s="49"/>
      <x:c r="W15" s="49"/>
      <x:c r="X15" s="49"/>
      <x:c r="Y15" s="49"/>
      <x:c r="Z15" s="49"/>
      <x:c r="AA15" s="49"/>
      <x:c r="AB15" s="49"/>
      <x:c r="AC15" s="49"/>
      <x:c r="AD15" s="49"/>
      <x:c r="AE15" s="49"/>
      <x:c r="AF15" s="49"/>
      <x:c r="AG15" s="49"/>
      <x:c r="AH15" s="49"/>
      <x:c r="AI15" s="49"/>
      <x:c r="AJ15" s="49"/>
      <x:c r="AK15" s="49"/>
      <x:c r="AL15" s="49"/>
      <x:c r="AM15" s="49"/>
      <x:c r="AN15" s="49"/>
      <x:c r="AO15" s="49"/>
      <x:c r="AP15" s="49"/>
      <x:c r="AQ15" s="49"/>
      <x:c r="AR15" s="49"/>
      <x:c r="AS15" s="49"/>
      <x:c r="AT15" s="49"/>
      <x:c r="AU15" s="49"/>
      <x:c r="AV15" s="49"/>
      <x:c r="AW15" s="49"/>
      <x:c r="AX15" s="49"/>
      <x:c r="AY15" s="49"/>
      <x:c r="AZ15" s="49"/>
    </x:row>
    <x:row r="16">
      <x:c r="A16" s="50"/>
      <x:c r="B16" s="50"/>
      <x:c r="C16" s="50"/>
      <x:c r="D16" s="50"/>
      <x:c r="E16" s="50"/>
      <x:c r="F16" s="50"/>
      <x:c r="G16" s="50"/>
      <x:c r="H16" s="50"/>
      <x:c r="I16" s="50"/>
      <x:c r="J16" s="50"/>
      <x:c r="K16" s="49"/>
      <x:c r="L16" s="49"/>
      <x:c r="M16" s="49"/>
      <x:c r="N16" s="49"/>
      <x:c r="O16" s="49"/>
      <x:c r="P16" s="49"/>
      <x:c r="Q16" s="49"/>
      <x:c r="R16" s="49"/>
      <x:c r="S16" s="49"/>
      <x:c r="T16" s="49"/>
      <x:c r="U16" s="49"/>
      <x:c r="V16" s="49"/>
      <x:c r="W16" s="49"/>
      <x:c r="X16" s="49"/>
      <x:c r="Y16" s="49"/>
      <x:c r="Z16" s="49"/>
      <x:c r="AA16" s="49"/>
      <x:c r="AB16" s="49"/>
      <x:c r="AC16" s="49"/>
      <x:c r="AD16" s="49"/>
      <x:c r="AE16" s="49"/>
      <x:c r="AF16" s="49"/>
      <x:c r="AG16" s="49"/>
      <x:c r="AH16" s="49"/>
      <x:c r="AI16" s="49"/>
      <x:c r="AJ16" s="49"/>
      <x:c r="AK16" s="49"/>
      <x:c r="AL16" s="49"/>
      <x:c r="AM16" s="49"/>
      <x:c r="AN16" s="49"/>
      <x:c r="AO16" s="49"/>
      <x:c r="AP16" s="49"/>
      <x:c r="AQ16" s="49"/>
      <x:c r="AR16" s="49"/>
      <x:c r="AS16" s="49"/>
      <x:c r="AT16" s="49"/>
      <x:c r="AU16" s="49"/>
      <x:c r="AV16" s="49"/>
      <x:c r="AW16" s="49"/>
      <x:c r="AX16" s="49"/>
      <x:c r="AY16" s="49"/>
      <x:c r="AZ16" s="49"/>
    </x:row>
    <x:row r="17">
      <x:c r="A17" s="49"/>
      <x:c r="B17" s="49"/>
      <x:c r="C17" s="49"/>
      <x:c r="D17" s="49"/>
      <x:c r="E17" s="49"/>
      <x:c r="F17" s="49"/>
      <x:c r="G17" s="49"/>
      <x:c r="H17" s="49"/>
      <x:c r="I17" s="49"/>
      <x:c r="J17" s="49"/>
      <x:c r="K17" s="49"/>
      <x:c r="L17" s="49"/>
      <x:c r="M17" s="49"/>
      <x:c r="N17" s="49"/>
      <x:c r="O17" s="49"/>
      <x:c r="P17" s="49"/>
      <x:c r="Q17" s="49"/>
      <x:c r="R17" s="49"/>
      <x:c r="S17" s="49"/>
      <x:c r="T17" s="49"/>
      <x:c r="U17" s="49"/>
      <x:c r="V17" s="49"/>
      <x:c r="W17" s="49"/>
      <x:c r="X17" s="49"/>
      <x:c r="Y17" s="49"/>
      <x:c r="Z17" s="49"/>
      <x:c r="AA17" s="49"/>
      <x:c r="AB17" s="49"/>
      <x:c r="AC17" s="49"/>
      <x:c r="AD17" s="49"/>
      <x:c r="AE17" s="49"/>
      <x:c r="AF17" s="49"/>
      <x:c r="AG17" s="49"/>
      <x:c r="AH17" s="49"/>
      <x:c r="AI17" s="49"/>
      <x:c r="AJ17" s="49"/>
      <x:c r="AK17" s="49"/>
      <x:c r="AL17" s="49"/>
      <x:c r="AM17" s="49"/>
      <x:c r="AN17" s="49"/>
      <x:c r="AO17" s="49"/>
      <x:c r="AP17" s="49"/>
      <x:c r="AQ17" s="49"/>
      <x:c r="AR17" s="49"/>
      <x:c r="AS17" s="49"/>
      <x:c r="AT17" s="49"/>
      <x:c r="AU17" s="49"/>
      <x:c r="AV17" s="49"/>
      <x:c r="AW17" s="49"/>
      <x:c r="AX17" s="49"/>
      <x:c r="AY17" s="49"/>
      <x:c r="AZ17" s="49"/>
    </x:row>
    <x:row r="18">
      <x:c r="A18" s="133" t="str">
        <x:v>颜色说明</x:v>
      </x:c>
      <x:c r="B18" s="133"/>
      <x:c r="C18" s="133"/>
      <x:c r="D18" s="133"/>
      <x:c r="E18" s="133"/>
      <x:c r="F18" s="133"/>
      <x:c r="G18" s="133"/>
      <x:c r="H18" s="133"/>
      <x:c r="I18" s="133"/>
      <x:c r="J18" s="133"/>
      <x:c r="K18" s="49"/>
      <x:c r="L18" s="49"/>
      <x:c r="M18" s="49"/>
      <x:c r="N18" s="49"/>
      <x:c r="O18" s="49"/>
      <x:c r="P18" s="49"/>
      <x:c r="Q18" s="49"/>
      <x:c r="R18" s="49"/>
      <x:c r="S18" s="49"/>
      <x:c r="T18" s="49"/>
      <x:c r="U18" s="49"/>
      <x:c r="V18" s="49"/>
      <x:c r="W18" s="49"/>
      <x:c r="X18" s="49"/>
      <x:c r="Y18" s="49"/>
      <x:c r="Z18" s="49"/>
      <x:c r="AA18" s="49"/>
      <x:c r="AB18" s="49"/>
      <x:c r="AC18" s="49"/>
      <x:c r="AD18" s="49"/>
      <x:c r="AE18" s="49"/>
      <x:c r="AF18" s="49"/>
      <x:c r="AG18" s="49"/>
      <x:c r="AH18" s="49"/>
      <x:c r="AI18" s="49"/>
      <x:c r="AJ18" s="49"/>
      <x:c r="AK18" s="49"/>
      <x:c r="AL18" s="49"/>
      <x:c r="AM18" s="49"/>
      <x:c r="AN18" s="49"/>
      <x:c r="AO18" s="49"/>
      <x:c r="AP18" s="49"/>
      <x:c r="AQ18" s="49"/>
      <x:c r="AR18" s="49"/>
      <x:c r="AS18" s="49"/>
      <x:c r="AT18" s="49"/>
      <x:c r="AU18" s="49"/>
      <x:c r="AV18" s="49"/>
      <x:c r="AW18" s="49"/>
      <x:c r="AX18" s="49"/>
      <x:c r="AY18" s="49"/>
      <x:c r="AZ18" s="49"/>
    </x:row>
    <x:row r="19">
      <x:c r="A19" s="134" t="str">
        <x:v>黄色</x:v>
      </x:c>
      <x:c r="B19" s="49" t="str">
        <x:v>可编辑假设 / 用户输入</x:v>
      </x:c>
      <x:c r="C19" s="49"/>
      <x:c r="D19" s="49"/>
      <x:c r="E19" s="49"/>
      <x:c r="F19" s="49"/>
      <x:c r="G19" s="49"/>
      <x:c r="H19" s="49"/>
      <x:c r="I19" s="49"/>
      <x:c r="J19" s="49"/>
      <x:c r="K19" s="49"/>
      <x:c r="L19" s="49"/>
      <x:c r="M19" s="49"/>
      <x:c r="N19" s="49"/>
      <x:c r="O19" s="49"/>
      <x:c r="P19" s="49"/>
      <x:c r="Q19" s="49"/>
      <x:c r="R19" s="49"/>
      <x:c r="S19" s="49"/>
      <x:c r="T19" s="49"/>
      <x:c r="U19" s="49"/>
      <x:c r="V19" s="49"/>
      <x:c r="W19" s="49"/>
      <x:c r="X19" s="49"/>
      <x:c r="Y19" s="49"/>
      <x:c r="Z19" s="49"/>
      <x:c r="AA19" s="49"/>
      <x:c r="AB19" s="49"/>
      <x:c r="AC19" s="49"/>
      <x:c r="AD19" s="49"/>
      <x:c r="AE19" s="49"/>
      <x:c r="AF19" s="49"/>
      <x:c r="AG19" s="49"/>
      <x:c r="AH19" s="49"/>
      <x:c r="AI19" s="49"/>
      <x:c r="AJ19" s="49"/>
      <x:c r="AK19" s="49"/>
      <x:c r="AL19" s="49"/>
      <x:c r="AM19" s="49"/>
      <x:c r="AN19" s="49"/>
      <x:c r="AO19" s="49"/>
      <x:c r="AP19" s="49"/>
      <x:c r="AQ19" s="49"/>
      <x:c r="AR19" s="49"/>
      <x:c r="AS19" s="49"/>
      <x:c r="AT19" s="49"/>
      <x:c r="AU19" s="49"/>
      <x:c r="AV19" s="49"/>
      <x:c r="AW19" s="49"/>
      <x:c r="AX19" s="49"/>
      <x:c r="AY19" s="49"/>
      <x:c r="AZ19" s="49"/>
    </x:row>
    <x:row r="20">
      <x:c r="A20" s="135" t="str">
        <x:v>蓝色</x:v>
      </x:c>
      <x:c r="B20" s="49" t="str">
        <x:v>标题 / 计算模型区域</x:v>
      </x:c>
      <x:c r="C20" s="49"/>
      <x:c r="D20" s="49"/>
      <x:c r="E20" s="49"/>
      <x:c r="F20" s="49"/>
      <x:c r="G20" s="49"/>
      <x:c r="H20" s="49"/>
      <x:c r="I20" s="49"/>
      <x:c r="J20" s="49"/>
      <x:c r="K20" s="49"/>
      <x:c r="L20" s="49"/>
      <x:c r="M20" s="49"/>
      <x:c r="N20" s="49"/>
      <x:c r="O20" s="49"/>
      <x:c r="P20" s="49"/>
      <x:c r="Q20" s="49"/>
      <x:c r="R20" s="49"/>
      <x:c r="S20" s="49"/>
      <x:c r="T20" s="49"/>
      <x:c r="U20" s="49"/>
      <x:c r="V20" s="49"/>
      <x:c r="W20" s="49"/>
      <x:c r="X20" s="49"/>
      <x:c r="Y20" s="49"/>
      <x:c r="Z20" s="49"/>
      <x:c r="AA20" s="49"/>
      <x:c r="AB20" s="49"/>
      <x:c r="AC20" s="49"/>
      <x:c r="AD20" s="49"/>
      <x:c r="AE20" s="49"/>
      <x:c r="AF20" s="49"/>
      <x:c r="AG20" s="49"/>
      <x:c r="AH20" s="49"/>
      <x:c r="AI20" s="49"/>
      <x:c r="AJ20" s="49"/>
      <x:c r="AK20" s="49"/>
      <x:c r="AL20" s="49"/>
      <x:c r="AM20" s="49"/>
      <x:c r="AN20" s="49"/>
      <x:c r="AO20" s="49"/>
      <x:c r="AP20" s="49"/>
      <x:c r="AQ20" s="49"/>
      <x:c r="AR20" s="49"/>
      <x:c r="AS20" s="49"/>
      <x:c r="AT20" s="49"/>
      <x:c r="AU20" s="49"/>
      <x:c r="AV20" s="49"/>
      <x:c r="AW20" s="49"/>
      <x:c r="AX20" s="49"/>
      <x:c r="AY20" s="49"/>
      <x:c r="AZ20" s="49"/>
    </x:row>
    <x:row r="21">
      <x:c r="A21" s="136" t="str">
        <x:v>绿色</x:v>
      </x:c>
      <x:c r="B21" s="49" t="str">
        <x:v>覆盖良好 / 较低风险提示</x:v>
      </x:c>
      <x:c r="C21" s="49"/>
      <x:c r="D21" s="49"/>
      <x:c r="E21" s="49"/>
      <x:c r="F21" s="49"/>
      <x:c r="G21" s="49"/>
      <x:c r="H21" s="49"/>
      <x:c r="I21" s="49"/>
      <x:c r="J21" s="49"/>
      <x:c r="K21" s="49"/>
      <x:c r="L21" s="49"/>
      <x:c r="M21" s="49"/>
      <x:c r="N21" s="49"/>
      <x:c r="O21" s="49"/>
      <x:c r="P21" s="49"/>
      <x:c r="Q21" s="49"/>
      <x:c r="R21" s="49"/>
      <x:c r="S21" s="49"/>
      <x:c r="T21" s="49"/>
      <x:c r="U21" s="49"/>
      <x:c r="V21" s="49"/>
      <x:c r="W21" s="49"/>
      <x:c r="X21" s="49"/>
      <x:c r="Y21" s="49"/>
      <x:c r="Z21" s="49"/>
      <x:c r="AA21" s="49"/>
      <x:c r="AB21" s="49"/>
      <x:c r="AC21" s="49"/>
      <x:c r="AD21" s="49"/>
      <x:c r="AE21" s="49"/>
      <x:c r="AF21" s="49"/>
      <x:c r="AG21" s="49"/>
      <x:c r="AH21" s="49"/>
      <x:c r="AI21" s="49"/>
      <x:c r="AJ21" s="49"/>
      <x:c r="AK21" s="49"/>
      <x:c r="AL21" s="49"/>
      <x:c r="AM21" s="49"/>
      <x:c r="AN21" s="49"/>
      <x:c r="AO21" s="49"/>
      <x:c r="AP21" s="49"/>
      <x:c r="AQ21" s="49"/>
      <x:c r="AR21" s="49"/>
      <x:c r="AS21" s="49"/>
      <x:c r="AT21" s="49"/>
      <x:c r="AU21" s="49"/>
      <x:c r="AV21" s="49"/>
      <x:c r="AW21" s="49"/>
      <x:c r="AX21" s="49"/>
      <x:c r="AY21" s="49"/>
      <x:c r="AZ21" s="49"/>
    </x:row>
    <x:row r="22">
      <x:c r="A22" s="137" t="str">
        <x:v>红色</x:v>
      </x:c>
      <x:c r="B22" s="49" t="str">
        <x:v>缺口 / 风险 / 使用边界提示</x:v>
      </x:c>
      <x:c r="C22" s="49"/>
      <x:c r="D22" s="49"/>
      <x:c r="E22" s="49"/>
      <x:c r="F22" s="49"/>
      <x:c r="G22" s="49"/>
      <x:c r="H22" s="49"/>
      <x:c r="I22" s="49"/>
      <x:c r="J22" s="49"/>
      <x:c r="K22" s="49"/>
      <x:c r="L22" s="49"/>
      <x:c r="M22" s="49"/>
      <x:c r="N22" s="49"/>
      <x:c r="O22" s="49"/>
      <x:c r="P22" s="49"/>
      <x:c r="Q22" s="49"/>
      <x:c r="R22" s="49"/>
      <x:c r="S22" s="49"/>
      <x:c r="T22" s="49"/>
      <x:c r="U22" s="49"/>
      <x:c r="V22" s="49"/>
      <x:c r="W22" s="49"/>
      <x:c r="X22" s="49"/>
      <x:c r="Y22" s="49"/>
      <x:c r="Z22" s="49"/>
      <x:c r="AA22" s="49"/>
      <x:c r="AB22" s="49"/>
      <x:c r="AC22" s="49"/>
      <x:c r="AD22" s="49"/>
      <x:c r="AE22" s="49"/>
      <x:c r="AF22" s="49"/>
      <x:c r="AG22" s="49"/>
      <x:c r="AH22" s="49"/>
      <x:c r="AI22" s="49"/>
      <x:c r="AJ22" s="49"/>
      <x:c r="AK22" s="49"/>
      <x:c r="AL22" s="49"/>
      <x:c r="AM22" s="49"/>
      <x:c r="AN22" s="49"/>
      <x:c r="AO22" s="49"/>
      <x:c r="AP22" s="49"/>
      <x:c r="AQ22" s="49"/>
      <x:c r="AR22" s="49"/>
      <x:c r="AS22" s="49"/>
      <x:c r="AT22" s="49"/>
      <x:c r="AU22" s="49"/>
      <x:c r="AV22" s="49"/>
      <x:c r="AW22" s="49"/>
      <x:c r="AX22" s="49"/>
      <x:c r="AY22" s="49"/>
      <x:c r="AZ22" s="49"/>
    </x:row>
    <x:row r="23">
      <x:c r="A23" s="49"/>
      <x:c r="B23" s="49"/>
      <x:c r="C23" s="49"/>
      <x:c r="D23" s="49"/>
      <x:c r="E23" s="49"/>
      <x:c r="F23" s="49"/>
      <x:c r="G23" s="49"/>
      <x:c r="H23" s="49"/>
      <x:c r="I23" s="49"/>
      <x:c r="J23" s="49"/>
      <x:c r="K23" s="49"/>
      <x:c r="L23" s="49"/>
      <x:c r="M23" s="49"/>
      <x:c r="N23" s="49"/>
      <x:c r="O23" s="49"/>
      <x:c r="P23" s="49"/>
      <x:c r="Q23" s="49"/>
      <x:c r="R23" s="49"/>
      <x:c r="S23" s="49"/>
      <x:c r="T23" s="49"/>
      <x:c r="U23" s="49"/>
      <x:c r="V23" s="49"/>
      <x:c r="W23" s="49"/>
      <x:c r="X23" s="49"/>
      <x:c r="Y23" s="49"/>
      <x:c r="Z23" s="49"/>
      <x:c r="AA23" s="49"/>
      <x:c r="AB23" s="49"/>
      <x:c r="AC23" s="49"/>
      <x:c r="AD23" s="49"/>
      <x:c r="AE23" s="49"/>
      <x:c r="AF23" s="49"/>
      <x:c r="AG23" s="49"/>
      <x:c r="AH23" s="49"/>
      <x:c r="AI23" s="49"/>
      <x:c r="AJ23" s="49"/>
      <x:c r="AK23" s="49"/>
      <x:c r="AL23" s="49"/>
      <x:c r="AM23" s="49"/>
      <x:c r="AN23" s="49"/>
      <x:c r="AO23" s="49"/>
      <x:c r="AP23" s="49"/>
      <x:c r="AQ23" s="49"/>
      <x:c r="AR23" s="49"/>
      <x:c r="AS23" s="49"/>
      <x:c r="AT23" s="49"/>
      <x:c r="AU23" s="49"/>
      <x:c r="AV23" s="49"/>
      <x:c r="AW23" s="49"/>
      <x:c r="AX23" s="49"/>
      <x:c r="AY23" s="49"/>
      <x:c r="AZ23" s="49"/>
    </x:row>
    <x:row r="24">
      <x:c r="A24" s="49"/>
      <x:c r="B24" s="49"/>
      <x:c r="C24" s="49"/>
      <x:c r="D24" s="49"/>
      <x:c r="E24" s="49"/>
      <x:c r="F24" s="49"/>
      <x:c r="G24" s="49"/>
      <x:c r="H24" s="49"/>
      <x:c r="I24" s="49"/>
      <x:c r="J24" s="49"/>
      <x:c r="K24" s="49"/>
      <x:c r="L24" s="49"/>
      <x:c r="M24" s="49"/>
      <x:c r="N24" s="49"/>
      <x:c r="O24" s="49"/>
      <x:c r="P24" s="49"/>
      <x:c r="Q24" s="49"/>
      <x:c r="R24" s="49"/>
      <x:c r="S24" s="49"/>
      <x:c r="T24" s="49"/>
      <x:c r="U24" s="49"/>
      <x:c r="V24" s="49"/>
      <x:c r="W24" s="49"/>
      <x:c r="X24" s="49"/>
      <x:c r="Y24" s="49"/>
      <x:c r="Z24" s="49"/>
      <x:c r="AA24" s="49"/>
      <x:c r="AB24" s="49"/>
      <x:c r="AC24" s="49"/>
      <x:c r="AD24" s="49"/>
      <x:c r="AE24" s="49"/>
      <x:c r="AF24" s="49"/>
      <x:c r="AG24" s="49"/>
      <x:c r="AH24" s="49"/>
      <x:c r="AI24" s="49"/>
      <x:c r="AJ24" s="49"/>
      <x:c r="AK24" s="49"/>
      <x:c r="AL24" s="49"/>
      <x:c r="AM24" s="49"/>
      <x:c r="AN24" s="49"/>
      <x:c r="AO24" s="49"/>
      <x:c r="AP24" s="49"/>
      <x:c r="AQ24" s="49"/>
      <x:c r="AR24" s="49"/>
      <x:c r="AS24" s="49"/>
      <x:c r="AT24" s="49"/>
      <x:c r="AU24" s="49"/>
      <x:c r="AV24" s="49"/>
      <x:c r="AW24" s="49"/>
      <x:c r="AX24" s="49"/>
      <x:c r="AY24" s="49"/>
      <x:c r="AZ24" s="49"/>
    </x:row>
    <x:row r="25">
      <x:c r="A25" s="49"/>
      <x:c r="B25" s="49"/>
      <x:c r="C25" s="49"/>
      <x:c r="D25" s="49"/>
      <x:c r="E25" s="49"/>
      <x:c r="F25" s="49"/>
      <x:c r="G25" s="49"/>
      <x:c r="H25" s="49"/>
      <x:c r="I25" s="49"/>
      <x:c r="J25" s="49"/>
      <x:c r="K25" s="49"/>
      <x:c r="L25" s="49"/>
      <x:c r="M25" s="49"/>
      <x:c r="N25" s="49"/>
      <x:c r="O25" s="49"/>
      <x:c r="P25" s="49"/>
      <x:c r="Q25" s="49"/>
      <x:c r="R25" s="49"/>
      <x:c r="S25" s="49"/>
      <x:c r="T25" s="49"/>
      <x:c r="U25" s="49"/>
      <x:c r="V25" s="49"/>
      <x:c r="W25" s="49"/>
      <x:c r="X25" s="49"/>
      <x:c r="Y25" s="49"/>
      <x:c r="Z25" s="49"/>
      <x:c r="AA25" s="49"/>
      <x:c r="AB25" s="49"/>
      <x:c r="AC25" s="49"/>
      <x:c r="AD25" s="49"/>
      <x:c r="AE25" s="49"/>
      <x:c r="AF25" s="49"/>
      <x:c r="AG25" s="49"/>
      <x:c r="AH25" s="49"/>
      <x:c r="AI25" s="49"/>
      <x:c r="AJ25" s="49"/>
      <x:c r="AK25" s="49"/>
      <x:c r="AL25" s="49"/>
      <x:c r="AM25" s="49"/>
      <x:c r="AN25" s="49"/>
      <x:c r="AO25" s="49"/>
      <x:c r="AP25" s="49"/>
      <x:c r="AQ25" s="49"/>
      <x:c r="AR25" s="49"/>
      <x:c r="AS25" s="49"/>
      <x:c r="AT25" s="49"/>
      <x:c r="AU25" s="49"/>
      <x:c r="AV25" s="49"/>
      <x:c r="AW25" s="49"/>
      <x:c r="AX25" s="49"/>
      <x:c r="AY25" s="49"/>
      <x:c r="AZ25" s="49"/>
    </x:row>
    <x:row r="26">
      <x:c r="A26" s="49"/>
      <x:c r="B26" s="49"/>
      <x:c r="C26" s="49"/>
      <x:c r="D26" s="49"/>
      <x:c r="E26" s="49"/>
      <x:c r="F26" s="49"/>
      <x:c r="G26" s="49"/>
      <x:c r="H26" s="49"/>
      <x:c r="I26" s="49"/>
      <x:c r="J26" s="49"/>
      <x:c r="K26" s="49"/>
      <x:c r="L26" s="49"/>
      <x:c r="M26" s="49"/>
      <x:c r="N26" s="49"/>
      <x:c r="O26" s="49"/>
      <x:c r="P26" s="49"/>
      <x:c r="Q26" s="49"/>
      <x:c r="R26" s="49"/>
      <x:c r="S26" s="49"/>
      <x:c r="T26" s="49"/>
      <x:c r="U26" s="49"/>
      <x:c r="V26" s="49"/>
      <x:c r="W26" s="49"/>
      <x:c r="X26" s="49"/>
      <x:c r="Y26" s="49"/>
      <x:c r="Z26" s="49"/>
      <x:c r="AA26" s="49"/>
      <x:c r="AB26" s="49"/>
      <x:c r="AC26" s="49"/>
      <x:c r="AD26" s="49"/>
      <x:c r="AE26" s="49"/>
      <x:c r="AF26" s="49"/>
      <x:c r="AG26" s="49"/>
      <x:c r="AH26" s="49"/>
      <x:c r="AI26" s="49"/>
      <x:c r="AJ26" s="49"/>
      <x:c r="AK26" s="49"/>
      <x:c r="AL26" s="49"/>
      <x:c r="AM26" s="49"/>
      <x:c r="AN26" s="49"/>
      <x:c r="AO26" s="49"/>
      <x:c r="AP26" s="49"/>
      <x:c r="AQ26" s="49"/>
      <x:c r="AR26" s="49"/>
      <x:c r="AS26" s="49"/>
      <x:c r="AT26" s="49"/>
      <x:c r="AU26" s="49"/>
      <x:c r="AV26" s="49"/>
      <x:c r="AW26" s="49"/>
      <x:c r="AX26" s="49"/>
      <x:c r="AY26" s="49"/>
      <x:c r="AZ26" s="49"/>
    </x:row>
    <x:row r="27">
      <x:c r="A27" s="49"/>
      <x:c r="B27" s="49"/>
      <x:c r="C27" s="49"/>
      <x:c r="D27" s="49"/>
      <x:c r="E27" s="49"/>
      <x:c r="F27" s="49"/>
      <x:c r="G27" s="49"/>
      <x:c r="H27" s="49"/>
      <x:c r="I27" s="49"/>
      <x:c r="J27" s="49"/>
      <x:c r="K27" s="49"/>
      <x:c r="L27" s="49"/>
      <x:c r="M27" s="49"/>
      <x:c r="N27" s="49"/>
      <x:c r="O27" s="49"/>
      <x:c r="P27" s="49"/>
      <x:c r="Q27" s="49"/>
      <x:c r="R27" s="49"/>
      <x:c r="S27" s="49"/>
      <x:c r="T27" s="49"/>
      <x:c r="U27" s="49"/>
      <x:c r="V27" s="49"/>
      <x:c r="W27" s="49"/>
      <x:c r="X27" s="49"/>
      <x:c r="Y27" s="49"/>
      <x:c r="Z27" s="49"/>
      <x:c r="AA27" s="49"/>
      <x:c r="AB27" s="49"/>
      <x:c r="AC27" s="49"/>
      <x:c r="AD27" s="49"/>
      <x:c r="AE27" s="49"/>
      <x:c r="AF27" s="49"/>
      <x:c r="AG27" s="49"/>
      <x:c r="AH27" s="49"/>
      <x:c r="AI27" s="49"/>
      <x:c r="AJ27" s="49"/>
      <x:c r="AK27" s="49"/>
      <x:c r="AL27" s="49"/>
      <x:c r="AM27" s="49"/>
      <x:c r="AN27" s="49"/>
      <x:c r="AO27" s="49"/>
      <x:c r="AP27" s="49"/>
      <x:c r="AQ27" s="49"/>
      <x:c r="AR27" s="49"/>
      <x:c r="AS27" s="49"/>
      <x:c r="AT27" s="49"/>
      <x:c r="AU27" s="49"/>
      <x:c r="AV27" s="49"/>
      <x:c r="AW27" s="49"/>
      <x:c r="AX27" s="49"/>
      <x:c r="AY27" s="49"/>
      <x:c r="AZ27" s="49"/>
    </x:row>
    <x:row r="28">
      <x:c r="A28" s="49"/>
      <x:c r="B28" s="49"/>
      <x:c r="C28" s="49"/>
      <x:c r="D28" s="49"/>
      <x:c r="E28" s="49"/>
      <x:c r="F28" s="49"/>
      <x:c r="G28" s="49"/>
      <x:c r="H28" s="49"/>
      <x:c r="I28" s="49"/>
      <x:c r="J28" s="49"/>
      <x:c r="K28" s="49"/>
      <x:c r="L28" s="49"/>
      <x:c r="M28" s="49"/>
      <x:c r="N28" s="49"/>
      <x:c r="O28" s="49"/>
      <x:c r="P28" s="49"/>
      <x:c r="Q28" s="49"/>
      <x:c r="R28" s="49"/>
      <x:c r="S28" s="49"/>
      <x:c r="T28" s="49"/>
      <x:c r="U28" s="49"/>
      <x:c r="V28" s="49"/>
      <x:c r="W28" s="49"/>
      <x:c r="X28" s="49"/>
      <x:c r="Y28" s="49"/>
      <x:c r="Z28" s="49"/>
      <x:c r="AA28" s="49"/>
      <x:c r="AB28" s="49"/>
      <x:c r="AC28" s="49"/>
      <x:c r="AD28" s="49"/>
      <x:c r="AE28" s="49"/>
      <x:c r="AF28" s="49"/>
      <x:c r="AG28" s="49"/>
      <x:c r="AH28" s="49"/>
      <x:c r="AI28" s="49"/>
      <x:c r="AJ28" s="49"/>
      <x:c r="AK28" s="49"/>
      <x:c r="AL28" s="49"/>
      <x:c r="AM28" s="49"/>
      <x:c r="AN28" s="49"/>
      <x:c r="AO28" s="49"/>
      <x:c r="AP28" s="49"/>
      <x:c r="AQ28" s="49"/>
      <x:c r="AR28" s="49"/>
      <x:c r="AS28" s="49"/>
      <x:c r="AT28" s="49"/>
      <x:c r="AU28" s="49"/>
      <x:c r="AV28" s="49"/>
      <x:c r="AW28" s="49"/>
      <x:c r="AX28" s="49"/>
      <x:c r="AY28" s="49"/>
      <x:c r="AZ28" s="49"/>
    </x:row>
    <x:row r="29">
      <x:c r="A29" s="49"/>
      <x:c r="B29" s="49"/>
      <x:c r="C29" s="49"/>
      <x:c r="D29" s="49"/>
      <x:c r="E29" s="49"/>
      <x:c r="F29" s="49"/>
      <x:c r="G29" s="49"/>
      <x:c r="H29" s="49"/>
      <x:c r="I29" s="49"/>
      <x:c r="J29" s="49"/>
      <x:c r="K29" s="49"/>
      <x:c r="L29" s="49"/>
      <x:c r="M29" s="49"/>
      <x:c r="N29" s="49"/>
      <x:c r="O29" s="49"/>
      <x:c r="P29" s="49"/>
      <x:c r="Q29" s="49"/>
      <x:c r="R29" s="49"/>
      <x:c r="S29" s="49"/>
      <x:c r="T29" s="49"/>
      <x:c r="U29" s="49"/>
      <x:c r="V29" s="49"/>
      <x:c r="W29" s="49"/>
      <x:c r="X29" s="49"/>
      <x:c r="Y29" s="49"/>
      <x:c r="Z29" s="49"/>
      <x:c r="AA29" s="49"/>
      <x:c r="AB29" s="49"/>
      <x:c r="AC29" s="49"/>
      <x:c r="AD29" s="49"/>
      <x:c r="AE29" s="49"/>
      <x:c r="AF29" s="49"/>
      <x:c r="AG29" s="49"/>
      <x:c r="AH29" s="49"/>
      <x:c r="AI29" s="49"/>
      <x:c r="AJ29" s="49"/>
      <x:c r="AK29" s="49"/>
      <x:c r="AL29" s="49"/>
      <x:c r="AM29" s="49"/>
      <x:c r="AN29" s="49"/>
      <x:c r="AO29" s="49"/>
      <x:c r="AP29" s="49"/>
      <x:c r="AQ29" s="49"/>
      <x:c r="AR29" s="49"/>
      <x:c r="AS29" s="49"/>
      <x:c r="AT29" s="49"/>
      <x:c r="AU29" s="49"/>
      <x:c r="AV29" s="49"/>
      <x:c r="AW29" s="49"/>
      <x:c r="AX29" s="49"/>
      <x:c r="AY29" s="49"/>
      <x:c r="AZ29" s="49"/>
    </x:row>
    <x:row r="30">
      <x:c r="A30" s="49"/>
      <x:c r="B30" s="49"/>
      <x:c r="C30" s="49"/>
      <x:c r="D30" s="49"/>
      <x:c r="E30" s="49"/>
      <x:c r="F30" s="49"/>
      <x:c r="G30" s="49"/>
      <x:c r="H30" s="49"/>
      <x:c r="I30" s="49"/>
      <x:c r="J30" s="49"/>
      <x:c r="K30" s="49"/>
      <x:c r="L30" s="49"/>
      <x:c r="M30" s="49"/>
      <x:c r="N30" s="49"/>
      <x:c r="O30" s="49"/>
      <x:c r="P30" s="49"/>
      <x:c r="Q30" s="49"/>
      <x:c r="R30" s="49"/>
      <x:c r="S30" s="49"/>
      <x:c r="T30" s="49"/>
      <x:c r="U30" s="49"/>
      <x:c r="V30" s="49"/>
      <x:c r="W30" s="49"/>
      <x:c r="X30" s="49"/>
      <x:c r="Y30" s="49"/>
      <x:c r="Z30" s="49"/>
      <x:c r="AA30" s="49"/>
      <x:c r="AB30" s="49"/>
      <x:c r="AC30" s="49"/>
      <x:c r="AD30" s="49"/>
      <x:c r="AE30" s="49"/>
      <x:c r="AF30" s="49"/>
      <x:c r="AG30" s="49"/>
      <x:c r="AH30" s="49"/>
      <x:c r="AI30" s="49"/>
      <x:c r="AJ30" s="49"/>
      <x:c r="AK30" s="49"/>
      <x:c r="AL30" s="49"/>
      <x:c r="AM30" s="49"/>
      <x:c r="AN30" s="49"/>
      <x:c r="AO30" s="49"/>
      <x:c r="AP30" s="49"/>
      <x:c r="AQ30" s="49"/>
      <x:c r="AR30" s="49"/>
      <x:c r="AS30" s="49"/>
      <x:c r="AT30" s="49"/>
      <x:c r="AU30" s="49"/>
      <x:c r="AV30" s="49"/>
      <x:c r="AW30" s="49"/>
      <x:c r="AX30" s="49"/>
      <x:c r="AY30" s="49"/>
      <x:c r="AZ30" s="49"/>
    </x:row>
    <x:row r="31">
      <x:c r="A31" s="49"/>
      <x:c r="B31" s="49"/>
      <x:c r="C31" s="49"/>
      <x:c r="D31" s="49"/>
      <x:c r="E31" s="49"/>
      <x:c r="F31" s="49"/>
      <x:c r="G31" s="49"/>
      <x:c r="H31" s="49"/>
      <x:c r="I31" s="49"/>
      <x:c r="J31" s="49"/>
      <x:c r="K31" s="49"/>
      <x:c r="L31" s="49"/>
      <x:c r="M31" s="49"/>
      <x:c r="N31" s="49"/>
      <x:c r="O31" s="49"/>
      <x:c r="P31" s="49"/>
      <x:c r="Q31" s="49"/>
      <x:c r="R31" s="49"/>
      <x:c r="S31" s="49"/>
      <x:c r="T31" s="49"/>
      <x:c r="U31" s="49"/>
      <x:c r="V31" s="49"/>
      <x:c r="W31" s="49"/>
      <x:c r="X31" s="49"/>
      <x:c r="Y31" s="49"/>
      <x:c r="Z31" s="49"/>
      <x:c r="AA31" s="49"/>
      <x:c r="AB31" s="49"/>
      <x:c r="AC31" s="49"/>
      <x:c r="AD31" s="49"/>
      <x:c r="AE31" s="49"/>
      <x:c r="AF31" s="49"/>
      <x:c r="AG31" s="49"/>
      <x:c r="AH31" s="49"/>
      <x:c r="AI31" s="49"/>
      <x:c r="AJ31" s="49"/>
      <x:c r="AK31" s="49"/>
      <x:c r="AL31" s="49"/>
      <x:c r="AM31" s="49"/>
      <x:c r="AN31" s="49"/>
      <x:c r="AO31" s="49"/>
      <x:c r="AP31" s="49"/>
      <x:c r="AQ31" s="49"/>
      <x:c r="AR31" s="49"/>
      <x:c r="AS31" s="49"/>
      <x:c r="AT31" s="49"/>
      <x:c r="AU31" s="49"/>
      <x:c r="AV31" s="49"/>
      <x:c r="AW31" s="49"/>
      <x:c r="AX31" s="49"/>
      <x:c r="AY31" s="49"/>
      <x:c r="AZ31" s="49"/>
    </x:row>
    <x:row r="32">
      <x:c r="A32" s="49"/>
      <x:c r="B32" s="49"/>
      <x:c r="C32" s="49"/>
      <x:c r="D32" s="49"/>
      <x:c r="E32" s="49"/>
      <x:c r="F32" s="49"/>
      <x:c r="G32" s="49"/>
      <x:c r="H32" s="49"/>
      <x:c r="I32" s="49"/>
      <x:c r="J32" s="49"/>
      <x:c r="K32" s="49"/>
      <x:c r="L32" s="49"/>
      <x:c r="M32" s="49"/>
      <x:c r="N32" s="49"/>
      <x:c r="O32" s="49"/>
      <x:c r="P32" s="49"/>
      <x:c r="Q32" s="49"/>
      <x:c r="R32" s="49"/>
      <x:c r="S32" s="49"/>
      <x:c r="T32" s="49"/>
      <x:c r="U32" s="49"/>
      <x:c r="V32" s="49"/>
      <x:c r="W32" s="49"/>
      <x:c r="X32" s="49"/>
      <x:c r="Y32" s="49"/>
      <x:c r="Z32" s="49"/>
      <x:c r="AA32" s="49"/>
      <x:c r="AB32" s="49"/>
      <x:c r="AC32" s="49"/>
      <x:c r="AD32" s="49"/>
      <x:c r="AE32" s="49"/>
      <x:c r="AF32" s="49"/>
      <x:c r="AG32" s="49"/>
      <x:c r="AH32" s="49"/>
      <x:c r="AI32" s="49"/>
      <x:c r="AJ32" s="49"/>
      <x:c r="AK32" s="49"/>
      <x:c r="AL32" s="49"/>
      <x:c r="AM32" s="49"/>
      <x:c r="AN32" s="49"/>
      <x:c r="AO32" s="49"/>
      <x:c r="AP32" s="49"/>
      <x:c r="AQ32" s="49"/>
      <x:c r="AR32" s="49"/>
      <x:c r="AS32" s="49"/>
      <x:c r="AT32" s="49"/>
      <x:c r="AU32" s="49"/>
      <x:c r="AV32" s="49"/>
      <x:c r="AW32" s="49"/>
      <x:c r="AX32" s="49"/>
      <x:c r="AY32" s="49"/>
      <x:c r="AZ32" s="49"/>
    </x:row>
    <x:row r="33">
      <x:c r="A33" s="49"/>
      <x:c r="B33" s="49"/>
      <x:c r="C33" s="49"/>
      <x:c r="D33" s="49"/>
      <x:c r="E33" s="49"/>
      <x:c r="F33" s="49"/>
      <x:c r="G33" s="49"/>
      <x:c r="H33" s="49"/>
      <x:c r="I33" s="49"/>
      <x:c r="J33" s="49"/>
      <x:c r="K33" s="49"/>
      <x:c r="L33" s="49"/>
      <x:c r="M33" s="49"/>
      <x:c r="N33" s="49"/>
      <x:c r="O33" s="49"/>
      <x:c r="P33" s="49"/>
      <x:c r="Q33" s="49"/>
      <x:c r="R33" s="49"/>
      <x:c r="S33" s="49"/>
      <x:c r="T33" s="49"/>
      <x:c r="U33" s="49"/>
      <x:c r="V33" s="49"/>
      <x:c r="W33" s="49"/>
      <x:c r="X33" s="49"/>
      <x:c r="Y33" s="49"/>
      <x:c r="Z33" s="49"/>
      <x:c r="AA33" s="49"/>
      <x:c r="AB33" s="49"/>
      <x:c r="AC33" s="49"/>
      <x:c r="AD33" s="49"/>
      <x:c r="AE33" s="49"/>
      <x:c r="AF33" s="49"/>
      <x:c r="AG33" s="49"/>
      <x:c r="AH33" s="49"/>
      <x:c r="AI33" s="49"/>
      <x:c r="AJ33" s="49"/>
      <x:c r="AK33" s="49"/>
      <x:c r="AL33" s="49"/>
      <x:c r="AM33" s="49"/>
      <x:c r="AN33" s="49"/>
      <x:c r="AO33" s="49"/>
      <x:c r="AP33" s="49"/>
      <x:c r="AQ33" s="49"/>
      <x:c r="AR33" s="49"/>
      <x:c r="AS33" s="49"/>
      <x:c r="AT33" s="49"/>
      <x:c r="AU33" s="49"/>
      <x:c r="AV33" s="49"/>
      <x:c r="AW33" s="49"/>
      <x:c r="AX33" s="49"/>
      <x:c r="AY33" s="49"/>
      <x:c r="AZ33" s="49"/>
    </x:row>
    <x:row r="34">
      <x:c r="A34" s="49"/>
      <x:c r="B34" s="49"/>
      <x:c r="C34" s="49"/>
      <x:c r="D34" s="49"/>
      <x:c r="E34" s="49"/>
      <x:c r="F34" s="49"/>
      <x:c r="G34" s="49"/>
      <x:c r="H34" s="49"/>
      <x:c r="I34" s="49"/>
      <x:c r="J34" s="49"/>
      <x:c r="K34" s="49"/>
      <x:c r="L34" s="49"/>
      <x:c r="M34" s="49"/>
      <x:c r="N34" s="49"/>
      <x:c r="O34" s="49"/>
      <x:c r="P34" s="49"/>
      <x:c r="Q34" s="49"/>
      <x:c r="R34" s="49"/>
      <x:c r="S34" s="49"/>
      <x:c r="T34" s="49"/>
      <x:c r="U34" s="49"/>
      <x:c r="V34" s="49"/>
      <x:c r="W34" s="49"/>
      <x:c r="X34" s="49"/>
      <x:c r="Y34" s="49"/>
      <x:c r="Z34" s="49"/>
      <x:c r="AA34" s="49"/>
      <x:c r="AB34" s="49"/>
      <x:c r="AC34" s="49"/>
      <x:c r="AD34" s="49"/>
      <x:c r="AE34" s="49"/>
      <x:c r="AF34" s="49"/>
      <x:c r="AG34" s="49"/>
      <x:c r="AH34" s="49"/>
      <x:c r="AI34" s="49"/>
      <x:c r="AJ34" s="49"/>
      <x:c r="AK34" s="49"/>
      <x:c r="AL34" s="49"/>
      <x:c r="AM34" s="49"/>
      <x:c r="AN34" s="49"/>
      <x:c r="AO34" s="49"/>
      <x:c r="AP34" s="49"/>
      <x:c r="AQ34" s="49"/>
      <x:c r="AR34" s="49"/>
      <x:c r="AS34" s="49"/>
      <x:c r="AT34" s="49"/>
      <x:c r="AU34" s="49"/>
      <x:c r="AV34" s="49"/>
      <x:c r="AW34" s="49"/>
      <x:c r="AX34" s="49"/>
      <x:c r="AY34" s="49"/>
      <x:c r="AZ34" s="49"/>
    </x:row>
    <x:row r="35">
      <x:c r="A35" s="49"/>
      <x:c r="B35" s="49"/>
      <x:c r="C35" s="49"/>
      <x:c r="D35" s="49"/>
      <x:c r="E35" s="49"/>
      <x:c r="F35" s="49"/>
      <x:c r="G35" s="49"/>
      <x:c r="H35" s="49"/>
      <x:c r="I35" s="49"/>
      <x:c r="J35" s="49"/>
      <x:c r="K35" s="49"/>
      <x:c r="L35" s="49"/>
      <x:c r="M35" s="49"/>
      <x:c r="N35" s="49"/>
      <x:c r="O35" s="49"/>
      <x:c r="P35" s="49"/>
      <x:c r="Q35" s="49"/>
      <x:c r="R35" s="49"/>
      <x:c r="S35" s="49"/>
      <x:c r="T35" s="49"/>
      <x:c r="U35" s="49"/>
      <x:c r="V35" s="49"/>
      <x:c r="W35" s="49"/>
      <x:c r="X35" s="49"/>
      <x:c r="Y35" s="49"/>
      <x:c r="Z35" s="49"/>
      <x:c r="AA35" s="49"/>
      <x:c r="AB35" s="49"/>
      <x:c r="AC35" s="49"/>
      <x:c r="AD35" s="49"/>
      <x:c r="AE35" s="49"/>
      <x:c r="AF35" s="49"/>
      <x:c r="AG35" s="49"/>
      <x:c r="AH35" s="49"/>
      <x:c r="AI35" s="49"/>
      <x:c r="AJ35" s="49"/>
      <x:c r="AK35" s="49"/>
      <x:c r="AL35" s="49"/>
      <x:c r="AM35" s="49"/>
      <x:c r="AN35" s="49"/>
      <x:c r="AO35" s="49"/>
      <x:c r="AP35" s="49"/>
      <x:c r="AQ35" s="49"/>
      <x:c r="AR35" s="49"/>
      <x:c r="AS35" s="49"/>
      <x:c r="AT35" s="49"/>
      <x:c r="AU35" s="49"/>
      <x:c r="AV35" s="49"/>
      <x:c r="AW35" s="49"/>
      <x:c r="AX35" s="49"/>
      <x:c r="AY35" s="49"/>
      <x:c r="AZ35" s="49"/>
    </x:row>
    <x:row r="36">
      <x:c r="A36" s="49"/>
      <x:c r="B36" s="49"/>
      <x:c r="C36" s="49"/>
      <x:c r="D36" s="49"/>
      <x:c r="E36" s="49"/>
      <x:c r="F36" s="49"/>
      <x:c r="G36" s="49"/>
      <x:c r="H36" s="49"/>
      <x:c r="I36" s="49"/>
      <x:c r="J36" s="49"/>
      <x:c r="K36" s="49"/>
      <x:c r="L36" s="49"/>
      <x:c r="M36" s="49"/>
      <x:c r="N36" s="49"/>
      <x:c r="O36" s="49"/>
      <x:c r="P36" s="49"/>
      <x:c r="Q36" s="49"/>
      <x:c r="R36" s="49"/>
      <x:c r="S36" s="49"/>
      <x:c r="T36" s="49"/>
      <x:c r="U36" s="49"/>
      <x:c r="V36" s="49"/>
      <x:c r="W36" s="49"/>
      <x:c r="X36" s="49"/>
      <x:c r="Y36" s="49"/>
      <x:c r="Z36" s="49"/>
      <x:c r="AA36" s="49"/>
      <x:c r="AB36" s="49"/>
      <x:c r="AC36" s="49"/>
      <x:c r="AD36" s="49"/>
      <x:c r="AE36" s="49"/>
      <x:c r="AF36" s="49"/>
      <x:c r="AG36" s="49"/>
      <x:c r="AH36" s="49"/>
      <x:c r="AI36" s="49"/>
      <x:c r="AJ36" s="49"/>
      <x:c r="AK36" s="49"/>
      <x:c r="AL36" s="49"/>
      <x:c r="AM36" s="49"/>
      <x:c r="AN36" s="49"/>
      <x:c r="AO36" s="49"/>
      <x:c r="AP36" s="49"/>
      <x:c r="AQ36" s="49"/>
      <x:c r="AR36" s="49"/>
      <x:c r="AS36" s="49"/>
      <x:c r="AT36" s="49"/>
      <x:c r="AU36" s="49"/>
      <x:c r="AV36" s="49"/>
      <x:c r="AW36" s="49"/>
      <x:c r="AX36" s="49"/>
      <x:c r="AY36" s="49"/>
      <x:c r="AZ36" s="49"/>
    </x:row>
    <x:row r="37">
      <x:c r="A37" s="49"/>
      <x:c r="B37" s="49"/>
      <x:c r="C37" s="49"/>
      <x:c r="D37" s="49"/>
      <x:c r="E37" s="49"/>
      <x:c r="F37" s="49"/>
      <x:c r="G37" s="49"/>
      <x:c r="H37" s="49"/>
      <x:c r="I37" s="49"/>
      <x:c r="J37" s="49"/>
      <x:c r="K37" s="49"/>
      <x:c r="L37" s="49"/>
      <x:c r="M37" s="49"/>
      <x:c r="N37" s="49"/>
      <x:c r="O37" s="49"/>
      <x:c r="P37" s="49"/>
      <x:c r="Q37" s="49"/>
      <x:c r="R37" s="49"/>
      <x:c r="S37" s="49"/>
      <x:c r="T37" s="49"/>
      <x:c r="U37" s="49"/>
      <x:c r="V37" s="49"/>
      <x:c r="W37" s="49"/>
      <x:c r="X37" s="49"/>
      <x:c r="Y37" s="49"/>
      <x:c r="Z37" s="49"/>
      <x:c r="AA37" s="49"/>
      <x:c r="AB37" s="49"/>
      <x:c r="AC37" s="49"/>
      <x:c r="AD37" s="49"/>
      <x:c r="AE37" s="49"/>
      <x:c r="AF37" s="49"/>
      <x:c r="AG37" s="49"/>
      <x:c r="AH37" s="49"/>
      <x:c r="AI37" s="49"/>
      <x:c r="AJ37" s="49"/>
      <x:c r="AK37" s="49"/>
      <x:c r="AL37" s="49"/>
      <x:c r="AM37" s="49"/>
      <x:c r="AN37" s="49"/>
      <x:c r="AO37" s="49"/>
      <x:c r="AP37" s="49"/>
      <x:c r="AQ37" s="49"/>
      <x:c r="AR37" s="49"/>
      <x:c r="AS37" s="49"/>
      <x:c r="AT37" s="49"/>
      <x:c r="AU37" s="49"/>
      <x:c r="AV37" s="49"/>
      <x:c r="AW37" s="49"/>
      <x:c r="AX37" s="49"/>
      <x:c r="AY37" s="49"/>
      <x:c r="AZ37" s="49"/>
    </x:row>
    <x:row r="38">
      <x:c r="A38" s="49"/>
      <x:c r="B38" s="49"/>
      <x:c r="C38" s="49"/>
      <x:c r="D38" s="49"/>
      <x:c r="E38" s="49"/>
      <x:c r="F38" s="49"/>
      <x:c r="G38" s="49"/>
      <x:c r="H38" s="49"/>
      <x:c r="I38" s="49"/>
      <x:c r="J38" s="49"/>
      <x:c r="K38" s="49"/>
      <x:c r="L38" s="49"/>
      <x:c r="M38" s="49"/>
      <x:c r="N38" s="49"/>
      <x:c r="O38" s="49"/>
      <x:c r="P38" s="49"/>
      <x:c r="Q38" s="49"/>
      <x:c r="R38" s="49"/>
      <x:c r="S38" s="49"/>
      <x:c r="T38" s="49"/>
      <x:c r="U38" s="49"/>
      <x:c r="V38" s="49"/>
      <x:c r="W38" s="49"/>
      <x:c r="X38" s="49"/>
      <x:c r="Y38" s="49"/>
      <x:c r="Z38" s="49"/>
      <x:c r="AA38" s="49"/>
      <x:c r="AB38" s="49"/>
      <x:c r="AC38" s="49"/>
      <x:c r="AD38" s="49"/>
      <x:c r="AE38" s="49"/>
      <x:c r="AF38" s="49"/>
      <x:c r="AG38" s="49"/>
      <x:c r="AH38" s="49"/>
      <x:c r="AI38" s="49"/>
      <x:c r="AJ38" s="49"/>
      <x:c r="AK38" s="49"/>
      <x:c r="AL38" s="49"/>
      <x:c r="AM38" s="49"/>
      <x:c r="AN38" s="49"/>
      <x:c r="AO38" s="49"/>
      <x:c r="AP38" s="49"/>
      <x:c r="AQ38" s="49"/>
      <x:c r="AR38" s="49"/>
      <x:c r="AS38" s="49"/>
      <x:c r="AT38" s="49"/>
      <x:c r="AU38" s="49"/>
      <x:c r="AV38" s="49"/>
      <x:c r="AW38" s="49"/>
      <x:c r="AX38" s="49"/>
      <x:c r="AY38" s="49"/>
      <x:c r="AZ38" s="49"/>
    </x:row>
    <x:row r="39">
      <x:c r="A39" s="49"/>
      <x:c r="B39" s="49"/>
      <x:c r="C39" s="49"/>
      <x:c r="D39" s="49"/>
      <x:c r="E39" s="49"/>
      <x:c r="F39" s="49"/>
      <x:c r="G39" s="49"/>
      <x:c r="H39" s="49"/>
      <x:c r="I39" s="49"/>
      <x:c r="J39" s="49"/>
      <x:c r="K39" s="49"/>
      <x:c r="L39" s="49"/>
      <x:c r="M39" s="49"/>
      <x:c r="N39" s="49"/>
      <x:c r="O39" s="49"/>
      <x:c r="P39" s="49"/>
      <x:c r="Q39" s="49"/>
      <x:c r="R39" s="49"/>
      <x:c r="S39" s="49"/>
      <x:c r="T39" s="49"/>
      <x:c r="U39" s="49"/>
      <x:c r="V39" s="49"/>
      <x:c r="W39" s="49"/>
      <x:c r="X39" s="49"/>
      <x:c r="Y39" s="49"/>
      <x:c r="Z39" s="49"/>
      <x:c r="AA39" s="49"/>
      <x:c r="AB39" s="49"/>
      <x:c r="AC39" s="49"/>
      <x:c r="AD39" s="49"/>
      <x:c r="AE39" s="49"/>
      <x:c r="AF39" s="49"/>
      <x:c r="AG39" s="49"/>
      <x:c r="AH39" s="49"/>
      <x:c r="AI39" s="49"/>
      <x:c r="AJ39" s="49"/>
      <x:c r="AK39" s="49"/>
      <x:c r="AL39" s="49"/>
      <x:c r="AM39" s="49"/>
      <x:c r="AN39" s="49"/>
      <x:c r="AO39" s="49"/>
      <x:c r="AP39" s="49"/>
      <x:c r="AQ39" s="49"/>
      <x:c r="AR39" s="49"/>
      <x:c r="AS39" s="49"/>
      <x:c r="AT39" s="49"/>
      <x:c r="AU39" s="49"/>
      <x:c r="AV39" s="49"/>
      <x:c r="AW39" s="49"/>
      <x:c r="AX39" s="49"/>
      <x:c r="AY39" s="49"/>
      <x:c r="AZ39" s="49"/>
    </x:row>
    <x:row r="40">
      <x:c r="A40" s="49"/>
      <x:c r="B40" s="49"/>
      <x:c r="C40" s="49"/>
      <x:c r="D40" s="49"/>
      <x:c r="E40" s="49"/>
      <x:c r="F40" s="49"/>
      <x:c r="G40" s="49"/>
      <x:c r="H40" s="49"/>
      <x:c r="I40" s="49"/>
      <x:c r="J40" s="49"/>
      <x:c r="K40" s="49"/>
      <x:c r="L40" s="49"/>
      <x:c r="M40" s="49"/>
      <x:c r="N40" s="49"/>
      <x:c r="O40" s="49"/>
      <x:c r="P40" s="49"/>
      <x:c r="Q40" s="49"/>
      <x:c r="R40" s="49"/>
      <x:c r="S40" s="49"/>
      <x:c r="T40" s="49"/>
      <x:c r="U40" s="49"/>
      <x:c r="V40" s="49"/>
      <x:c r="W40" s="49"/>
      <x:c r="X40" s="49"/>
      <x:c r="Y40" s="49"/>
      <x:c r="Z40" s="49"/>
      <x:c r="AA40" s="49"/>
      <x:c r="AB40" s="49"/>
      <x:c r="AC40" s="49"/>
      <x:c r="AD40" s="49"/>
      <x:c r="AE40" s="49"/>
      <x:c r="AF40" s="49"/>
      <x:c r="AG40" s="49"/>
      <x:c r="AH40" s="49"/>
      <x:c r="AI40" s="49"/>
      <x:c r="AJ40" s="49"/>
      <x:c r="AK40" s="49"/>
      <x:c r="AL40" s="49"/>
      <x:c r="AM40" s="49"/>
      <x:c r="AN40" s="49"/>
      <x:c r="AO40" s="49"/>
      <x:c r="AP40" s="49"/>
      <x:c r="AQ40" s="49"/>
      <x:c r="AR40" s="49"/>
      <x:c r="AS40" s="49"/>
      <x:c r="AT40" s="49"/>
      <x:c r="AU40" s="49"/>
      <x:c r="AV40" s="49"/>
      <x:c r="AW40" s="49"/>
      <x:c r="AX40" s="49"/>
      <x:c r="AY40" s="49"/>
      <x:c r="AZ40" s="49"/>
    </x:row>
    <x:row r="41">
      <x:c r="A41" s="49"/>
      <x:c r="B41" s="49"/>
      <x:c r="C41" s="49"/>
      <x:c r="D41" s="49"/>
      <x:c r="E41" s="49"/>
      <x:c r="F41" s="49"/>
      <x:c r="G41" s="49"/>
      <x:c r="H41" s="49"/>
      <x:c r="I41" s="49"/>
      <x:c r="J41" s="49"/>
      <x:c r="K41" s="49"/>
      <x:c r="L41" s="49"/>
      <x:c r="M41" s="49"/>
      <x:c r="N41" s="49"/>
      <x:c r="O41" s="49"/>
      <x:c r="P41" s="49"/>
      <x:c r="Q41" s="49"/>
      <x:c r="R41" s="49"/>
      <x:c r="S41" s="49"/>
      <x:c r="T41" s="49"/>
      <x:c r="U41" s="49"/>
      <x:c r="V41" s="49"/>
      <x:c r="W41" s="49"/>
      <x:c r="X41" s="49"/>
      <x:c r="Y41" s="49"/>
      <x:c r="Z41" s="49"/>
      <x:c r="AA41" s="49"/>
      <x:c r="AB41" s="49"/>
      <x:c r="AC41" s="49"/>
      <x:c r="AD41" s="49"/>
      <x:c r="AE41" s="49"/>
      <x:c r="AF41" s="49"/>
      <x:c r="AG41" s="49"/>
      <x:c r="AH41" s="49"/>
      <x:c r="AI41" s="49"/>
      <x:c r="AJ41" s="49"/>
      <x:c r="AK41" s="49"/>
      <x:c r="AL41" s="49"/>
      <x:c r="AM41" s="49"/>
      <x:c r="AN41" s="49"/>
      <x:c r="AO41" s="49"/>
      <x:c r="AP41" s="49"/>
      <x:c r="AQ41" s="49"/>
      <x:c r="AR41" s="49"/>
      <x:c r="AS41" s="49"/>
      <x:c r="AT41" s="49"/>
      <x:c r="AU41" s="49"/>
      <x:c r="AV41" s="49"/>
      <x:c r="AW41" s="49"/>
      <x:c r="AX41" s="49"/>
      <x:c r="AY41" s="49"/>
      <x:c r="AZ41" s="49"/>
    </x:row>
    <x:row r="42">
      <x:c r="A42" s="49"/>
      <x:c r="B42" s="49"/>
      <x:c r="C42" s="49"/>
      <x:c r="D42" s="49"/>
      <x:c r="E42" s="49"/>
      <x:c r="F42" s="49"/>
      <x:c r="G42" s="49"/>
      <x:c r="H42" s="49"/>
      <x:c r="I42" s="49"/>
      <x:c r="J42" s="49"/>
      <x:c r="K42" s="49"/>
      <x:c r="L42" s="49"/>
      <x:c r="M42" s="49"/>
      <x:c r="N42" s="49"/>
      <x:c r="O42" s="49"/>
      <x:c r="P42" s="49"/>
      <x:c r="Q42" s="49"/>
      <x:c r="R42" s="49"/>
      <x:c r="S42" s="49"/>
      <x:c r="T42" s="49"/>
      <x:c r="U42" s="49"/>
      <x:c r="V42" s="49"/>
      <x:c r="W42" s="49"/>
      <x:c r="X42" s="49"/>
      <x:c r="Y42" s="49"/>
      <x:c r="Z42" s="49"/>
      <x:c r="AA42" s="49"/>
      <x:c r="AB42" s="49"/>
      <x:c r="AC42" s="49"/>
      <x:c r="AD42" s="49"/>
      <x:c r="AE42" s="49"/>
      <x:c r="AF42" s="49"/>
      <x:c r="AG42" s="49"/>
      <x:c r="AH42" s="49"/>
      <x:c r="AI42" s="49"/>
      <x:c r="AJ42" s="49"/>
      <x:c r="AK42" s="49"/>
      <x:c r="AL42" s="49"/>
      <x:c r="AM42" s="49"/>
      <x:c r="AN42" s="49"/>
      <x:c r="AO42" s="49"/>
      <x:c r="AP42" s="49"/>
      <x:c r="AQ42" s="49"/>
      <x:c r="AR42" s="49"/>
      <x:c r="AS42" s="49"/>
      <x:c r="AT42" s="49"/>
      <x:c r="AU42" s="49"/>
      <x:c r="AV42" s="49"/>
      <x:c r="AW42" s="49"/>
      <x:c r="AX42" s="49"/>
      <x:c r="AY42" s="49"/>
      <x:c r="AZ42" s="49"/>
    </x:row>
    <x:row r="43">
      <x:c r="A43" s="49"/>
      <x:c r="B43" s="49"/>
      <x:c r="C43" s="49"/>
      <x:c r="D43" s="49"/>
      <x:c r="E43" s="49"/>
      <x:c r="F43" s="49"/>
      <x:c r="G43" s="49"/>
      <x:c r="H43" s="49"/>
      <x:c r="I43" s="49"/>
      <x:c r="J43" s="49"/>
      <x:c r="K43" s="49"/>
      <x:c r="L43" s="49"/>
      <x:c r="M43" s="49"/>
      <x:c r="N43" s="49"/>
      <x:c r="O43" s="49"/>
      <x:c r="P43" s="49"/>
      <x:c r="Q43" s="49"/>
      <x:c r="R43" s="49"/>
      <x:c r="S43" s="49"/>
      <x:c r="T43" s="49"/>
      <x:c r="U43" s="49"/>
      <x:c r="V43" s="49"/>
      <x:c r="W43" s="49"/>
      <x:c r="X43" s="49"/>
      <x:c r="Y43" s="49"/>
      <x:c r="Z43" s="49"/>
      <x:c r="AA43" s="49"/>
      <x:c r="AB43" s="49"/>
      <x:c r="AC43" s="49"/>
      <x:c r="AD43" s="49"/>
      <x:c r="AE43" s="49"/>
      <x:c r="AF43" s="49"/>
      <x:c r="AG43" s="49"/>
      <x:c r="AH43" s="49"/>
      <x:c r="AI43" s="49"/>
      <x:c r="AJ43" s="49"/>
      <x:c r="AK43" s="49"/>
      <x:c r="AL43" s="49"/>
      <x:c r="AM43" s="49"/>
      <x:c r="AN43" s="49"/>
      <x:c r="AO43" s="49"/>
      <x:c r="AP43" s="49"/>
      <x:c r="AQ43" s="49"/>
      <x:c r="AR43" s="49"/>
      <x:c r="AS43" s="49"/>
      <x:c r="AT43" s="49"/>
      <x:c r="AU43" s="49"/>
      <x:c r="AV43" s="49"/>
      <x:c r="AW43" s="49"/>
      <x:c r="AX43" s="49"/>
      <x:c r="AY43" s="49"/>
      <x:c r="AZ43" s="49"/>
    </x:row>
    <x:row r="44">
      <x:c r="A44" s="49"/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49"/>
      <x:c r="N44" s="49"/>
      <x:c r="O44" s="49"/>
      <x:c r="P44" s="49"/>
      <x:c r="Q44" s="49"/>
      <x:c r="R44" s="49"/>
      <x:c r="S44" s="49"/>
      <x:c r="T44" s="49"/>
      <x:c r="U44" s="49"/>
      <x:c r="V44" s="49"/>
      <x:c r="W44" s="49"/>
      <x:c r="X44" s="49"/>
      <x:c r="Y44" s="49"/>
      <x:c r="Z44" s="49"/>
      <x:c r="AA44" s="49"/>
      <x:c r="AB44" s="49"/>
      <x:c r="AC44" s="49"/>
      <x:c r="AD44" s="49"/>
      <x:c r="AE44" s="49"/>
      <x:c r="AF44" s="49"/>
      <x:c r="AG44" s="49"/>
      <x:c r="AH44" s="49"/>
      <x:c r="AI44" s="49"/>
      <x:c r="AJ44" s="49"/>
      <x:c r="AK44" s="49"/>
      <x:c r="AL44" s="49"/>
      <x:c r="AM44" s="49"/>
      <x:c r="AN44" s="49"/>
      <x:c r="AO44" s="49"/>
      <x:c r="AP44" s="49"/>
      <x:c r="AQ44" s="49"/>
      <x:c r="AR44" s="49"/>
      <x:c r="AS44" s="49"/>
      <x:c r="AT44" s="49"/>
      <x:c r="AU44" s="49"/>
      <x:c r="AV44" s="49"/>
      <x:c r="AW44" s="49"/>
      <x:c r="AX44" s="49"/>
      <x:c r="AY44" s="49"/>
      <x:c r="AZ44" s="49"/>
    </x:row>
    <x:row r="45">
      <x:c r="A45" s="49"/>
      <x:c r="B45" s="49"/>
      <x:c r="C45" s="49"/>
      <x:c r="D45" s="49"/>
      <x:c r="E45" s="49"/>
      <x:c r="F45" s="49"/>
      <x:c r="G45" s="49"/>
      <x:c r="H45" s="49"/>
      <x:c r="I45" s="49"/>
      <x:c r="J45" s="49"/>
      <x:c r="K45" s="49"/>
      <x:c r="L45" s="49"/>
      <x:c r="M45" s="49"/>
      <x:c r="N45" s="49"/>
      <x:c r="O45" s="49"/>
      <x:c r="P45" s="49"/>
      <x:c r="Q45" s="49"/>
      <x:c r="R45" s="49"/>
      <x:c r="S45" s="49"/>
      <x:c r="T45" s="49"/>
      <x:c r="U45" s="49"/>
      <x:c r="V45" s="49"/>
      <x:c r="W45" s="49"/>
      <x:c r="X45" s="49"/>
      <x:c r="Y45" s="49"/>
      <x:c r="Z45" s="49"/>
      <x:c r="AA45" s="49"/>
      <x:c r="AB45" s="49"/>
      <x:c r="AC45" s="49"/>
      <x:c r="AD45" s="49"/>
      <x:c r="AE45" s="49"/>
      <x:c r="AF45" s="49"/>
      <x:c r="AG45" s="49"/>
      <x:c r="AH45" s="49"/>
      <x:c r="AI45" s="49"/>
      <x:c r="AJ45" s="49"/>
      <x:c r="AK45" s="49"/>
      <x:c r="AL45" s="49"/>
      <x:c r="AM45" s="49"/>
      <x:c r="AN45" s="49"/>
      <x:c r="AO45" s="49"/>
      <x:c r="AP45" s="49"/>
      <x:c r="AQ45" s="49"/>
      <x:c r="AR45" s="49"/>
      <x:c r="AS45" s="49"/>
      <x:c r="AT45" s="49"/>
      <x:c r="AU45" s="49"/>
      <x:c r="AV45" s="49"/>
      <x:c r="AW45" s="49"/>
      <x:c r="AX45" s="49"/>
      <x:c r="AY45" s="49"/>
      <x:c r="AZ45" s="49"/>
    </x:row>
    <x:row r="46">
      <x:c r="A46" s="49"/>
      <x:c r="B46" s="49"/>
      <x:c r="C46" s="49"/>
      <x:c r="D46" s="49"/>
      <x:c r="E46" s="49"/>
      <x:c r="F46" s="49"/>
      <x:c r="G46" s="49"/>
      <x:c r="H46" s="49"/>
      <x:c r="I46" s="49"/>
      <x:c r="J46" s="49"/>
      <x:c r="K46" s="49"/>
      <x:c r="L46" s="49"/>
      <x:c r="M46" s="49"/>
      <x:c r="N46" s="49"/>
      <x:c r="O46" s="49"/>
      <x:c r="P46" s="49"/>
      <x:c r="Q46" s="49"/>
      <x:c r="R46" s="49"/>
      <x:c r="S46" s="49"/>
      <x:c r="T46" s="49"/>
      <x:c r="U46" s="49"/>
      <x:c r="V46" s="49"/>
      <x:c r="W46" s="49"/>
      <x:c r="X46" s="49"/>
      <x:c r="Y46" s="49"/>
      <x:c r="Z46" s="49"/>
      <x:c r="AA46" s="49"/>
      <x:c r="AB46" s="49"/>
      <x:c r="AC46" s="49"/>
      <x:c r="AD46" s="49"/>
      <x:c r="AE46" s="49"/>
      <x:c r="AF46" s="49"/>
      <x:c r="AG46" s="49"/>
      <x:c r="AH46" s="49"/>
      <x:c r="AI46" s="49"/>
      <x:c r="AJ46" s="49"/>
      <x:c r="AK46" s="49"/>
      <x:c r="AL46" s="49"/>
      <x:c r="AM46" s="49"/>
      <x:c r="AN46" s="49"/>
      <x:c r="AO46" s="49"/>
      <x:c r="AP46" s="49"/>
      <x:c r="AQ46" s="49"/>
      <x:c r="AR46" s="49"/>
      <x:c r="AS46" s="49"/>
      <x:c r="AT46" s="49"/>
      <x:c r="AU46" s="49"/>
      <x:c r="AV46" s="49"/>
      <x:c r="AW46" s="49"/>
      <x:c r="AX46" s="49"/>
      <x:c r="AY46" s="49"/>
      <x:c r="AZ46" s="49"/>
    </x:row>
    <x:row r="47">
      <x:c r="A47" s="49"/>
      <x:c r="B47" s="49"/>
      <x:c r="C47" s="49"/>
      <x:c r="D47" s="49"/>
      <x:c r="E47" s="49"/>
      <x:c r="F47" s="49"/>
      <x:c r="G47" s="49"/>
      <x:c r="H47" s="49"/>
      <x:c r="I47" s="49"/>
      <x:c r="J47" s="49"/>
      <x:c r="K47" s="49"/>
      <x:c r="L47" s="49"/>
      <x:c r="M47" s="49"/>
      <x:c r="N47" s="49"/>
      <x:c r="O47" s="49"/>
      <x:c r="P47" s="49"/>
      <x:c r="Q47" s="49"/>
      <x:c r="R47" s="49"/>
      <x:c r="S47" s="49"/>
      <x:c r="T47" s="49"/>
      <x:c r="U47" s="49"/>
      <x:c r="V47" s="49"/>
      <x:c r="W47" s="49"/>
      <x:c r="X47" s="49"/>
      <x:c r="Y47" s="49"/>
      <x:c r="Z47" s="49"/>
      <x:c r="AA47" s="49"/>
      <x:c r="AB47" s="49"/>
      <x:c r="AC47" s="49"/>
      <x:c r="AD47" s="49"/>
      <x:c r="AE47" s="49"/>
      <x:c r="AF47" s="49"/>
      <x:c r="AG47" s="49"/>
      <x:c r="AH47" s="49"/>
      <x:c r="AI47" s="49"/>
      <x:c r="AJ47" s="49"/>
      <x:c r="AK47" s="49"/>
      <x:c r="AL47" s="49"/>
      <x:c r="AM47" s="49"/>
      <x:c r="AN47" s="49"/>
      <x:c r="AO47" s="49"/>
      <x:c r="AP47" s="49"/>
      <x:c r="AQ47" s="49"/>
      <x:c r="AR47" s="49"/>
      <x:c r="AS47" s="49"/>
      <x:c r="AT47" s="49"/>
      <x:c r="AU47" s="49"/>
      <x:c r="AV47" s="49"/>
      <x:c r="AW47" s="49"/>
      <x:c r="AX47" s="49"/>
      <x:c r="AY47" s="49"/>
      <x:c r="AZ47" s="49"/>
    </x:row>
    <x:row r="48">
      <x:c r="A48" s="49"/>
      <x:c r="B48" s="49"/>
      <x:c r="C48" s="49"/>
      <x:c r="D48" s="49"/>
      <x:c r="E48" s="49"/>
      <x:c r="F48" s="49"/>
      <x:c r="G48" s="49"/>
      <x:c r="H48" s="49"/>
      <x:c r="I48" s="49"/>
      <x:c r="J48" s="49"/>
      <x:c r="K48" s="49"/>
      <x:c r="L48" s="49"/>
      <x:c r="M48" s="49"/>
      <x:c r="N48" s="49"/>
      <x:c r="O48" s="49"/>
      <x:c r="P48" s="49"/>
      <x:c r="Q48" s="49"/>
      <x:c r="R48" s="49"/>
      <x:c r="S48" s="49"/>
      <x:c r="T48" s="49"/>
      <x:c r="U48" s="49"/>
      <x:c r="V48" s="49"/>
      <x:c r="W48" s="49"/>
      <x:c r="X48" s="49"/>
      <x:c r="Y48" s="49"/>
      <x:c r="Z48" s="49"/>
      <x:c r="AA48" s="49"/>
      <x:c r="AB48" s="49"/>
      <x:c r="AC48" s="49"/>
      <x:c r="AD48" s="49"/>
      <x:c r="AE48" s="49"/>
      <x:c r="AF48" s="49"/>
      <x:c r="AG48" s="49"/>
      <x:c r="AH48" s="49"/>
      <x:c r="AI48" s="49"/>
      <x:c r="AJ48" s="49"/>
      <x:c r="AK48" s="49"/>
      <x:c r="AL48" s="49"/>
      <x:c r="AM48" s="49"/>
      <x:c r="AN48" s="49"/>
      <x:c r="AO48" s="49"/>
      <x:c r="AP48" s="49"/>
      <x:c r="AQ48" s="49"/>
      <x:c r="AR48" s="49"/>
      <x:c r="AS48" s="49"/>
      <x:c r="AT48" s="49"/>
      <x:c r="AU48" s="49"/>
      <x:c r="AV48" s="49"/>
      <x:c r="AW48" s="49"/>
      <x:c r="AX48" s="49"/>
      <x:c r="AY48" s="49"/>
      <x:c r="AZ48" s="49"/>
    </x:row>
    <x:row r="49">
      <x:c r="A49" s="49"/>
      <x:c r="B49" s="49"/>
      <x:c r="C49" s="49"/>
      <x:c r="D49" s="49"/>
      <x:c r="E49" s="49"/>
      <x:c r="F49" s="49"/>
      <x:c r="G49" s="49"/>
      <x:c r="H49" s="49"/>
      <x:c r="I49" s="49"/>
      <x:c r="J49" s="49"/>
      <x:c r="K49" s="49"/>
      <x:c r="L49" s="49"/>
      <x:c r="M49" s="49"/>
      <x:c r="N49" s="49"/>
      <x:c r="O49" s="49"/>
      <x:c r="P49" s="49"/>
      <x:c r="Q49" s="49"/>
      <x:c r="R49" s="49"/>
      <x:c r="S49" s="49"/>
      <x:c r="T49" s="49"/>
      <x:c r="U49" s="49"/>
      <x:c r="V49" s="49"/>
      <x:c r="W49" s="49"/>
      <x:c r="X49" s="49"/>
      <x:c r="Y49" s="49"/>
      <x:c r="Z49" s="49"/>
      <x:c r="AA49" s="49"/>
      <x:c r="AB49" s="49"/>
      <x:c r="AC49" s="49"/>
      <x:c r="AD49" s="49"/>
      <x:c r="AE49" s="49"/>
      <x:c r="AF49" s="49"/>
      <x:c r="AG49" s="49"/>
      <x:c r="AH49" s="49"/>
      <x:c r="AI49" s="49"/>
      <x:c r="AJ49" s="49"/>
      <x:c r="AK49" s="49"/>
      <x:c r="AL49" s="49"/>
      <x:c r="AM49" s="49"/>
      <x:c r="AN49" s="49"/>
      <x:c r="AO49" s="49"/>
      <x:c r="AP49" s="49"/>
      <x:c r="AQ49" s="49"/>
      <x:c r="AR49" s="49"/>
      <x:c r="AS49" s="49"/>
      <x:c r="AT49" s="49"/>
      <x:c r="AU49" s="49"/>
      <x:c r="AV49" s="49"/>
      <x:c r="AW49" s="49"/>
      <x:c r="AX49" s="49"/>
      <x:c r="AY49" s="49"/>
      <x:c r="AZ49" s="49"/>
    </x:row>
    <x:row r="50">
      <x:c r="A50" s="49"/>
      <x:c r="B50" s="49"/>
      <x:c r="C50" s="49"/>
      <x:c r="D50" s="49"/>
      <x:c r="E50" s="49"/>
      <x:c r="F50" s="49"/>
      <x:c r="G50" s="49"/>
      <x:c r="H50" s="49"/>
      <x:c r="I50" s="49"/>
      <x:c r="J50" s="49"/>
      <x:c r="K50" s="49"/>
      <x:c r="L50" s="49"/>
      <x:c r="M50" s="49"/>
      <x:c r="N50" s="49"/>
      <x:c r="O50" s="49"/>
      <x:c r="P50" s="49"/>
      <x:c r="Q50" s="49"/>
      <x:c r="R50" s="49"/>
      <x:c r="S50" s="49"/>
      <x:c r="T50" s="49"/>
      <x:c r="U50" s="49"/>
      <x:c r="V50" s="49"/>
      <x:c r="W50" s="49"/>
      <x:c r="X50" s="49"/>
      <x:c r="Y50" s="49"/>
      <x:c r="Z50" s="49"/>
      <x:c r="AA50" s="49"/>
      <x:c r="AB50" s="49"/>
      <x:c r="AC50" s="49"/>
      <x:c r="AD50" s="49"/>
      <x:c r="AE50" s="49"/>
      <x:c r="AF50" s="49"/>
      <x:c r="AG50" s="49"/>
      <x:c r="AH50" s="49"/>
      <x:c r="AI50" s="49"/>
      <x:c r="AJ50" s="49"/>
      <x:c r="AK50" s="49"/>
      <x:c r="AL50" s="49"/>
      <x:c r="AM50" s="49"/>
      <x:c r="AN50" s="49"/>
      <x:c r="AO50" s="49"/>
      <x:c r="AP50" s="49"/>
      <x:c r="AQ50" s="49"/>
      <x:c r="AR50" s="49"/>
      <x:c r="AS50" s="49"/>
      <x:c r="AT50" s="49"/>
      <x:c r="AU50" s="49"/>
      <x:c r="AV50" s="49"/>
      <x:c r="AW50" s="49"/>
      <x:c r="AX50" s="49"/>
      <x:c r="AY50" s="49"/>
      <x:c r="AZ50" s="49"/>
    </x:row>
    <x:row r="51">
      <x:c r="A51" s="49"/>
      <x:c r="B51" s="49"/>
      <x:c r="C51" s="49"/>
      <x:c r="D51" s="49"/>
      <x:c r="E51" s="49"/>
      <x:c r="F51" s="49"/>
      <x:c r="G51" s="49"/>
      <x:c r="H51" s="49"/>
      <x:c r="I51" s="49"/>
      <x:c r="J51" s="49"/>
      <x:c r="K51" s="49"/>
      <x:c r="L51" s="49"/>
      <x:c r="M51" s="49"/>
      <x:c r="N51" s="49"/>
      <x:c r="O51" s="49"/>
      <x:c r="P51" s="49"/>
      <x:c r="Q51" s="49"/>
      <x:c r="R51" s="49"/>
      <x:c r="S51" s="49"/>
      <x:c r="T51" s="49"/>
      <x:c r="U51" s="49"/>
      <x:c r="V51" s="49"/>
      <x:c r="W51" s="49"/>
      <x:c r="X51" s="49"/>
      <x:c r="Y51" s="49"/>
      <x:c r="Z51" s="49"/>
      <x:c r="AA51" s="49"/>
      <x:c r="AB51" s="49"/>
      <x:c r="AC51" s="49"/>
      <x:c r="AD51" s="49"/>
      <x:c r="AE51" s="49"/>
      <x:c r="AF51" s="49"/>
      <x:c r="AG51" s="49"/>
      <x:c r="AH51" s="49"/>
      <x:c r="AI51" s="49"/>
      <x:c r="AJ51" s="49"/>
      <x:c r="AK51" s="49"/>
      <x:c r="AL51" s="49"/>
      <x:c r="AM51" s="49"/>
      <x:c r="AN51" s="49"/>
      <x:c r="AO51" s="49"/>
      <x:c r="AP51" s="49"/>
      <x:c r="AQ51" s="49"/>
      <x:c r="AR51" s="49"/>
      <x:c r="AS51" s="49"/>
      <x:c r="AT51" s="49"/>
      <x:c r="AU51" s="49"/>
      <x:c r="AV51" s="49"/>
      <x:c r="AW51" s="49"/>
      <x:c r="AX51" s="49"/>
      <x:c r="AY51" s="49"/>
      <x:c r="AZ51" s="49"/>
    </x:row>
    <x:row r="52">
      <x:c r="A52" s="49"/>
      <x:c r="B52" s="49"/>
      <x:c r="C52" s="49"/>
      <x:c r="D52" s="49"/>
      <x:c r="E52" s="49"/>
      <x:c r="F52" s="49"/>
      <x:c r="G52" s="49"/>
      <x:c r="H52" s="49"/>
      <x:c r="I52" s="49"/>
      <x:c r="J52" s="49"/>
      <x:c r="K52" s="49"/>
      <x:c r="L52" s="49"/>
      <x:c r="M52" s="49"/>
      <x:c r="N52" s="49"/>
      <x:c r="O52" s="49"/>
      <x:c r="P52" s="49"/>
      <x:c r="Q52" s="49"/>
      <x:c r="R52" s="49"/>
      <x:c r="S52" s="49"/>
      <x:c r="T52" s="49"/>
      <x:c r="U52" s="49"/>
      <x:c r="V52" s="49"/>
      <x:c r="W52" s="49"/>
      <x:c r="X52" s="49"/>
      <x:c r="Y52" s="49"/>
      <x:c r="Z52" s="49"/>
      <x:c r="AA52" s="49"/>
      <x:c r="AB52" s="49"/>
      <x:c r="AC52" s="49"/>
      <x:c r="AD52" s="49"/>
      <x:c r="AE52" s="49"/>
      <x:c r="AF52" s="49"/>
      <x:c r="AG52" s="49"/>
      <x:c r="AH52" s="49"/>
      <x:c r="AI52" s="49"/>
      <x:c r="AJ52" s="49"/>
      <x:c r="AK52" s="49"/>
      <x:c r="AL52" s="49"/>
      <x:c r="AM52" s="49"/>
      <x:c r="AN52" s="49"/>
      <x:c r="AO52" s="49"/>
      <x:c r="AP52" s="49"/>
      <x:c r="AQ52" s="49"/>
      <x:c r="AR52" s="49"/>
      <x:c r="AS52" s="49"/>
      <x:c r="AT52" s="49"/>
      <x:c r="AU52" s="49"/>
      <x:c r="AV52" s="49"/>
      <x:c r="AW52" s="49"/>
      <x:c r="AX52" s="49"/>
      <x:c r="AY52" s="49"/>
      <x:c r="AZ52" s="49"/>
    </x:row>
    <x:row r="53">
      <x:c r="A53" s="49"/>
      <x:c r="B53" s="49"/>
      <x:c r="C53" s="49"/>
      <x:c r="D53" s="49"/>
      <x:c r="E53" s="49"/>
      <x:c r="F53" s="49"/>
      <x:c r="G53" s="49"/>
      <x:c r="H53" s="49"/>
      <x:c r="I53" s="49"/>
      <x:c r="J53" s="49"/>
      <x:c r="K53" s="49"/>
      <x:c r="L53" s="49"/>
      <x:c r="M53" s="49"/>
      <x:c r="N53" s="49"/>
      <x:c r="O53" s="49"/>
      <x:c r="P53" s="49"/>
      <x:c r="Q53" s="49"/>
      <x:c r="R53" s="49"/>
      <x:c r="S53" s="49"/>
      <x:c r="T53" s="49"/>
      <x:c r="U53" s="49"/>
      <x:c r="V53" s="49"/>
      <x:c r="W53" s="49"/>
      <x:c r="X53" s="49"/>
      <x:c r="Y53" s="49"/>
      <x:c r="Z53" s="49"/>
      <x:c r="AA53" s="49"/>
      <x:c r="AB53" s="49"/>
      <x:c r="AC53" s="49"/>
      <x:c r="AD53" s="49"/>
      <x:c r="AE53" s="49"/>
      <x:c r="AF53" s="49"/>
      <x:c r="AG53" s="49"/>
      <x:c r="AH53" s="49"/>
      <x:c r="AI53" s="49"/>
      <x:c r="AJ53" s="49"/>
      <x:c r="AK53" s="49"/>
      <x:c r="AL53" s="49"/>
      <x:c r="AM53" s="49"/>
      <x:c r="AN53" s="49"/>
      <x:c r="AO53" s="49"/>
      <x:c r="AP53" s="49"/>
      <x:c r="AQ53" s="49"/>
      <x:c r="AR53" s="49"/>
      <x:c r="AS53" s="49"/>
      <x:c r="AT53" s="49"/>
      <x:c r="AU53" s="49"/>
      <x:c r="AV53" s="49"/>
      <x:c r="AW53" s="49"/>
      <x:c r="AX53" s="49"/>
      <x:c r="AY53" s="49"/>
      <x:c r="AZ53" s="49"/>
    </x:row>
    <x:row r="54">
      <x:c r="A54" s="49"/>
      <x:c r="B54" s="49"/>
      <x:c r="C54" s="49"/>
      <x:c r="D54" s="49"/>
      <x:c r="E54" s="49"/>
      <x:c r="F54" s="49"/>
      <x:c r="G54" s="49"/>
      <x:c r="H54" s="49"/>
      <x:c r="I54" s="49"/>
      <x:c r="J54" s="49"/>
      <x:c r="K54" s="49"/>
      <x:c r="L54" s="49"/>
      <x:c r="M54" s="49"/>
      <x:c r="N54" s="49"/>
      <x:c r="O54" s="49"/>
      <x:c r="P54" s="49"/>
      <x:c r="Q54" s="49"/>
      <x:c r="R54" s="49"/>
      <x:c r="S54" s="49"/>
      <x:c r="T54" s="49"/>
      <x:c r="U54" s="49"/>
      <x:c r="V54" s="49"/>
      <x:c r="W54" s="49"/>
      <x:c r="X54" s="49"/>
      <x:c r="Y54" s="49"/>
      <x:c r="Z54" s="49"/>
      <x:c r="AA54" s="49"/>
      <x:c r="AB54" s="49"/>
      <x:c r="AC54" s="49"/>
      <x:c r="AD54" s="49"/>
      <x:c r="AE54" s="49"/>
      <x:c r="AF54" s="49"/>
      <x:c r="AG54" s="49"/>
      <x:c r="AH54" s="49"/>
      <x:c r="AI54" s="49"/>
      <x:c r="AJ54" s="49"/>
      <x:c r="AK54" s="49"/>
      <x:c r="AL54" s="49"/>
      <x:c r="AM54" s="49"/>
      <x:c r="AN54" s="49"/>
      <x:c r="AO54" s="49"/>
      <x:c r="AP54" s="49"/>
      <x:c r="AQ54" s="49"/>
      <x:c r="AR54" s="49"/>
      <x:c r="AS54" s="49"/>
      <x:c r="AT54" s="49"/>
      <x:c r="AU54" s="49"/>
      <x:c r="AV54" s="49"/>
      <x:c r="AW54" s="49"/>
      <x:c r="AX54" s="49"/>
      <x:c r="AY54" s="49"/>
      <x:c r="AZ54" s="49"/>
    </x:row>
    <x:row r="55">
      <x:c r="A55" s="49"/>
      <x:c r="B55" s="49"/>
      <x:c r="C55" s="49"/>
      <x:c r="D55" s="49"/>
      <x:c r="E55" s="49"/>
      <x:c r="F55" s="49"/>
      <x:c r="G55" s="49"/>
      <x:c r="H55" s="49"/>
      <x:c r="I55" s="49"/>
      <x:c r="J55" s="49"/>
      <x:c r="K55" s="49"/>
      <x:c r="L55" s="49"/>
      <x:c r="M55" s="49"/>
      <x:c r="N55" s="49"/>
      <x:c r="O55" s="49"/>
      <x:c r="P55" s="49"/>
      <x:c r="Q55" s="49"/>
      <x:c r="R55" s="49"/>
      <x:c r="S55" s="49"/>
      <x:c r="T55" s="49"/>
      <x:c r="U55" s="49"/>
      <x:c r="V55" s="49"/>
      <x:c r="W55" s="49"/>
      <x:c r="X55" s="49"/>
      <x:c r="Y55" s="49"/>
      <x:c r="Z55" s="49"/>
      <x:c r="AA55" s="49"/>
      <x:c r="AB55" s="49"/>
      <x:c r="AC55" s="49"/>
      <x:c r="AD55" s="49"/>
      <x:c r="AE55" s="49"/>
      <x:c r="AF55" s="49"/>
      <x:c r="AG55" s="49"/>
      <x:c r="AH55" s="49"/>
      <x:c r="AI55" s="49"/>
      <x:c r="AJ55" s="49"/>
      <x:c r="AK55" s="49"/>
      <x:c r="AL55" s="49"/>
      <x:c r="AM55" s="49"/>
      <x:c r="AN55" s="49"/>
      <x:c r="AO55" s="49"/>
      <x:c r="AP55" s="49"/>
      <x:c r="AQ55" s="49"/>
      <x:c r="AR55" s="49"/>
      <x:c r="AS55" s="49"/>
      <x:c r="AT55" s="49"/>
      <x:c r="AU55" s="49"/>
      <x:c r="AV55" s="49"/>
      <x:c r="AW55" s="49"/>
      <x:c r="AX55" s="49"/>
      <x:c r="AY55" s="49"/>
      <x:c r="AZ55" s="49"/>
    </x:row>
    <x:row r="56">
      <x:c r="A56" s="49"/>
      <x:c r="B56" s="49"/>
      <x:c r="C56" s="49"/>
      <x:c r="D56" s="49"/>
      <x:c r="E56" s="49"/>
      <x:c r="F56" s="49"/>
      <x:c r="G56" s="49"/>
      <x:c r="H56" s="49"/>
      <x:c r="I56" s="49"/>
      <x:c r="J56" s="49"/>
      <x:c r="K56" s="49"/>
      <x:c r="L56" s="49"/>
      <x:c r="M56" s="49"/>
      <x:c r="N56" s="49"/>
      <x:c r="O56" s="49"/>
      <x:c r="P56" s="49"/>
      <x:c r="Q56" s="49"/>
      <x:c r="R56" s="49"/>
      <x:c r="S56" s="49"/>
      <x:c r="T56" s="49"/>
      <x:c r="U56" s="49"/>
      <x:c r="V56" s="49"/>
      <x:c r="W56" s="49"/>
      <x:c r="X56" s="49"/>
      <x:c r="Y56" s="49"/>
      <x:c r="Z56" s="49"/>
      <x:c r="AA56" s="49"/>
      <x:c r="AB56" s="49"/>
      <x:c r="AC56" s="49"/>
      <x:c r="AD56" s="49"/>
      <x:c r="AE56" s="49"/>
      <x:c r="AF56" s="49"/>
      <x:c r="AG56" s="49"/>
      <x:c r="AH56" s="49"/>
      <x:c r="AI56" s="49"/>
      <x:c r="AJ56" s="49"/>
      <x:c r="AK56" s="49"/>
      <x:c r="AL56" s="49"/>
      <x:c r="AM56" s="49"/>
      <x:c r="AN56" s="49"/>
      <x:c r="AO56" s="49"/>
      <x:c r="AP56" s="49"/>
      <x:c r="AQ56" s="49"/>
      <x:c r="AR56" s="49"/>
      <x:c r="AS56" s="49"/>
      <x:c r="AT56" s="49"/>
      <x:c r="AU56" s="49"/>
      <x:c r="AV56" s="49"/>
      <x:c r="AW56" s="49"/>
      <x:c r="AX56" s="49"/>
      <x:c r="AY56" s="49"/>
      <x:c r="AZ56" s="49"/>
    </x:row>
    <x:row r="57">
      <x:c r="A57" s="49"/>
      <x:c r="B57" s="49"/>
      <x:c r="C57" s="49"/>
      <x:c r="D57" s="49"/>
      <x:c r="E57" s="49"/>
      <x:c r="F57" s="49"/>
      <x:c r="G57" s="49"/>
      <x:c r="H57" s="49"/>
      <x:c r="I57" s="49"/>
      <x:c r="J57" s="49"/>
      <x:c r="K57" s="49"/>
      <x:c r="L57" s="49"/>
      <x:c r="M57" s="49"/>
      <x:c r="N57" s="49"/>
      <x:c r="O57" s="49"/>
      <x:c r="P57" s="49"/>
      <x:c r="Q57" s="49"/>
      <x:c r="R57" s="49"/>
      <x:c r="S57" s="49"/>
      <x:c r="T57" s="49"/>
      <x:c r="U57" s="49"/>
      <x:c r="V57" s="49"/>
      <x:c r="W57" s="49"/>
      <x:c r="X57" s="49"/>
      <x:c r="Y57" s="49"/>
      <x:c r="Z57" s="49"/>
      <x:c r="AA57" s="49"/>
      <x:c r="AB57" s="49"/>
      <x:c r="AC57" s="49"/>
      <x:c r="AD57" s="49"/>
      <x:c r="AE57" s="49"/>
      <x:c r="AF57" s="49"/>
      <x:c r="AG57" s="49"/>
      <x:c r="AH57" s="49"/>
      <x:c r="AI57" s="49"/>
      <x:c r="AJ57" s="49"/>
      <x:c r="AK57" s="49"/>
      <x:c r="AL57" s="49"/>
      <x:c r="AM57" s="49"/>
      <x:c r="AN57" s="49"/>
      <x:c r="AO57" s="49"/>
      <x:c r="AP57" s="49"/>
      <x:c r="AQ57" s="49"/>
      <x:c r="AR57" s="49"/>
      <x:c r="AS57" s="49"/>
      <x:c r="AT57" s="49"/>
      <x:c r="AU57" s="49"/>
      <x:c r="AV57" s="49"/>
      <x:c r="AW57" s="49"/>
      <x:c r="AX57" s="49"/>
      <x:c r="AY57" s="49"/>
      <x:c r="AZ57" s="49"/>
    </x:row>
    <x:row r="58">
      <x:c r="A58" s="49"/>
      <x:c r="B58" s="49"/>
      <x:c r="C58" s="49"/>
      <x:c r="D58" s="49"/>
      <x:c r="E58" s="49"/>
      <x:c r="F58" s="49"/>
      <x:c r="G58" s="49"/>
      <x:c r="H58" s="49"/>
      <x:c r="I58" s="49"/>
      <x:c r="J58" s="49"/>
      <x:c r="K58" s="49"/>
      <x:c r="L58" s="49"/>
      <x:c r="M58" s="49"/>
      <x:c r="N58" s="49"/>
      <x:c r="O58" s="49"/>
      <x:c r="P58" s="49"/>
      <x:c r="Q58" s="49"/>
      <x:c r="R58" s="49"/>
      <x:c r="S58" s="49"/>
      <x:c r="T58" s="49"/>
      <x:c r="U58" s="49"/>
      <x:c r="V58" s="49"/>
      <x:c r="W58" s="49"/>
      <x:c r="X58" s="49"/>
      <x:c r="Y58" s="49"/>
      <x:c r="Z58" s="49"/>
      <x:c r="AA58" s="49"/>
      <x:c r="AB58" s="49"/>
      <x:c r="AC58" s="49"/>
      <x:c r="AD58" s="49"/>
      <x:c r="AE58" s="49"/>
      <x:c r="AF58" s="49"/>
      <x:c r="AG58" s="49"/>
      <x:c r="AH58" s="49"/>
      <x:c r="AI58" s="49"/>
      <x:c r="AJ58" s="49"/>
      <x:c r="AK58" s="49"/>
      <x:c r="AL58" s="49"/>
      <x:c r="AM58" s="49"/>
      <x:c r="AN58" s="49"/>
      <x:c r="AO58" s="49"/>
      <x:c r="AP58" s="49"/>
      <x:c r="AQ58" s="49"/>
      <x:c r="AR58" s="49"/>
      <x:c r="AS58" s="49"/>
      <x:c r="AT58" s="49"/>
      <x:c r="AU58" s="49"/>
      <x:c r="AV58" s="49"/>
      <x:c r="AW58" s="49"/>
      <x:c r="AX58" s="49"/>
      <x:c r="AY58" s="49"/>
      <x:c r="AZ58" s="49"/>
    </x:row>
    <x:row r="59">
      <x:c r="A59" s="49"/>
      <x:c r="B59" s="49"/>
      <x:c r="C59" s="49"/>
      <x:c r="D59" s="49"/>
      <x:c r="E59" s="49"/>
      <x:c r="F59" s="49"/>
      <x:c r="G59" s="49"/>
      <x:c r="H59" s="49"/>
      <x:c r="I59" s="49"/>
      <x:c r="J59" s="49"/>
      <x:c r="K59" s="49"/>
      <x:c r="L59" s="49"/>
      <x:c r="M59" s="49"/>
      <x:c r="N59" s="49"/>
      <x:c r="O59" s="49"/>
      <x:c r="P59" s="49"/>
      <x:c r="Q59" s="49"/>
      <x:c r="R59" s="49"/>
      <x:c r="S59" s="49"/>
      <x:c r="T59" s="49"/>
      <x:c r="U59" s="49"/>
      <x:c r="V59" s="49"/>
      <x:c r="W59" s="49"/>
      <x:c r="X59" s="49"/>
      <x:c r="Y59" s="49"/>
      <x:c r="Z59" s="49"/>
      <x:c r="AA59" s="49"/>
      <x:c r="AB59" s="49"/>
      <x:c r="AC59" s="49"/>
      <x:c r="AD59" s="49"/>
      <x:c r="AE59" s="49"/>
      <x:c r="AF59" s="49"/>
      <x:c r="AG59" s="49"/>
      <x:c r="AH59" s="49"/>
      <x:c r="AI59" s="49"/>
      <x:c r="AJ59" s="49"/>
      <x:c r="AK59" s="49"/>
      <x:c r="AL59" s="49"/>
      <x:c r="AM59" s="49"/>
      <x:c r="AN59" s="49"/>
      <x:c r="AO59" s="49"/>
      <x:c r="AP59" s="49"/>
      <x:c r="AQ59" s="49"/>
      <x:c r="AR59" s="49"/>
      <x:c r="AS59" s="49"/>
      <x:c r="AT59" s="49"/>
      <x:c r="AU59" s="49"/>
      <x:c r="AV59" s="49"/>
      <x:c r="AW59" s="49"/>
      <x:c r="AX59" s="49"/>
      <x:c r="AY59" s="49"/>
      <x:c r="AZ59" s="49"/>
    </x:row>
    <x:row r="60">
      <x:c r="A60" s="49"/>
      <x:c r="B60" s="49"/>
      <x:c r="C60" s="49"/>
      <x:c r="D60" s="49"/>
      <x:c r="E60" s="49"/>
      <x:c r="F60" s="49"/>
      <x:c r="G60" s="49"/>
      <x:c r="H60" s="49"/>
      <x:c r="I60" s="49"/>
      <x:c r="J60" s="49"/>
      <x:c r="K60" s="49"/>
      <x:c r="L60" s="49"/>
      <x:c r="M60" s="49"/>
      <x:c r="N60" s="49"/>
      <x:c r="O60" s="49"/>
      <x:c r="P60" s="49"/>
      <x:c r="Q60" s="49"/>
      <x:c r="R60" s="49"/>
      <x:c r="S60" s="49"/>
      <x:c r="T60" s="49"/>
      <x:c r="U60" s="49"/>
      <x:c r="V60" s="49"/>
      <x:c r="W60" s="49"/>
      <x:c r="X60" s="49"/>
      <x:c r="Y60" s="49"/>
      <x:c r="Z60" s="49"/>
      <x:c r="AA60" s="49"/>
      <x:c r="AB60" s="49"/>
      <x:c r="AC60" s="49"/>
      <x:c r="AD60" s="49"/>
      <x:c r="AE60" s="49"/>
      <x:c r="AF60" s="49"/>
      <x:c r="AG60" s="49"/>
      <x:c r="AH60" s="49"/>
      <x:c r="AI60" s="49"/>
      <x:c r="AJ60" s="49"/>
      <x:c r="AK60" s="49"/>
      <x:c r="AL60" s="49"/>
      <x:c r="AM60" s="49"/>
      <x:c r="AN60" s="49"/>
      <x:c r="AO60" s="49"/>
      <x:c r="AP60" s="49"/>
      <x:c r="AQ60" s="49"/>
      <x:c r="AR60" s="49"/>
      <x:c r="AS60" s="49"/>
      <x:c r="AT60" s="49"/>
      <x:c r="AU60" s="49"/>
      <x:c r="AV60" s="49"/>
      <x:c r="AW60" s="49"/>
      <x:c r="AX60" s="49"/>
      <x:c r="AY60" s="49"/>
      <x:c r="AZ60" s="49"/>
    </x:row>
    <x:row r="61">
      <x:c r="A61" s="49"/>
      <x:c r="B61" s="49"/>
      <x:c r="C61" s="49"/>
      <x:c r="D61" s="49"/>
      <x:c r="E61" s="49"/>
      <x:c r="F61" s="49"/>
      <x:c r="G61" s="49"/>
      <x:c r="H61" s="49"/>
      <x:c r="I61" s="49"/>
      <x:c r="J61" s="49"/>
      <x:c r="K61" s="49"/>
      <x:c r="L61" s="49"/>
      <x:c r="M61" s="49"/>
      <x:c r="N61" s="49"/>
      <x:c r="O61" s="49"/>
      <x:c r="P61" s="49"/>
      <x:c r="Q61" s="49"/>
      <x:c r="R61" s="49"/>
      <x:c r="S61" s="49"/>
      <x:c r="T61" s="49"/>
      <x:c r="U61" s="49"/>
      <x:c r="V61" s="49"/>
      <x:c r="W61" s="49"/>
      <x:c r="X61" s="49"/>
      <x:c r="Y61" s="49"/>
      <x:c r="Z61" s="49"/>
      <x:c r="AA61" s="49"/>
      <x:c r="AB61" s="49"/>
      <x:c r="AC61" s="49"/>
      <x:c r="AD61" s="49"/>
      <x:c r="AE61" s="49"/>
      <x:c r="AF61" s="49"/>
      <x:c r="AG61" s="49"/>
      <x:c r="AH61" s="49"/>
      <x:c r="AI61" s="49"/>
      <x:c r="AJ61" s="49"/>
      <x:c r="AK61" s="49"/>
      <x:c r="AL61" s="49"/>
      <x:c r="AM61" s="49"/>
      <x:c r="AN61" s="49"/>
      <x:c r="AO61" s="49"/>
      <x:c r="AP61" s="49"/>
      <x:c r="AQ61" s="49"/>
      <x:c r="AR61" s="49"/>
      <x:c r="AS61" s="49"/>
      <x:c r="AT61" s="49"/>
      <x:c r="AU61" s="49"/>
      <x:c r="AV61" s="49"/>
      <x:c r="AW61" s="49"/>
      <x:c r="AX61" s="49"/>
      <x:c r="AY61" s="49"/>
      <x:c r="AZ61" s="49"/>
    </x:row>
    <x:row r="62">
      <x:c r="A62" s="49"/>
      <x:c r="B62" s="49"/>
      <x:c r="C62" s="49"/>
      <x:c r="D62" s="49"/>
      <x:c r="E62" s="49"/>
      <x:c r="F62" s="49"/>
      <x:c r="G62" s="49"/>
      <x:c r="H62" s="49"/>
      <x:c r="I62" s="49"/>
      <x:c r="J62" s="49"/>
      <x:c r="K62" s="49"/>
      <x:c r="L62" s="49"/>
      <x:c r="M62" s="49"/>
      <x:c r="N62" s="49"/>
      <x:c r="O62" s="49"/>
      <x:c r="P62" s="49"/>
      <x:c r="Q62" s="49"/>
      <x:c r="R62" s="49"/>
      <x:c r="S62" s="49"/>
      <x:c r="T62" s="49"/>
      <x:c r="U62" s="49"/>
      <x:c r="V62" s="49"/>
      <x:c r="W62" s="49"/>
      <x:c r="X62" s="49"/>
      <x:c r="Y62" s="49"/>
      <x:c r="Z62" s="49"/>
      <x:c r="AA62" s="49"/>
      <x:c r="AB62" s="49"/>
      <x:c r="AC62" s="49"/>
      <x:c r="AD62" s="49"/>
      <x:c r="AE62" s="49"/>
      <x:c r="AF62" s="49"/>
      <x:c r="AG62" s="49"/>
      <x:c r="AH62" s="49"/>
      <x:c r="AI62" s="49"/>
      <x:c r="AJ62" s="49"/>
      <x:c r="AK62" s="49"/>
      <x:c r="AL62" s="49"/>
      <x:c r="AM62" s="49"/>
      <x:c r="AN62" s="49"/>
      <x:c r="AO62" s="49"/>
      <x:c r="AP62" s="49"/>
      <x:c r="AQ62" s="49"/>
      <x:c r="AR62" s="49"/>
      <x:c r="AS62" s="49"/>
      <x:c r="AT62" s="49"/>
      <x:c r="AU62" s="49"/>
      <x:c r="AV62" s="49"/>
      <x:c r="AW62" s="49"/>
      <x:c r="AX62" s="49"/>
      <x:c r="AY62" s="49"/>
      <x:c r="AZ62" s="49"/>
    </x:row>
    <x:row r="63">
      <x:c r="A63" s="49"/>
      <x:c r="B63" s="49"/>
      <x:c r="C63" s="49"/>
      <x:c r="D63" s="49"/>
      <x:c r="E63" s="49"/>
      <x:c r="F63" s="49"/>
      <x:c r="G63" s="49"/>
      <x:c r="H63" s="49"/>
      <x:c r="I63" s="49"/>
      <x:c r="J63" s="49"/>
      <x:c r="K63" s="49"/>
      <x:c r="L63" s="49"/>
      <x:c r="M63" s="49"/>
      <x:c r="N63" s="49"/>
      <x:c r="O63" s="49"/>
      <x:c r="P63" s="49"/>
      <x:c r="Q63" s="49"/>
      <x:c r="R63" s="49"/>
      <x:c r="S63" s="49"/>
      <x:c r="T63" s="49"/>
      <x:c r="U63" s="49"/>
      <x:c r="V63" s="49"/>
      <x:c r="W63" s="49"/>
      <x:c r="X63" s="49"/>
      <x:c r="Y63" s="49"/>
      <x:c r="Z63" s="49"/>
      <x:c r="AA63" s="49"/>
      <x:c r="AB63" s="49"/>
      <x:c r="AC63" s="49"/>
      <x:c r="AD63" s="49"/>
      <x:c r="AE63" s="49"/>
      <x:c r="AF63" s="49"/>
      <x:c r="AG63" s="49"/>
      <x:c r="AH63" s="49"/>
      <x:c r="AI63" s="49"/>
      <x:c r="AJ63" s="49"/>
      <x:c r="AK63" s="49"/>
      <x:c r="AL63" s="49"/>
      <x:c r="AM63" s="49"/>
      <x:c r="AN63" s="49"/>
      <x:c r="AO63" s="49"/>
      <x:c r="AP63" s="49"/>
      <x:c r="AQ63" s="49"/>
      <x:c r="AR63" s="49"/>
      <x:c r="AS63" s="49"/>
      <x:c r="AT63" s="49"/>
      <x:c r="AU63" s="49"/>
      <x:c r="AV63" s="49"/>
      <x:c r="AW63" s="49"/>
      <x:c r="AX63" s="49"/>
      <x:c r="AY63" s="49"/>
      <x:c r="AZ63" s="49"/>
    </x:row>
    <x:row r="64">
      <x:c r="A64" s="49"/>
      <x:c r="B64" s="49"/>
      <x:c r="C64" s="49"/>
      <x:c r="D64" s="49"/>
      <x:c r="E64" s="49"/>
      <x:c r="F64" s="49"/>
      <x:c r="G64" s="49"/>
      <x:c r="H64" s="49"/>
      <x:c r="I64" s="49"/>
      <x:c r="J64" s="49"/>
      <x:c r="K64" s="49"/>
      <x:c r="L64" s="49"/>
      <x:c r="M64" s="49"/>
      <x:c r="N64" s="49"/>
      <x:c r="O64" s="49"/>
      <x:c r="P64" s="49"/>
      <x:c r="Q64" s="49"/>
      <x:c r="R64" s="49"/>
      <x:c r="S64" s="49"/>
      <x:c r="T64" s="49"/>
      <x:c r="U64" s="49"/>
      <x:c r="V64" s="49"/>
      <x:c r="W64" s="49"/>
      <x:c r="X64" s="49"/>
      <x:c r="Y64" s="49"/>
      <x:c r="Z64" s="49"/>
      <x:c r="AA64" s="49"/>
      <x:c r="AB64" s="49"/>
      <x:c r="AC64" s="49"/>
      <x:c r="AD64" s="49"/>
      <x:c r="AE64" s="49"/>
      <x:c r="AF64" s="49"/>
      <x:c r="AG64" s="49"/>
      <x:c r="AH64" s="49"/>
      <x:c r="AI64" s="49"/>
      <x:c r="AJ64" s="49"/>
      <x:c r="AK64" s="49"/>
      <x:c r="AL64" s="49"/>
      <x:c r="AM64" s="49"/>
      <x:c r="AN64" s="49"/>
      <x:c r="AO64" s="49"/>
      <x:c r="AP64" s="49"/>
      <x:c r="AQ64" s="49"/>
      <x:c r="AR64" s="49"/>
      <x:c r="AS64" s="49"/>
      <x:c r="AT64" s="49"/>
      <x:c r="AU64" s="49"/>
      <x:c r="AV64" s="49"/>
      <x:c r="AW64" s="49"/>
      <x:c r="AX64" s="49"/>
      <x:c r="AY64" s="49"/>
      <x:c r="AZ64" s="49"/>
    </x:row>
    <x:row r="65">
      <x:c r="A65" s="49"/>
      <x:c r="B65" s="49"/>
      <x:c r="C65" s="49"/>
      <x:c r="D65" s="49"/>
      <x:c r="E65" s="49"/>
      <x:c r="F65" s="49"/>
      <x:c r="G65" s="49"/>
      <x:c r="H65" s="49"/>
      <x:c r="I65" s="49"/>
      <x:c r="J65" s="49"/>
      <x:c r="K65" s="49"/>
      <x:c r="L65" s="49"/>
      <x:c r="M65" s="49"/>
      <x:c r="N65" s="49"/>
      <x:c r="O65" s="49"/>
      <x:c r="P65" s="49"/>
      <x:c r="Q65" s="49"/>
      <x:c r="R65" s="49"/>
      <x:c r="S65" s="49"/>
      <x:c r="T65" s="49"/>
      <x:c r="U65" s="49"/>
      <x:c r="V65" s="49"/>
      <x:c r="W65" s="49"/>
      <x:c r="X65" s="49"/>
      <x:c r="Y65" s="49"/>
      <x:c r="Z65" s="49"/>
      <x:c r="AA65" s="49"/>
      <x:c r="AB65" s="49"/>
      <x:c r="AC65" s="49"/>
      <x:c r="AD65" s="49"/>
      <x:c r="AE65" s="49"/>
      <x:c r="AF65" s="49"/>
      <x:c r="AG65" s="49"/>
      <x:c r="AH65" s="49"/>
      <x:c r="AI65" s="49"/>
      <x:c r="AJ65" s="49"/>
      <x:c r="AK65" s="49"/>
      <x:c r="AL65" s="49"/>
      <x:c r="AM65" s="49"/>
      <x:c r="AN65" s="49"/>
      <x:c r="AO65" s="49"/>
      <x:c r="AP65" s="49"/>
      <x:c r="AQ65" s="49"/>
      <x:c r="AR65" s="49"/>
      <x:c r="AS65" s="49"/>
      <x:c r="AT65" s="49"/>
      <x:c r="AU65" s="49"/>
      <x:c r="AV65" s="49"/>
      <x:c r="AW65" s="49"/>
      <x:c r="AX65" s="49"/>
      <x:c r="AY65" s="49"/>
      <x:c r="AZ65" s="49"/>
    </x:row>
    <x:row r="66">
      <x:c r="A66" s="49"/>
      <x:c r="B66" s="49"/>
      <x:c r="C66" s="49"/>
      <x:c r="D66" s="49"/>
      <x:c r="E66" s="49"/>
      <x:c r="F66" s="49"/>
      <x:c r="G66" s="49"/>
      <x:c r="H66" s="49"/>
      <x:c r="I66" s="49"/>
      <x:c r="J66" s="49"/>
      <x:c r="K66" s="49"/>
      <x:c r="L66" s="49"/>
      <x:c r="M66" s="49"/>
      <x:c r="N66" s="49"/>
      <x:c r="O66" s="49"/>
      <x:c r="P66" s="49"/>
      <x:c r="Q66" s="49"/>
      <x:c r="R66" s="49"/>
      <x:c r="S66" s="49"/>
      <x:c r="T66" s="49"/>
      <x:c r="U66" s="49"/>
      <x:c r="V66" s="49"/>
      <x:c r="W66" s="49"/>
      <x:c r="X66" s="49"/>
      <x:c r="Y66" s="49"/>
      <x:c r="Z66" s="49"/>
      <x:c r="AA66" s="49"/>
      <x:c r="AB66" s="49"/>
      <x:c r="AC66" s="49"/>
      <x:c r="AD66" s="49"/>
      <x:c r="AE66" s="49"/>
      <x:c r="AF66" s="49"/>
      <x:c r="AG66" s="49"/>
      <x:c r="AH66" s="49"/>
      <x:c r="AI66" s="49"/>
      <x:c r="AJ66" s="49"/>
      <x:c r="AK66" s="49"/>
      <x:c r="AL66" s="49"/>
      <x:c r="AM66" s="49"/>
      <x:c r="AN66" s="49"/>
      <x:c r="AO66" s="49"/>
      <x:c r="AP66" s="49"/>
      <x:c r="AQ66" s="49"/>
      <x:c r="AR66" s="49"/>
      <x:c r="AS66" s="49"/>
      <x:c r="AT66" s="49"/>
      <x:c r="AU66" s="49"/>
      <x:c r="AV66" s="49"/>
      <x:c r="AW66" s="49"/>
      <x:c r="AX66" s="49"/>
      <x:c r="AY66" s="49"/>
      <x:c r="AZ66" s="49"/>
    </x:row>
    <x:row r="67">
      <x:c r="A67" s="49"/>
      <x:c r="B67" s="49"/>
      <x:c r="C67" s="49"/>
      <x:c r="D67" s="49"/>
      <x:c r="E67" s="49"/>
      <x:c r="F67" s="49"/>
      <x:c r="G67" s="49"/>
      <x:c r="H67" s="49"/>
      <x:c r="I67" s="49"/>
      <x:c r="J67" s="49"/>
      <x:c r="K67" s="49"/>
      <x:c r="L67" s="49"/>
      <x:c r="M67" s="49"/>
      <x:c r="N67" s="49"/>
      <x:c r="O67" s="49"/>
      <x:c r="P67" s="49"/>
      <x:c r="Q67" s="49"/>
      <x:c r="R67" s="49"/>
      <x:c r="S67" s="49"/>
      <x:c r="T67" s="49"/>
      <x:c r="U67" s="49"/>
      <x:c r="V67" s="49"/>
      <x:c r="W67" s="49"/>
      <x:c r="X67" s="49"/>
      <x:c r="Y67" s="49"/>
      <x:c r="Z67" s="49"/>
      <x:c r="AA67" s="49"/>
      <x:c r="AB67" s="49"/>
      <x:c r="AC67" s="49"/>
      <x:c r="AD67" s="49"/>
      <x:c r="AE67" s="49"/>
      <x:c r="AF67" s="49"/>
      <x:c r="AG67" s="49"/>
      <x:c r="AH67" s="49"/>
      <x:c r="AI67" s="49"/>
      <x:c r="AJ67" s="49"/>
      <x:c r="AK67" s="49"/>
      <x:c r="AL67" s="49"/>
      <x:c r="AM67" s="49"/>
      <x:c r="AN67" s="49"/>
      <x:c r="AO67" s="49"/>
      <x:c r="AP67" s="49"/>
      <x:c r="AQ67" s="49"/>
      <x:c r="AR67" s="49"/>
      <x:c r="AS67" s="49"/>
      <x:c r="AT67" s="49"/>
      <x:c r="AU67" s="49"/>
      <x:c r="AV67" s="49"/>
      <x:c r="AW67" s="49"/>
      <x:c r="AX67" s="49"/>
      <x:c r="AY67" s="49"/>
      <x:c r="AZ67" s="49"/>
    </x:row>
    <x:row r="68">
      <x:c r="A68" s="49"/>
      <x:c r="B68" s="49"/>
      <x:c r="C68" s="49"/>
      <x:c r="D68" s="49"/>
      <x:c r="E68" s="49"/>
      <x:c r="F68" s="49"/>
      <x:c r="G68" s="49"/>
      <x:c r="H68" s="49"/>
      <x:c r="I68" s="49"/>
      <x:c r="J68" s="49"/>
      <x:c r="K68" s="49"/>
      <x:c r="L68" s="49"/>
      <x:c r="M68" s="49"/>
      <x:c r="N68" s="49"/>
      <x:c r="O68" s="49"/>
      <x:c r="P68" s="49"/>
      <x:c r="Q68" s="49"/>
      <x:c r="R68" s="49"/>
      <x:c r="S68" s="49"/>
      <x:c r="T68" s="49"/>
      <x:c r="U68" s="49"/>
      <x:c r="V68" s="49"/>
      <x:c r="W68" s="49"/>
      <x:c r="X68" s="49"/>
      <x:c r="Y68" s="49"/>
      <x:c r="Z68" s="49"/>
      <x:c r="AA68" s="49"/>
      <x:c r="AB68" s="49"/>
      <x:c r="AC68" s="49"/>
      <x:c r="AD68" s="49"/>
      <x:c r="AE68" s="49"/>
      <x:c r="AF68" s="49"/>
      <x:c r="AG68" s="49"/>
      <x:c r="AH68" s="49"/>
      <x:c r="AI68" s="49"/>
      <x:c r="AJ68" s="49"/>
      <x:c r="AK68" s="49"/>
      <x:c r="AL68" s="49"/>
      <x:c r="AM68" s="49"/>
      <x:c r="AN68" s="49"/>
      <x:c r="AO68" s="49"/>
      <x:c r="AP68" s="49"/>
      <x:c r="AQ68" s="49"/>
      <x:c r="AR68" s="49"/>
      <x:c r="AS68" s="49"/>
      <x:c r="AT68" s="49"/>
      <x:c r="AU68" s="49"/>
      <x:c r="AV68" s="49"/>
      <x:c r="AW68" s="49"/>
      <x:c r="AX68" s="49"/>
      <x:c r="AY68" s="49"/>
      <x:c r="AZ68" s="49"/>
    </x:row>
    <x:row r="69">
      <x:c r="A69" s="49"/>
      <x:c r="B69" s="49"/>
      <x:c r="C69" s="49"/>
      <x:c r="D69" s="49"/>
      <x:c r="E69" s="49"/>
      <x:c r="F69" s="49"/>
      <x:c r="G69" s="49"/>
      <x:c r="H69" s="49"/>
      <x:c r="I69" s="49"/>
      <x:c r="J69" s="49"/>
      <x:c r="K69" s="49"/>
      <x:c r="L69" s="49"/>
      <x:c r="M69" s="49"/>
      <x:c r="N69" s="49"/>
      <x:c r="O69" s="49"/>
      <x:c r="P69" s="49"/>
      <x:c r="Q69" s="49"/>
      <x:c r="R69" s="49"/>
      <x:c r="S69" s="49"/>
      <x:c r="T69" s="49"/>
      <x:c r="U69" s="49"/>
      <x:c r="V69" s="49"/>
      <x:c r="W69" s="49"/>
      <x:c r="X69" s="49"/>
      <x:c r="Y69" s="49"/>
      <x:c r="Z69" s="49"/>
      <x:c r="AA69" s="49"/>
      <x:c r="AB69" s="49"/>
      <x:c r="AC69" s="49"/>
      <x:c r="AD69" s="49"/>
      <x:c r="AE69" s="49"/>
      <x:c r="AF69" s="49"/>
      <x:c r="AG69" s="49"/>
      <x:c r="AH69" s="49"/>
      <x:c r="AI69" s="49"/>
      <x:c r="AJ69" s="49"/>
      <x:c r="AK69" s="49"/>
      <x:c r="AL69" s="49"/>
      <x:c r="AM69" s="49"/>
      <x:c r="AN69" s="49"/>
      <x:c r="AO69" s="49"/>
      <x:c r="AP69" s="49"/>
      <x:c r="AQ69" s="49"/>
      <x:c r="AR69" s="49"/>
      <x:c r="AS69" s="49"/>
      <x:c r="AT69" s="49"/>
      <x:c r="AU69" s="49"/>
      <x:c r="AV69" s="49"/>
      <x:c r="AW69" s="49"/>
      <x:c r="AX69" s="49"/>
      <x:c r="AY69" s="49"/>
      <x:c r="AZ69" s="49"/>
    </x:row>
    <x:row r="70">
      <x:c r="A70" s="49"/>
      <x:c r="B70" s="49"/>
      <x:c r="C70" s="49"/>
      <x:c r="D70" s="49"/>
      <x:c r="E70" s="49"/>
      <x:c r="F70" s="49"/>
      <x:c r="G70" s="49"/>
      <x:c r="H70" s="49"/>
      <x:c r="I70" s="49"/>
      <x:c r="J70" s="49"/>
      <x:c r="K70" s="49"/>
      <x:c r="L70" s="49"/>
      <x:c r="M70" s="49"/>
      <x:c r="N70" s="49"/>
      <x:c r="O70" s="49"/>
      <x:c r="P70" s="49"/>
      <x:c r="Q70" s="49"/>
      <x:c r="R70" s="49"/>
      <x:c r="S70" s="49"/>
      <x:c r="T70" s="49"/>
      <x:c r="U70" s="49"/>
      <x:c r="V70" s="49"/>
      <x:c r="W70" s="49"/>
      <x:c r="X70" s="49"/>
      <x:c r="Y70" s="49"/>
      <x:c r="Z70" s="49"/>
      <x:c r="AA70" s="49"/>
      <x:c r="AB70" s="49"/>
      <x:c r="AC70" s="49"/>
      <x:c r="AD70" s="49"/>
      <x:c r="AE70" s="49"/>
      <x:c r="AF70" s="49"/>
      <x:c r="AG70" s="49"/>
      <x:c r="AH70" s="49"/>
      <x:c r="AI70" s="49"/>
      <x:c r="AJ70" s="49"/>
      <x:c r="AK70" s="49"/>
      <x:c r="AL70" s="49"/>
      <x:c r="AM70" s="49"/>
      <x:c r="AN70" s="49"/>
      <x:c r="AO70" s="49"/>
      <x:c r="AP70" s="49"/>
      <x:c r="AQ70" s="49"/>
      <x:c r="AR70" s="49"/>
      <x:c r="AS70" s="49"/>
      <x:c r="AT70" s="49"/>
      <x:c r="AU70" s="49"/>
      <x:c r="AV70" s="49"/>
      <x:c r="AW70" s="49"/>
      <x:c r="AX70" s="49"/>
      <x:c r="AY70" s="49"/>
      <x:c r="AZ70" s="49"/>
    </x:row>
    <x:row r="71">
      <x:c r="A71" s="49"/>
      <x:c r="B71" s="49"/>
      <x:c r="C71" s="49"/>
      <x:c r="D71" s="49"/>
      <x:c r="E71" s="49"/>
      <x:c r="F71" s="49"/>
      <x:c r="G71" s="49"/>
      <x:c r="H71" s="49"/>
      <x:c r="I71" s="49"/>
      <x:c r="J71" s="49"/>
      <x:c r="K71" s="49"/>
      <x:c r="L71" s="49"/>
      <x:c r="M71" s="49"/>
      <x:c r="N71" s="49"/>
      <x:c r="O71" s="49"/>
      <x:c r="P71" s="49"/>
      <x:c r="Q71" s="49"/>
      <x:c r="R71" s="49"/>
      <x:c r="S71" s="49"/>
      <x:c r="T71" s="49"/>
      <x:c r="U71" s="49"/>
      <x:c r="V71" s="49"/>
      <x:c r="W71" s="49"/>
      <x:c r="X71" s="49"/>
      <x:c r="Y71" s="49"/>
      <x:c r="Z71" s="49"/>
      <x:c r="AA71" s="49"/>
      <x:c r="AB71" s="49"/>
      <x:c r="AC71" s="49"/>
      <x:c r="AD71" s="49"/>
      <x:c r="AE71" s="49"/>
      <x:c r="AF71" s="49"/>
      <x:c r="AG71" s="49"/>
      <x:c r="AH71" s="49"/>
      <x:c r="AI71" s="49"/>
      <x:c r="AJ71" s="49"/>
      <x:c r="AK71" s="49"/>
      <x:c r="AL71" s="49"/>
      <x:c r="AM71" s="49"/>
      <x:c r="AN71" s="49"/>
      <x:c r="AO71" s="49"/>
      <x:c r="AP71" s="49"/>
      <x:c r="AQ71" s="49"/>
      <x:c r="AR71" s="49"/>
      <x:c r="AS71" s="49"/>
      <x:c r="AT71" s="49"/>
      <x:c r="AU71" s="49"/>
      <x:c r="AV71" s="49"/>
      <x:c r="AW71" s="49"/>
      <x:c r="AX71" s="49"/>
      <x:c r="AY71" s="49"/>
      <x:c r="AZ71" s="49"/>
    </x:row>
    <x:row r="72">
      <x:c r="A72" s="49"/>
      <x:c r="B72" s="49"/>
      <x:c r="C72" s="49"/>
      <x:c r="D72" s="49"/>
      <x:c r="E72" s="49"/>
      <x:c r="F72" s="49"/>
      <x:c r="G72" s="49"/>
      <x:c r="H72" s="49"/>
      <x:c r="I72" s="49"/>
      <x:c r="J72" s="49"/>
      <x:c r="K72" s="49"/>
      <x:c r="L72" s="49"/>
      <x:c r="M72" s="49"/>
      <x:c r="N72" s="49"/>
      <x:c r="O72" s="49"/>
      <x:c r="P72" s="49"/>
      <x:c r="Q72" s="49"/>
      <x:c r="R72" s="49"/>
      <x:c r="S72" s="49"/>
      <x:c r="T72" s="49"/>
      <x:c r="U72" s="49"/>
      <x:c r="V72" s="49"/>
      <x:c r="W72" s="49"/>
      <x:c r="X72" s="49"/>
      <x:c r="Y72" s="49"/>
      <x:c r="Z72" s="49"/>
      <x:c r="AA72" s="49"/>
      <x:c r="AB72" s="49"/>
      <x:c r="AC72" s="49"/>
      <x:c r="AD72" s="49"/>
      <x:c r="AE72" s="49"/>
      <x:c r="AF72" s="49"/>
      <x:c r="AG72" s="49"/>
      <x:c r="AH72" s="49"/>
      <x:c r="AI72" s="49"/>
      <x:c r="AJ72" s="49"/>
      <x:c r="AK72" s="49"/>
      <x:c r="AL72" s="49"/>
      <x:c r="AM72" s="49"/>
      <x:c r="AN72" s="49"/>
      <x:c r="AO72" s="49"/>
      <x:c r="AP72" s="49"/>
      <x:c r="AQ72" s="49"/>
      <x:c r="AR72" s="49"/>
      <x:c r="AS72" s="49"/>
      <x:c r="AT72" s="49"/>
      <x:c r="AU72" s="49"/>
      <x:c r="AV72" s="49"/>
      <x:c r="AW72" s="49"/>
      <x:c r="AX72" s="49"/>
      <x:c r="AY72" s="49"/>
      <x:c r="AZ72" s="49"/>
    </x:row>
    <x:row r="73">
      <x:c r="A73" s="49"/>
      <x:c r="B73" s="49"/>
      <x:c r="C73" s="49"/>
      <x:c r="D73" s="49"/>
      <x:c r="E73" s="49"/>
      <x:c r="F73" s="49"/>
      <x:c r="G73" s="49"/>
      <x:c r="H73" s="49"/>
      <x:c r="I73" s="49"/>
      <x:c r="J73" s="49"/>
      <x:c r="K73" s="49"/>
      <x:c r="L73" s="49"/>
      <x:c r="M73" s="49"/>
      <x:c r="N73" s="49"/>
      <x:c r="O73" s="49"/>
      <x:c r="P73" s="49"/>
      <x:c r="Q73" s="49"/>
      <x:c r="R73" s="49"/>
      <x:c r="S73" s="49"/>
      <x:c r="T73" s="49"/>
      <x:c r="U73" s="49"/>
      <x:c r="V73" s="49"/>
      <x:c r="W73" s="49"/>
      <x:c r="X73" s="49"/>
      <x:c r="Y73" s="49"/>
      <x:c r="Z73" s="49"/>
      <x:c r="AA73" s="49"/>
      <x:c r="AB73" s="49"/>
      <x:c r="AC73" s="49"/>
      <x:c r="AD73" s="49"/>
      <x:c r="AE73" s="49"/>
      <x:c r="AF73" s="49"/>
      <x:c r="AG73" s="49"/>
      <x:c r="AH73" s="49"/>
      <x:c r="AI73" s="49"/>
      <x:c r="AJ73" s="49"/>
      <x:c r="AK73" s="49"/>
      <x:c r="AL73" s="49"/>
      <x:c r="AM73" s="49"/>
      <x:c r="AN73" s="49"/>
      <x:c r="AO73" s="49"/>
      <x:c r="AP73" s="49"/>
      <x:c r="AQ73" s="49"/>
      <x:c r="AR73" s="49"/>
      <x:c r="AS73" s="49"/>
      <x:c r="AT73" s="49"/>
      <x:c r="AU73" s="49"/>
      <x:c r="AV73" s="49"/>
      <x:c r="AW73" s="49"/>
      <x:c r="AX73" s="49"/>
      <x:c r="AY73" s="49"/>
      <x:c r="AZ73" s="49"/>
    </x:row>
    <x:row r="74">
      <x:c r="A74" s="49"/>
      <x:c r="B74" s="49"/>
      <x:c r="C74" s="49"/>
      <x:c r="D74" s="49"/>
      <x:c r="E74" s="49"/>
      <x:c r="F74" s="49"/>
      <x:c r="G74" s="49"/>
      <x:c r="H74" s="49"/>
      <x:c r="I74" s="49"/>
      <x:c r="J74" s="49"/>
      <x:c r="K74" s="49"/>
      <x:c r="L74" s="49"/>
      <x:c r="M74" s="49"/>
      <x:c r="N74" s="49"/>
      <x:c r="O74" s="49"/>
      <x:c r="P74" s="49"/>
      <x:c r="Q74" s="49"/>
      <x:c r="R74" s="49"/>
      <x:c r="S74" s="49"/>
      <x:c r="T74" s="49"/>
      <x:c r="U74" s="49"/>
      <x:c r="V74" s="49"/>
      <x:c r="W74" s="49"/>
      <x:c r="X74" s="49"/>
      <x:c r="Y74" s="49"/>
      <x:c r="Z74" s="49"/>
      <x:c r="AA74" s="49"/>
      <x:c r="AB74" s="49"/>
      <x:c r="AC74" s="49"/>
      <x:c r="AD74" s="49"/>
      <x:c r="AE74" s="49"/>
      <x:c r="AF74" s="49"/>
      <x:c r="AG74" s="49"/>
      <x:c r="AH74" s="49"/>
      <x:c r="AI74" s="49"/>
      <x:c r="AJ74" s="49"/>
      <x:c r="AK74" s="49"/>
      <x:c r="AL74" s="49"/>
      <x:c r="AM74" s="49"/>
      <x:c r="AN74" s="49"/>
      <x:c r="AO74" s="49"/>
      <x:c r="AP74" s="49"/>
      <x:c r="AQ74" s="49"/>
      <x:c r="AR74" s="49"/>
      <x:c r="AS74" s="49"/>
      <x:c r="AT74" s="49"/>
      <x:c r="AU74" s="49"/>
      <x:c r="AV74" s="49"/>
      <x:c r="AW74" s="49"/>
      <x:c r="AX74" s="49"/>
      <x:c r="AY74" s="49"/>
      <x:c r="AZ74" s="49"/>
    </x:row>
    <x:row r="75">
      <x:c r="A75" s="49"/>
      <x:c r="B75" s="49"/>
      <x:c r="C75" s="49"/>
      <x:c r="D75" s="49"/>
      <x:c r="E75" s="49"/>
      <x:c r="F75" s="49"/>
      <x:c r="G75" s="49"/>
      <x:c r="H75" s="49"/>
      <x:c r="I75" s="49"/>
      <x:c r="J75" s="49"/>
      <x:c r="K75" s="49"/>
      <x:c r="L75" s="49"/>
      <x:c r="M75" s="49"/>
      <x:c r="N75" s="49"/>
      <x:c r="O75" s="49"/>
      <x:c r="P75" s="49"/>
      <x:c r="Q75" s="49"/>
      <x:c r="R75" s="49"/>
      <x:c r="S75" s="49"/>
      <x:c r="T75" s="49"/>
      <x:c r="U75" s="49"/>
      <x:c r="V75" s="49"/>
      <x:c r="W75" s="49"/>
      <x:c r="X75" s="49"/>
      <x:c r="Y75" s="49"/>
      <x:c r="Z75" s="49"/>
      <x:c r="AA75" s="49"/>
      <x:c r="AB75" s="49"/>
      <x:c r="AC75" s="49"/>
      <x:c r="AD75" s="49"/>
      <x:c r="AE75" s="49"/>
      <x:c r="AF75" s="49"/>
      <x:c r="AG75" s="49"/>
      <x:c r="AH75" s="49"/>
      <x:c r="AI75" s="49"/>
      <x:c r="AJ75" s="49"/>
      <x:c r="AK75" s="49"/>
      <x:c r="AL75" s="49"/>
      <x:c r="AM75" s="49"/>
      <x:c r="AN75" s="49"/>
      <x:c r="AO75" s="49"/>
      <x:c r="AP75" s="49"/>
      <x:c r="AQ75" s="49"/>
      <x:c r="AR75" s="49"/>
      <x:c r="AS75" s="49"/>
      <x:c r="AT75" s="49"/>
      <x:c r="AU75" s="49"/>
      <x:c r="AV75" s="49"/>
      <x:c r="AW75" s="49"/>
      <x:c r="AX75" s="49"/>
      <x:c r="AY75" s="49"/>
      <x:c r="AZ75" s="49"/>
    </x:row>
    <x:row r="76">
      <x:c r="A76" s="49"/>
      <x:c r="B76" s="49"/>
      <x:c r="C76" s="49"/>
      <x:c r="D76" s="49"/>
      <x:c r="E76" s="49"/>
      <x:c r="F76" s="49"/>
      <x:c r="G76" s="49"/>
      <x:c r="H76" s="49"/>
      <x:c r="I76" s="49"/>
      <x:c r="J76" s="49"/>
      <x:c r="K76" s="49"/>
      <x:c r="L76" s="49"/>
      <x:c r="M76" s="49"/>
      <x:c r="N76" s="49"/>
      <x:c r="O76" s="49"/>
      <x:c r="P76" s="49"/>
      <x:c r="Q76" s="49"/>
      <x:c r="R76" s="49"/>
      <x:c r="S76" s="49"/>
      <x:c r="T76" s="49"/>
      <x:c r="U76" s="49"/>
      <x:c r="V76" s="49"/>
      <x:c r="W76" s="49"/>
      <x:c r="X76" s="49"/>
      <x:c r="Y76" s="49"/>
      <x:c r="Z76" s="49"/>
      <x:c r="AA76" s="49"/>
      <x:c r="AB76" s="49"/>
      <x:c r="AC76" s="49"/>
      <x:c r="AD76" s="49"/>
      <x:c r="AE76" s="49"/>
      <x:c r="AF76" s="49"/>
      <x:c r="AG76" s="49"/>
      <x:c r="AH76" s="49"/>
      <x:c r="AI76" s="49"/>
      <x:c r="AJ76" s="49"/>
      <x:c r="AK76" s="49"/>
      <x:c r="AL76" s="49"/>
      <x:c r="AM76" s="49"/>
      <x:c r="AN76" s="49"/>
      <x:c r="AO76" s="49"/>
      <x:c r="AP76" s="49"/>
      <x:c r="AQ76" s="49"/>
      <x:c r="AR76" s="49"/>
      <x:c r="AS76" s="49"/>
      <x:c r="AT76" s="49"/>
      <x:c r="AU76" s="49"/>
      <x:c r="AV76" s="49"/>
      <x:c r="AW76" s="49"/>
      <x:c r="AX76" s="49"/>
      <x:c r="AY76" s="49"/>
      <x:c r="AZ76" s="49"/>
    </x:row>
    <x:row r="77">
      <x:c r="A77" s="49"/>
      <x:c r="B77" s="49"/>
      <x:c r="C77" s="49"/>
      <x:c r="D77" s="49"/>
      <x:c r="E77" s="49"/>
      <x:c r="F77" s="49"/>
      <x:c r="G77" s="49"/>
      <x:c r="H77" s="49"/>
      <x:c r="I77" s="49"/>
      <x:c r="J77" s="49"/>
      <x:c r="K77" s="49"/>
      <x:c r="L77" s="49"/>
      <x:c r="M77" s="49"/>
      <x:c r="N77" s="49"/>
      <x:c r="O77" s="49"/>
      <x:c r="P77" s="49"/>
      <x:c r="Q77" s="49"/>
      <x:c r="R77" s="49"/>
      <x:c r="S77" s="49"/>
      <x:c r="T77" s="49"/>
      <x:c r="U77" s="49"/>
      <x:c r="V77" s="49"/>
      <x:c r="W77" s="49"/>
      <x:c r="X77" s="49"/>
      <x:c r="Y77" s="49"/>
      <x:c r="Z77" s="49"/>
      <x:c r="AA77" s="49"/>
      <x:c r="AB77" s="49"/>
      <x:c r="AC77" s="49"/>
      <x:c r="AD77" s="49"/>
      <x:c r="AE77" s="49"/>
      <x:c r="AF77" s="49"/>
      <x:c r="AG77" s="49"/>
      <x:c r="AH77" s="49"/>
      <x:c r="AI77" s="49"/>
      <x:c r="AJ77" s="49"/>
      <x:c r="AK77" s="49"/>
      <x:c r="AL77" s="49"/>
      <x:c r="AM77" s="49"/>
      <x:c r="AN77" s="49"/>
      <x:c r="AO77" s="49"/>
      <x:c r="AP77" s="49"/>
      <x:c r="AQ77" s="49"/>
      <x:c r="AR77" s="49"/>
      <x:c r="AS77" s="49"/>
      <x:c r="AT77" s="49"/>
      <x:c r="AU77" s="49"/>
      <x:c r="AV77" s="49"/>
      <x:c r="AW77" s="49"/>
      <x:c r="AX77" s="49"/>
      <x:c r="AY77" s="49"/>
      <x:c r="AZ77" s="49"/>
    </x:row>
    <x:row r="78">
      <x:c r="A78" s="49"/>
      <x:c r="B78" s="49"/>
      <x:c r="C78" s="49"/>
      <x:c r="D78" s="49"/>
      <x:c r="E78" s="49"/>
      <x:c r="F78" s="49"/>
      <x:c r="G78" s="49"/>
      <x:c r="H78" s="49"/>
      <x:c r="I78" s="49"/>
      <x:c r="J78" s="49"/>
      <x:c r="K78" s="49"/>
      <x:c r="L78" s="49"/>
      <x:c r="M78" s="49"/>
      <x:c r="N78" s="49"/>
      <x:c r="O78" s="49"/>
      <x:c r="P78" s="49"/>
      <x:c r="Q78" s="49"/>
      <x:c r="R78" s="49"/>
      <x:c r="S78" s="49"/>
      <x:c r="T78" s="49"/>
      <x:c r="U78" s="49"/>
      <x:c r="V78" s="49"/>
      <x:c r="W78" s="49"/>
      <x:c r="X78" s="49"/>
      <x:c r="Y78" s="49"/>
      <x:c r="Z78" s="49"/>
      <x:c r="AA78" s="49"/>
      <x:c r="AB78" s="49"/>
      <x:c r="AC78" s="49"/>
      <x:c r="AD78" s="49"/>
      <x:c r="AE78" s="49"/>
      <x:c r="AF78" s="49"/>
      <x:c r="AG78" s="49"/>
      <x:c r="AH78" s="49"/>
      <x:c r="AI78" s="49"/>
      <x:c r="AJ78" s="49"/>
      <x:c r="AK78" s="49"/>
      <x:c r="AL78" s="49"/>
      <x:c r="AM78" s="49"/>
      <x:c r="AN78" s="49"/>
      <x:c r="AO78" s="49"/>
      <x:c r="AP78" s="49"/>
      <x:c r="AQ78" s="49"/>
      <x:c r="AR78" s="49"/>
      <x:c r="AS78" s="49"/>
      <x:c r="AT78" s="49"/>
      <x:c r="AU78" s="49"/>
      <x:c r="AV78" s="49"/>
      <x:c r="AW78" s="49"/>
      <x:c r="AX78" s="49"/>
      <x:c r="AY78" s="49"/>
      <x:c r="AZ78" s="49"/>
    </x:row>
    <x:row r="79">
      <x:c r="A79" s="49"/>
      <x:c r="B79" s="49"/>
      <x:c r="C79" s="49"/>
      <x:c r="D79" s="49"/>
      <x:c r="E79" s="49"/>
      <x:c r="F79" s="49"/>
      <x:c r="G79" s="49"/>
      <x:c r="H79" s="49"/>
      <x:c r="I79" s="49"/>
      <x:c r="J79" s="49"/>
      <x:c r="K79" s="49"/>
      <x:c r="L79" s="49"/>
      <x:c r="M79" s="49"/>
      <x:c r="N79" s="49"/>
      <x:c r="O79" s="49"/>
      <x:c r="P79" s="49"/>
      <x:c r="Q79" s="49"/>
      <x:c r="R79" s="49"/>
      <x:c r="S79" s="49"/>
      <x:c r="T79" s="49"/>
      <x:c r="U79" s="49"/>
      <x:c r="V79" s="49"/>
      <x:c r="W79" s="49"/>
      <x:c r="X79" s="49"/>
      <x:c r="Y79" s="49"/>
      <x:c r="Z79" s="49"/>
      <x:c r="AA79" s="49"/>
      <x:c r="AB79" s="49"/>
      <x:c r="AC79" s="49"/>
      <x:c r="AD79" s="49"/>
      <x:c r="AE79" s="49"/>
      <x:c r="AF79" s="49"/>
      <x:c r="AG79" s="49"/>
      <x:c r="AH79" s="49"/>
      <x:c r="AI79" s="49"/>
      <x:c r="AJ79" s="49"/>
      <x:c r="AK79" s="49"/>
      <x:c r="AL79" s="49"/>
      <x:c r="AM79" s="49"/>
      <x:c r="AN79" s="49"/>
      <x:c r="AO79" s="49"/>
      <x:c r="AP79" s="49"/>
      <x:c r="AQ79" s="49"/>
      <x:c r="AR79" s="49"/>
      <x:c r="AS79" s="49"/>
      <x:c r="AT79" s="49"/>
      <x:c r="AU79" s="49"/>
      <x:c r="AV79" s="49"/>
      <x:c r="AW79" s="49"/>
      <x:c r="AX79" s="49"/>
      <x:c r="AY79" s="49"/>
      <x:c r="AZ79" s="49"/>
    </x:row>
    <x:row r="80">
      <x:c r="A80" s="49"/>
      <x:c r="B80" s="49"/>
      <x:c r="C80" s="49"/>
      <x:c r="D80" s="49"/>
      <x:c r="E80" s="49"/>
      <x:c r="F80" s="49"/>
      <x:c r="G80" s="49"/>
      <x:c r="H80" s="49"/>
      <x:c r="I80" s="49"/>
      <x:c r="J80" s="49"/>
      <x:c r="K80" s="49"/>
      <x:c r="L80" s="49"/>
      <x:c r="M80" s="49"/>
      <x:c r="N80" s="49"/>
      <x:c r="O80" s="49"/>
      <x:c r="P80" s="49"/>
      <x:c r="Q80" s="49"/>
      <x:c r="R80" s="49"/>
      <x:c r="S80" s="49"/>
      <x:c r="T80" s="49"/>
      <x:c r="U80" s="49"/>
      <x:c r="V80" s="49"/>
      <x:c r="W80" s="49"/>
      <x:c r="X80" s="49"/>
      <x:c r="Y80" s="49"/>
      <x:c r="Z80" s="49"/>
      <x:c r="AA80" s="49"/>
      <x:c r="AB80" s="49"/>
      <x:c r="AC80" s="49"/>
      <x:c r="AD80" s="49"/>
      <x:c r="AE80" s="49"/>
      <x:c r="AF80" s="49"/>
      <x:c r="AG80" s="49"/>
      <x:c r="AH80" s="49"/>
      <x:c r="AI80" s="49"/>
      <x:c r="AJ80" s="49"/>
      <x:c r="AK80" s="49"/>
      <x:c r="AL80" s="49"/>
      <x:c r="AM80" s="49"/>
      <x:c r="AN80" s="49"/>
      <x:c r="AO80" s="49"/>
      <x:c r="AP80" s="49"/>
      <x:c r="AQ80" s="49"/>
      <x:c r="AR80" s="49"/>
      <x:c r="AS80" s="49"/>
      <x:c r="AT80" s="49"/>
      <x:c r="AU80" s="49"/>
      <x:c r="AV80" s="49"/>
      <x:c r="AW80" s="49"/>
      <x:c r="AX80" s="49"/>
      <x:c r="AY80" s="49"/>
      <x:c r="AZ80" s="49"/>
    </x:row>
    <x:row r="81">
      <x:c r="A81" s="49"/>
      <x:c r="B81" s="49"/>
      <x:c r="C81" s="49"/>
      <x:c r="D81" s="49"/>
      <x:c r="E81" s="49"/>
      <x:c r="F81" s="49"/>
      <x:c r="G81" s="49"/>
      <x:c r="H81" s="49"/>
      <x:c r="I81" s="49"/>
      <x:c r="J81" s="49"/>
      <x:c r="K81" s="49"/>
      <x:c r="L81" s="49"/>
      <x:c r="M81" s="49"/>
      <x:c r="N81" s="49"/>
      <x:c r="O81" s="49"/>
      <x:c r="P81" s="49"/>
      <x:c r="Q81" s="49"/>
      <x:c r="R81" s="49"/>
      <x:c r="S81" s="49"/>
      <x:c r="T81" s="49"/>
      <x:c r="U81" s="49"/>
      <x:c r="V81" s="49"/>
      <x:c r="W81" s="49"/>
      <x:c r="X81" s="49"/>
      <x:c r="Y81" s="49"/>
      <x:c r="Z81" s="49"/>
      <x:c r="AA81" s="49"/>
      <x:c r="AB81" s="49"/>
      <x:c r="AC81" s="49"/>
      <x:c r="AD81" s="49"/>
      <x:c r="AE81" s="49"/>
      <x:c r="AF81" s="49"/>
      <x:c r="AG81" s="49"/>
      <x:c r="AH81" s="49"/>
      <x:c r="AI81" s="49"/>
      <x:c r="AJ81" s="49"/>
      <x:c r="AK81" s="49"/>
      <x:c r="AL81" s="49"/>
      <x:c r="AM81" s="49"/>
      <x:c r="AN81" s="49"/>
      <x:c r="AO81" s="49"/>
      <x:c r="AP81" s="49"/>
      <x:c r="AQ81" s="49"/>
      <x:c r="AR81" s="49"/>
      <x:c r="AS81" s="49"/>
      <x:c r="AT81" s="49"/>
      <x:c r="AU81" s="49"/>
      <x:c r="AV81" s="49"/>
      <x:c r="AW81" s="49"/>
      <x:c r="AX81" s="49"/>
      <x:c r="AY81" s="49"/>
      <x:c r="AZ81" s="49"/>
    </x:row>
    <x:row r="82">
      <x:c r="A82" s="49"/>
      <x:c r="B82" s="49"/>
      <x:c r="C82" s="49"/>
      <x:c r="D82" s="49"/>
      <x:c r="E82" s="49"/>
      <x:c r="F82" s="49"/>
      <x:c r="G82" s="49"/>
      <x:c r="H82" s="49"/>
      <x:c r="I82" s="49"/>
      <x:c r="J82" s="49"/>
      <x:c r="K82" s="49"/>
      <x:c r="L82" s="49"/>
      <x:c r="M82" s="49"/>
      <x:c r="N82" s="49"/>
      <x:c r="O82" s="49"/>
      <x:c r="P82" s="49"/>
      <x:c r="Q82" s="49"/>
      <x:c r="R82" s="49"/>
      <x:c r="S82" s="49"/>
      <x:c r="T82" s="49"/>
      <x:c r="U82" s="49"/>
      <x:c r="V82" s="49"/>
      <x:c r="W82" s="49"/>
      <x:c r="X82" s="49"/>
      <x:c r="Y82" s="49"/>
      <x:c r="Z82" s="49"/>
      <x:c r="AA82" s="49"/>
      <x:c r="AB82" s="49"/>
      <x:c r="AC82" s="49"/>
      <x:c r="AD82" s="49"/>
      <x:c r="AE82" s="49"/>
      <x:c r="AF82" s="49"/>
      <x:c r="AG82" s="49"/>
      <x:c r="AH82" s="49"/>
      <x:c r="AI82" s="49"/>
      <x:c r="AJ82" s="49"/>
      <x:c r="AK82" s="49"/>
      <x:c r="AL82" s="49"/>
      <x:c r="AM82" s="49"/>
      <x:c r="AN82" s="49"/>
      <x:c r="AO82" s="49"/>
      <x:c r="AP82" s="49"/>
      <x:c r="AQ82" s="49"/>
      <x:c r="AR82" s="49"/>
      <x:c r="AS82" s="49"/>
      <x:c r="AT82" s="49"/>
      <x:c r="AU82" s="49"/>
      <x:c r="AV82" s="49"/>
      <x:c r="AW82" s="49"/>
      <x:c r="AX82" s="49"/>
      <x:c r="AY82" s="49"/>
      <x:c r="AZ82" s="49"/>
    </x:row>
    <x:row r="83">
      <x:c r="A83" s="49"/>
      <x:c r="B83" s="49"/>
      <x:c r="C83" s="49"/>
      <x:c r="D83" s="49"/>
      <x:c r="E83" s="49"/>
      <x:c r="F83" s="49"/>
      <x:c r="G83" s="49"/>
      <x:c r="H83" s="49"/>
      <x:c r="I83" s="49"/>
      <x:c r="J83" s="49"/>
      <x:c r="K83" s="49"/>
      <x:c r="L83" s="49"/>
      <x:c r="M83" s="49"/>
      <x:c r="N83" s="49"/>
      <x:c r="O83" s="49"/>
      <x:c r="P83" s="49"/>
      <x:c r="Q83" s="49"/>
      <x:c r="R83" s="49"/>
      <x:c r="S83" s="49"/>
      <x:c r="T83" s="49"/>
      <x:c r="U83" s="49"/>
      <x:c r="V83" s="49"/>
      <x:c r="W83" s="49"/>
      <x:c r="X83" s="49"/>
      <x:c r="Y83" s="49"/>
      <x:c r="Z83" s="49"/>
      <x:c r="AA83" s="49"/>
      <x:c r="AB83" s="49"/>
      <x:c r="AC83" s="49"/>
      <x:c r="AD83" s="49"/>
      <x:c r="AE83" s="49"/>
      <x:c r="AF83" s="49"/>
      <x:c r="AG83" s="49"/>
      <x:c r="AH83" s="49"/>
      <x:c r="AI83" s="49"/>
      <x:c r="AJ83" s="49"/>
      <x:c r="AK83" s="49"/>
      <x:c r="AL83" s="49"/>
      <x:c r="AM83" s="49"/>
      <x:c r="AN83" s="49"/>
      <x:c r="AO83" s="49"/>
      <x:c r="AP83" s="49"/>
      <x:c r="AQ83" s="49"/>
      <x:c r="AR83" s="49"/>
      <x:c r="AS83" s="49"/>
      <x:c r="AT83" s="49"/>
      <x:c r="AU83" s="49"/>
      <x:c r="AV83" s="49"/>
      <x:c r="AW83" s="49"/>
      <x:c r="AX83" s="49"/>
      <x:c r="AY83" s="49"/>
      <x:c r="AZ83" s="49"/>
    </x:row>
    <x:row r="84">
      <x:c r="A84" s="49"/>
      <x:c r="B84" s="49"/>
      <x:c r="C84" s="49"/>
      <x:c r="D84" s="49"/>
      <x:c r="E84" s="49"/>
      <x:c r="F84" s="49"/>
      <x:c r="G84" s="49"/>
      <x:c r="H84" s="49"/>
      <x:c r="I84" s="49"/>
      <x:c r="J84" s="49"/>
      <x:c r="K84" s="49"/>
      <x:c r="L84" s="49"/>
      <x:c r="M84" s="49"/>
      <x:c r="N84" s="49"/>
      <x:c r="O84" s="49"/>
      <x:c r="P84" s="49"/>
      <x:c r="Q84" s="49"/>
      <x:c r="R84" s="49"/>
      <x:c r="S84" s="49"/>
      <x:c r="T84" s="49"/>
      <x:c r="U84" s="49"/>
      <x:c r="V84" s="49"/>
      <x:c r="W84" s="49"/>
      <x:c r="X84" s="49"/>
      <x:c r="Y84" s="49"/>
      <x:c r="Z84" s="49"/>
      <x:c r="AA84" s="49"/>
      <x:c r="AB84" s="49"/>
      <x:c r="AC84" s="49"/>
      <x:c r="AD84" s="49"/>
      <x:c r="AE84" s="49"/>
      <x:c r="AF84" s="49"/>
      <x:c r="AG84" s="49"/>
      <x:c r="AH84" s="49"/>
      <x:c r="AI84" s="49"/>
      <x:c r="AJ84" s="49"/>
      <x:c r="AK84" s="49"/>
      <x:c r="AL84" s="49"/>
      <x:c r="AM84" s="49"/>
      <x:c r="AN84" s="49"/>
      <x:c r="AO84" s="49"/>
      <x:c r="AP84" s="49"/>
      <x:c r="AQ84" s="49"/>
      <x:c r="AR84" s="49"/>
      <x:c r="AS84" s="49"/>
      <x:c r="AT84" s="49"/>
      <x:c r="AU84" s="49"/>
      <x:c r="AV84" s="49"/>
      <x:c r="AW84" s="49"/>
      <x:c r="AX84" s="49"/>
      <x:c r="AY84" s="49"/>
      <x:c r="AZ84" s="49"/>
    </x:row>
    <x:row r="85">
      <x:c r="A85" s="49"/>
      <x:c r="B85" s="49"/>
      <x:c r="C85" s="49"/>
      <x:c r="D85" s="49"/>
      <x:c r="E85" s="49"/>
      <x:c r="F85" s="49"/>
      <x:c r="G85" s="49"/>
      <x:c r="H85" s="49"/>
      <x:c r="I85" s="49"/>
      <x:c r="J85" s="49"/>
      <x:c r="K85" s="49"/>
      <x:c r="L85" s="49"/>
      <x:c r="M85" s="49"/>
      <x:c r="N85" s="49"/>
      <x:c r="O85" s="49"/>
      <x:c r="P85" s="49"/>
      <x:c r="Q85" s="49"/>
      <x:c r="R85" s="49"/>
      <x:c r="S85" s="49"/>
      <x:c r="T85" s="49"/>
      <x:c r="U85" s="49"/>
      <x:c r="V85" s="49"/>
      <x:c r="W85" s="49"/>
      <x:c r="X85" s="49"/>
      <x:c r="Y85" s="49"/>
      <x:c r="Z85" s="49"/>
      <x:c r="AA85" s="49"/>
      <x:c r="AB85" s="49"/>
      <x:c r="AC85" s="49"/>
      <x:c r="AD85" s="49"/>
      <x:c r="AE85" s="49"/>
      <x:c r="AF85" s="49"/>
      <x:c r="AG85" s="49"/>
      <x:c r="AH85" s="49"/>
      <x:c r="AI85" s="49"/>
      <x:c r="AJ85" s="49"/>
      <x:c r="AK85" s="49"/>
      <x:c r="AL85" s="49"/>
      <x:c r="AM85" s="49"/>
      <x:c r="AN85" s="49"/>
      <x:c r="AO85" s="49"/>
      <x:c r="AP85" s="49"/>
      <x:c r="AQ85" s="49"/>
      <x:c r="AR85" s="49"/>
      <x:c r="AS85" s="49"/>
      <x:c r="AT85" s="49"/>
      <x:c r="AU85" s="49"/>
      <x:c r="AV85" s="49"/>
      <x:c r="AW85" s="49"/>
      <x:c r="AX85" s="49"/>
      <x:c r="AY85" s="49"/>
      <x:c r="AZ85" s="49"/>
    </x:row>
    <x:row r="86">
      <x:c r="A86" s="49"/>
      <x:c r="B86" s="49"/>
      <x:c r="C86" s="49"/>
      <x:c r="D86" s="49"/>
      <x:c r="E86" s="49"/>
      <x:c r="F86" s="49"/>
      <x:c r="G86" s="49"/>
      <x:c r="H86" s="49"/>
      <x:c r="I86" s="49"/>
      <x:c r="J86" s="49"/>
      <x:c r="K86" s="49"/>
      <x:c r="L86" s="49"/>
      <x:c r="M86" s="49"/>
      <x:c r="N86" s="49"/>
      <x:c r="O86" s="49"/>
      <x:c r="P86" s="49"/>
      <x:c r="Q86" s="49"/>
      <x:c r="R86" s="49"/>
      <x:c r="S86" s="49"/>
      <x:c r="T86" s="49"/>
      <x:c r="U86" s="49"/>
      <x:c r="V86" s="49"/>
      <x:c r="W86" s="49"/>
      <x:c r="X86" s="49"/>
      <x:c r="Y86" s="49"/>
      <x:c r="Z86" s="49"/>
      <x:c r="AA86" s="49"/>
      <x:c r="AB86" s="49"/>
      <x:c r="AC86" s="49"/>
      <x:c r="AD86" s="49"/>
      <x:c r="AE86" s="49"/>
      <x:c r="AF86" s="49"/>
      <x:c r="AG86" s="49"/>
      <x:c r="AH86" s="49"/>
      <x:c r="AI86" s="49"/>
      <x:c r="AJ86" s="49"/>
      <x:c r="AK86" s="49"/>
      <x:c r="AL86" s="49"/>
      <x:c r="AM86" s="49"/>
      <x:c r="AN86" s="49"/>
      <x:c r="AO86" s="49"/>
      <x:c r="AP86" s="49"/>
      <x:c r="AQ86" s="49"/>
      <x:c r="AR86" s="49"/>
      <x:c r="AS86" s="49"/>
      <x:c r="AT86" s="49"/>
      <x:c r="AU86" s="49"/>
      <x:c r="AV86" s="49"/>
      <x:c r="AW86" s="49"/>
      <x:c r="AX86" s="49"/>
      <x:c r="AY86" s="49"/>
      <x:c r="AZ86" s="49"/>
    </x:row>
    <x:row r="87">
      <x:c r="A87" s="49"/>
      <x:c r="B87" s="49"/>
      <x:c r="C87" s="49"/>
      <x:c r="D87" s="49"/>
      <x:c r="E87" s="49"/>
      <x:c r="F87" s="49"/>
      <x:c r="G87" s="49"/>
      <x:c r="H87" s="49"/>
      <x:c r="I87" s="49"/>
      <x:c r="J87" s="49"/>
      <x:c r="K87" s="49"/>
      <x:c r="L87" s="49"/>
      <x:c r="M87" s="49"/>
      <x:c r="N87" s="49"/>
      <x:c r="O87" s="49"/>
      <x:c r="P87" s="49"/>
      <x:c r="Q87" s="49"/>
      <x:c r="R87" s="49"/>
      <x:c r="S87" s="49"/>
      <x:c r="T87" s="49"/>
      <x:c r="U87" s="49"/>
      <x:c r="V87" s="49"/>
      <x:c r="W87" s="49"/>
      <x:c r="X87" s="49"/>
      <x:c r="Y87" s="49"/>
      <x:c r="Z87" s="49"/>
      <x:c r="AA87" s="49"/>
      <x:c r="AB87" s="49"/>
      <x:c r="AC87" s="49"/>
      <x:c r="AD87" s="49"/>
      <x:c r="AE87" s="49"/>
      <x:c r="AF87" s="49"/>
      <x:c r="AG87" s="49"/>
      <x:c r="AH87" s="49"/>
      <x:c r="AI87" s="49"/>
      <x:c r="AJ87" s="49"/>
      <x:c r="AK87" s="49"/>
      <x:c r="AL87" s="49"/>
      <x:c r="AM87" s="49"/>
      <x:c r="AN87" s="49"/>
      <x:c r="AO87" s="49"/>
      <x:c r="AP87" s="49"/>
      <x:c r="AQ87" s="49"/>
      <x:c r="AR87" s="49"/>
      <x:c r="AS87" s="49"/>
      <x:c r="AT87" s="49"/>
      <x:c r="AU87" s="49"/>
      <x:c r="AV87" s="49"/>
      <x:c r="AW87" s="49"/>
      <x:c r="AX87" s="49"/>
      <x:c r="AY87" s="49"/>
      <x:c r="AZ87" s="49"/>
    </x:row>
    <x:row r="88">
      <x:c r="A88" s="49"/>
      <x:c r="B88" s="49"/>
      <x:c r="C88" s="49"/>
      <x:c r="D88" s="49"/>
      <x:c r="E88" s="49"/>
      <x:c r="F88" s="49"/>
      <x:c r="G88" s="49"/>
      <x:c r="H88" s="49"/>
      <x:c r="I88" s="49"/>
      <x:c r="J88" s="49"/>
      <x:c r="K88" s="49"/>
      <x:c r="L88" s="49"/>
      <x:c r="M88" s="49"/>
      <x:c r="N88" s="49"/>
      <x:c r="O88" s="49"/>
      <x:c r="P88" s="49"/>
      <x:c r="Q88" s="49"/>
      <x:c r="R88" s="49"/>
      <x:c r="S88" s="49"/>
      <x:c r="T88" s="49"/>
      <x:c r="U88" s="49"/>
      <x:c r="V88" s="49"/>
      <x:c r="W88" s="49"/>
      <x:c r="X88" s="49"/>
      <x:c r="Y88" s="49"/>
      <x:c r="Z88" s="49"/>
      <x:c r="AA88" s="49"/>
      <x:c r="AB88" s="49"/>
      <x:c r="AC88" s="49"/>
      <x:c r="AD88" s="49"/>
      <x:c r="AE88" s="49"/>
      <x:c r="AF88" s="49"/>
      <x:c r="AG88" s="49"/>
      <x:c r="AH88" s="49"/>
      <x:c r="AI88" s="49"/>
      <x:c r="AJ88" s="49"/>
      <x:c r="AK88" s="49"/>
      <x:c r="AL88" s="49"/>
      <x:c r="AM88" s="49"/>
      <x:c r="AN88" s="49"/>
      <x:c r="AO88" s="49"/>
      <x:c r="AP88" s="49"/>
      <x:c r="AQ88" s="49"/>
      <x:c r="AR88" s="49"/>
      <x:c r="AS88" s="49"/>
      <x:c r="AT88" s="49"/>
      <x:c r="AU88" s="49"/>
      <x:c r="AV88" s="49"/>
      <x:c r="AW88" s="49"/>
      <x:c r="AX88" s="49"/>
      <x:c r="AY88" s="49"/>
      <x:c r="AZ88" s="49"/>
    </x:row>
    <x:row r="89">
      <x:c r="A89" s="49"/>
      <x:c r="B89" s="49"/>
      <x:c r="C89" s="49"/>
      <x:c r="D89" s="49"/>
      <x:c r="E89" s="49"/>
      <x:c r="F89" s="49"/>
      <x:c r="G89" s="49"/>
      <x:c r="H89" s="49"/>
      <x:c r="I89" s="49"/>
      <x:c r="J89" s="49"/>
      <x:c r="K89" s="49"/>
      <x:c r="L89" s="49"/>
      <x:c r="M89" s="49"/>
      <x:c r="N89" s="49"/>
      <x:c r="O89" s="49"/>
      <x:c r="P89" s="49"/>
      <x:c r="Q89" s="49"/>
      <x:c r="R89" s="49"/>
      <x:c r="S89" s="49"/>
      <x:c r="T89" s="49"/>
      <x:c r="U89" s="49"/>
      <x:c r="V89" s="49"/>
      <x:c r="W89" s="49"/>
      <x:c r="X89" s="49"/>
      <x:c r="Y89" s="49"/>
      <x:c r="Z89" s="49"/>
      <x:c r="AA89" s="49"/>
      <x:c r="AB89" s="49"/>
      <x:c r="AC89" s="49"/>
      <x:c r="AD89" s="49"/>
      <x:c r="AE89" s="49"/>
      <x:c r="AF89" s="49"/>
      <x:c r="AG89" s="49"/>
      <x:c r="AH89" s="49"/>
      <x:c r="AI89" s="49"/>
      <x:c r="AJ89" s="49"/>
      <x:c r="AK89" s="49"/>
      <x:c r="AL89" s="49"/>
      <x:c r="AM89" s="49"/>
      <x:c r="AN89" s="49"/>
      <x:c r="AO89" s="49"/>
      <x:c r="AP89" s="49"/>
      <x:c r="AQ89" s="49"/>
      <x:c r="AR89" s="49"/>
      <x:c r="AS89" s="49"/>
      <x:c r="AT89" s="49"/>
      <x:c r="AU89" s="49"/>
      <x:c r="AV89" s="49"/>
      <x:c r="AW89" s="49"/>
      <x:c r="AX89" s="49"/>
      <x:c r="AY89" s="49"/>
      <x:c r="AZ89" s="49"/>
    </x:row>
    <x:row r="90">
      <x:c r="A90" s="49"/>
      <x:c r="B90" s="49"/>
      <x:c r="C90" s="49"/>
      <x:c r="D90" s="49"/>
      <x:c r="E90" s="49"/>
      <x:c r="F90" s="49"/>
      <x:c r="G90" s="49"/>
      <x:c r="H90" s="49"/>
      <x:c r="I90" s="49"/>
      <x:c r="J90" s="49"/>
      <x:c r="K90" s="49"/>
      <x:c r="L90" s="49"/>
      <x:c r="M90" s="49"/>
      <x:c r="N90" s="49"/>
      <x:c r="O90" s="49"/>
      <x:c r="P90" s="49"/>
      <x:c r="Q90" s="49"/>
      <x:c r="R90" s="49"/>
      <x:c r="S90" s="49"/>
      <x:c r="T90" s="49"/>
      <x:c r="U90" s="49"/>
      <x:c r="V90" s="49"/>
      <x:c r="W90" s="49"/>
      <x:c r="X90" s="49"/>
      <x:c r="Y90" s="49"/>
      <x:c r="Z90" s="49"/>
      <x:c r="AA90" s="49"/>
      <x:c r="AB90" s="49"/>
      <x:c r="AC90" s="49"/>
      <x:c r="AD90" s="49"/>
      <x:c r="AE90" s="49"/>
      <x:c r="AF90" s="49"/>
      <x:c r="AG90" s="49"/>
      <x:c r="AH90" s="49"/>
      <x:c r="AI90" s="49"/>
      <x:c r="AJ90" s="49"/>
      <x:c r="AK90" s="49"/>
      <x:c r="AL90" s="49"/>
      <x:c r="AM90" s="49"/>
      <x:c r="AN90" s="49"/>
      <x:c r="AO90" s="49"/>
      <x:c r="AP90" s="49"/>
      <x:c r="AQ90" s="49"/>
      <x:c r="AR90" s="49"/>
      <x:c r="AS90" s="49"/>
      <x:c r="AT90" s="49"/>
      <x:c r="AU90" s="49"/>
      <x:c r="AV90" s="49"/>
      <x:c r="AW90" s="49"/>
      <x:c r="AX90" s="49"/>
      <x:c r="AY90" s="49"/>
      <x:c r="AZ90" s="49"/>
    </x:row>
    <x:row r="91">
      <x:c r="A91" s="49"/>
      <x:c r="B91" s="49"/>
      <x:c r="C91" s="49"/>
      <x:c r="D91" s="49"/>
      <x:c r="E91" s="49"/>
      <x:c r="F91" s="49"/>
      <x:c r="G91" s="49"/>
      <x:c r="H91" s="49"/>
      <x:c r="I91" s="49"/>
      <x:c r="J91" s="49"/>
      <x:c r="K91" s="49"/>
      <x:c r="L91" s="49"/>
      <x:c r="M91" s="49"/>
      <x:c r="N91" s="49"/>
      <x:c r="O91" s="49"/>
      <x:c r="P91" s="49"/>
      <x:c r="Q91" s="49"/>
      <x:c r="R91" s="49"/>
      <x:c r="S91" s="49"/>
      <x:c r="T91" s="49"/>
      <x:c r="U91" s="49"/>
      <x:c r="V91" s="49"/>
      <x:c r="W91" s="49"/>
      <x:c r="X91" s="49"/>
      <x:c r="Y91" s="49"/>
      <x:c r="Z91" s="49"/>
      <x:c r="AA91" s="49"/>
      <x:c r="AB91" s="49"/>
      <x:c r="AC91" s="49"/>
      <x:c r="AD91" s="49"/>
      <x:c r="AE91" s="49"/>
      <x:c r="AF91" s="49"/>
      <x:c r="AG91" s="49"/>
      <x:c r="AH91" s="49"/>
      <x:c r="AI91" s="49"/>
      <x:c r="AJ91" s="49"/>
      <x:c r="AK91" s="49"/>
      <x:c r="AL91" s="49"/>
      <x:c r="AM91" s="49"/>
      <x:c r="AN91" s="49"/>
      <x:c r="AO91" s="49"/>
      <x:c r="AP91" s="49"/>
      <x:c r="AQ91" s="49"/>
      <x:c r="AR91" s="49"/>
      <x:c r="AS91" s="49"/>
      <x:c r="AT91" s="49"/>
      <x:c r="AU91" s="49"/>
      <x:c r="AV91" s="49"/>
      <x:c r="AW91" s="49"/>
      <x:c r="AX91" s="49"/>
      <x:c r="AY91" s="49"/>
      <x:c r="AZ91" s="49"/>
    </x:row>
    <x:row r="92">
      <x:c r="A92" s="49"/>
      <x:c r="B92" s="49"/>
      <x:c r="C92" s="49"/>
      <x:c r="D92" s="49"/>
      <x:c r="E92" s="49"/>
      <x:c r="F92" s="49"/>
      <x:c r="G92" s="49"/>
      <x:c r="H92" s="49"/>
      <x:c r="I92" s="49"/>
      <x:c r="J92" s="49"/>
      <x:c r="K92" s="49"/>
      <x:c r="L92" s="49"/>
      <x:c r="M92" s="49"/>
      <x:c r="N92" s="49"/>
      <x:c r="O92" s="49"/>
      <x:c r="P92" s="49"/>
      <x:c r="Q92" s="49"/>
      <x:c r="R92" s="49"/>
      <x:c r="S92" s="49"/>
      <x:c r="T92" s="49"/>
      <x:c r="U92" s="49"/>
      <x:c r="V92" s="49"/>
      <x:c r="W92" s="49"/>
      <x:c r="X92" s="49"/>
      <x:c r="Y92" s="49"/>
      <x:c r="Z92" s="49"/>
      <x:c r="AA92" s="49"/>
      <x:c r="AB92" s="49"/>
      <x:c r="AC92" s="49"/>
      <x:c r="AD92" s="49"/>
      <x:c r="AE92" s="49"/>
      <x:c r="AF92" s="49"/>
      <x:c r="AG92" s="49"/>
      <x:c r="AH92" s="49"/>
      <x:c r="AI92" s="49"/>
      <x:c r="AJ92" s="49"/>
      <x:c r="AK92" s="49"/>
      <x:c r="AL92" s="49"/>
      <x:c r="AM92" s="49"/>
      <x:c r="AN92" s="49"/>
      <x:c r="AO92" s="49"/>
      <x:c r="AP92" s="49"/>
      <x:c r="AQ92" s="49"/>
      <x:c r="AR92" s="49"/>
      <x:c r="AS92" s="49"/>
      <x:c r="AT92" s="49"/>
      <x:c r="AU92" s="49"/>
      <x:c r="AV92" s="49"/>
      <x:c r="AW92" s="49"/>
      <x:c r="AX92" s="49"/>
      <x:c r="AY92" s="49"/>
      <x:c r="AZ92" s="49"/>
    </x:row>
    <x:row r="93">
      <x:c r="A93" s="49"/>
      <x:c r="B93" s="49"/>
      <x:c r="C93" s="49"/>
      <x:c r="D93" s="49"/>
      <x:c r="E93" s="49"/>
      <x:c r="F93" s="49"/>
      <x:c r="G93" s="49"/>
      <x:c r="H93" s="49"/>
      <x:c r="I93" s="49"/>
      <x:c r="J93" s="49"/>
      <x:c r="K93" s="49"/>
      <x:c r="L93" s="49"/>
      <x:c r="M93" s="49"/>
      <x:c r="N93" s="49"/>
      <x:c r="O93" s="49"/>
      <x:c r="P93" s="49"/>
      <x:c r="Q93" s="49"/>
      <x:c r="R93" s="49"/>
      <x:c r="S93" s="49"/>
      <x:c r="T93" s="49"/>
      <x:c r="U93" s="49"/>
      <x:c r="V93" s="49"/>
      <x:c r="W93" s="49"/>
      <x:c r="X93" s="49"/>
      <x:c r="Y93" s="49"/>
      <x:c r="Z93" s="49"/>
      <x:c r="AA93" s="49"/>
      <x:c r="AB93" s="49"/>
      <x:c r="AC93" s="49"/>
      <x:c r="AD93" s="49"/>
      <x:c r="AE93" s="49"/>
      <x:c r="AF93" s="49"/>
      <x:c r="AG93" s="49"/>
      <x:c r="AH93" s="49"/>
      <x:c r="AI93" s="49"/>
      <x:c r="AJ93" s="49"/>
      <x:c r="AK93" s="49"/>
      <x:c r="AL93" s="49"/>
      <x:c r="AM93" s="49"/>
      <x:c r="AN93" s="49"/>
      <x:c r="AO93" s="49"/>
      <x:c r="AP93" s="49"/>
      <x:c r="AQ93" s="49"/>
      <x:c r="AR93" s="49"/>
      <x:c r="AS93" s="49"/>
      <x:c r="AT93" s="49"/>
      <x:c r="AU93" s="49"/>
      <x:c r="AV93" s="49"/>
      <x:c r="AW93" s="49"/>
      <x:c r="AX93" s="49"/>
      <x:c r="AY93" s="49"/>
      <x:c r="AZ93" s="49"/>
    </x:row>
    <x:row r="94">
      <x:c r="A94" s="49"/>
      <x:c r="B94" s="49"/>
      <x:c r="C94" s="49"/>
      <x:c r="D94" s="49"/>
      <x:c r="E94" s="49"/>
      <x:c r="F94" s="49"/>
      <x:c r="G94" s="49"/>
      <x:c r="H94" s="49"/>
      <x:c r="I94" s="49"/>
      <x:c r="J94" s="49"/>
      <x:c r="K94" s="49"/>
      <x:c r="L94" s="49"/>
      <x:c r="M94" s="49"/>
      <x:c r="N94" s="49"/>
      <x:c r="O94" s="49"/>
      <x:c r="P94" s="49"/>
      <x:c r="Q94" s="49"/>
      <x:c r="R94" s="49"/>
      <x:c r="S94" s="49"/>
      <x:c r="T94" s="49"/>
      <x:c r="U94" s="49"/>
      <x:c r="V94" s="49"/>
      <x:c r="W94" s="49"/>
      <x:c r="X94" s="49"/>
      <x:c r="Y94" s="49"/>
      <x:c r="Z94" s="49"/>
      <x:c r="AA94" s="49"/>
      <x:c r="AB94" s="49"/>
      <x:c r="AC94" s="49"/>
      <x:c r="AD94" s="49"/>
      <x:c r="AE94" s="49"/>
      <x:c r="AF94" s="49"/>
      <x:c r="AG94" s="49"/>
      <x:c r="AH94" s="49"/>
      <x:c r="AI94" s="49"/>
      <x:c r="AJ94" s="49"/>
      <x:c r="AK94" s="49"/>
      <x:c r="AL94" s="49"/>
      <x:c r="AM94" s="49"/>
      <x:c r="AN94" s="49"/>
      <x:c r="AO94" s="49"/>
      <x:c r="AP94" s="49"/>
      <x:c r="AQ94" s="49"/>
      <x:c r="AR94" s="49"/>
      <x:c r="AS94" s="49"/>
      <x:c r="AT94" s="49"/>
      <x:c r="AU94" s="49"/>
      <x:c r="AV94" s="49"/>
      <x:c r="AW94" s="49"/>
      <x:c r="AX94" s="49"/>
      <x:c r="AY94" s="49"/>
      <x:c r="AZ94" s="49"/>
    </x:row>
    <x:row r="95">
      <x:c r="A95" s="49"/>
      <x:c r="B95" s="49"/>
      <x:c r="C95" s="49"/>
      <x:c r="D95" s="49"/>
      <x:c r="E95" s="49"/>
      <x:c r="F95" s="49"/>
      <x:c r="G95" s="49"/>
      <x:c r="H95" s="49"/>
      <x:c r="I95" s="49"/>
      <x:c r="J95" s="49"/>
      <x:c r="K95" s="49"/>
      <x:c r="L95" s="49"/>
      <x:c r="M95" s="49"/>
      <x:c r="N95" s="49"/>
      <x:c r="O95" s="49"/>
      <x:c r="P95" s="49"/>
      <x:c r="Q95" s="49"/>
      <x:c r="R95" s="49"/>
      <x:c r="S95" s="49"/>
      <x:c r="T95" s="49"/>
      <x:c r="U95" s="49"/>
      <x:c r="V95" s="49"/>
      <x:c r="W95" s="49"/>
      <x:c r="X95" s="49"/>
      <x:c r="Y95" s="49"/>
      <x:c r="Z95" s="49"/>
      <x:c r="AA95" s="49"/>
      <x:c r="AB95" s="49"/>
      <x:c r="AC95" s="49"/>
      <x:c r="AD95" s="49"/>
      <x:c r="AE95" s="49"/>
      <x:c r="AF95" s="49"/>
      <x:c r="AG95" s="49"/>
      <x:c r="AH95" s="49"/>
      <x:c r="AI95" s="49"/>
      <x:c r="AJ95" s="49"/>
      <x:c r="AK95" s="49"/>
      <x:c r="AL95" s="49"/>
      <x:c r="AM95" s="49"/>
      <x:c r="AN95" s="49"/>
      <x:c r="AO95" s="49"/>
      <x:c r="AP95" s="49"/>
      <x:c r="AQ95" s="49"/>
      <x:c r="AR95" s="49"/>
      <x:c r="AS95" s="49"/>
      <x:c r="AT95" s="49"/>
      <x:c r="AU95" s="49"/>
      <x:c r="AV95" s="49"/>
      <x:c r="AW95" s="49"/>
      <x:c r="AX95" s="49"/>
      <x:c r="AY95" s="49"/>
      <x:c r="AZ95" s="49"/>
    </x:row>
    <x:row r="96">
      <x:c r="A96" s="49"/>
      <x:c r="B96" s="49"/>
      <x:c r="C96" s="49"/>
      <x:c r="D96" s="49"/>
      <x:c r="E96" s="49"/>
      <x:c r="F96" s="49"/>
      <x:c r="G96" s="49"/>
      <x:c r="H96" s="49"/>
      <x:c r="I96" s="49"/>
      <x:c r="J96" s="49"/>
      <x:c r="K96" s="49"/>
      <x:c r="L96" s="49"/>
      <x:c r="M96" s="49"/>
      <x:c r="N96" s="49"/>
      <x:c r="O96" s="49"/>
      <x:c r="P96" s="49"/>
      <x:c r="Q96" s="49"/>
      <x:c r="R96" s="49"/>
      <x:c r="S96" s="49"/>
      <x:c r="T96" s="49"/>
      <x:c r="U96" s="49"/>
      <x:c r="V96" s="49"/>
      <x:c r="W96" s="49"/>
      <x:c r="X96" s="49"/>
      <x:c r="Y96" s="49"/>
      <x:c r="Z96" s="49"/>
      <x:c r="AA96" s="49"/>
      <x:c r="AB96" s="49"/>
      <x:c r="AC96" s="49"/>
      <x:c r="AD96" s="49"/>
      <x:c r="AE96" s="49"/>
      <x:c r="AF96" s="49"/>
      <x:c r="AG96" s="49"/>
      <x:c r="AH96" s="49"/>
      <x:c r="AI96" s="49"/>
      <x:c r="AJ96" s="49"/>
      <x:c r="AK96" s="49"/>
      <x:c r="AL96" s="49"/>
      <x:c r="AM96" s="49"/>
      <x:c r="AN96" s="49"/>
      <x:c r="AO96" s="49"/>
      <x:c r="AP96" s="49"/>
      <x:c r="AQ96" s="49"/>
      <x:c r="AR96" s="49"/>
      <x:c r="AS96" s="49"/>
      <x:c r="AT96" s="49"/>
      <x:c r="AU96" s="49"/>
      <x:c r="AV96" s="49"/>
      <x:c r="AW96" s="49"/>
      <x:c r="AX96" s="49"/>
      <x:c r="AY96" s="49"/>
      <x:c r="AZ96" s="49"/>
    </x:row>
    <x:row r="97">
      <x:c r="A97" s="49"/>
      <x:c r="B97" s="49"/>
      <x:c r="C97" s="49"/>
      <x:c r="D97" s="49"/>
      <x:c r="E97" s="49"/>
      <x:c r="F97" s="49"/>
      <x:c r="G97" s="49"/>
      <x:c r="H97" s="49"/>
      <x:c r="I97" s="49"/>
      <x:c r="J97" s="49"/>
      <x:c r="K97" s="49"/>
      <x:c r="L97" s="49"/>
      <x:c r="M97" s="49"/>
      <x:c r="N97" s="49"/>
      <x:c r="O97" s="49"/>
      <x:c r="P97" s="49"/>
      <x:c r="Q97" s="49"/>
      <x:c r="R97" s="49"/>
      <x:c r="S97" s="49"/>
      <x:c r="T97" s="49"/>
      <x:c r="U97" s="49"/>
      <x:c r="V97" s="49"/>
      <x:c r="W97" s="49"/>
      <x:c r="X97" s="49"/>
      <x:c r="Y97" s="49"/>
      <x:c r="Z97" s="49"/>
      <x:c r="AA97" s="49"/>
      <x:c r="AB97" s="49"/>
      <x:c r="AC97" s="49"/>
      <x:c r="AD97" s="49"/>
      <x:c r="AE97" s="49"/>
      <x:c r="AF97" s="49"/>
      <x:c r="AG97" s="49"/>
      <x:c r="AH97" s="49"/>
      <x:c r="AI97" s="49"/>
      <x:c r="AJ97" s="49"/>
      <x:c r="AK97" s="49"/>
      <x:c r="AL97" s="49"/>
      <x:c r="AM97" s="49"/>
      <x:c r="AN97" s="49"/>
      <x:c r="AO97" s="49"/>
      <x:c r="AP97" s="49"/>
      <x:c r="AQ97" s="49"/>
      <x:c r="AR97" s="49"/>
      <x:c r="AS97" s="49"/>
      <x:c r="AT97" s="49"/>
      <x:c r="AU97" s="49"/>
      <x:c r="AV97" s="49"/>
      <x:c r="AW97" s="49"/>
      <x:c r="AX97" s="49"/>
      <x:c r="AY97" s="49"/>
      <x:c r="AZ97" s="49"/>
    </x:row>
    <x:row r="98">
      <x:c r="A98" s="49"/>
      <x:c r="B98" s="49"/>
      <x:c r="C98" s="49"/>
      <x:c r="D98" s="49"/>
      <x:c r="E98" s="49"/>
      <x:c r="F98" s="49"/>
      <x:c r="G98" s="49"/>
      <x:c r="H98" s="49"/>
      <x:c r="I98" s="49"/>
      <x:c r="J98" s="49"/>
      <x:c r="K98" s="49"/>
      <x:c r="L98" s="49"/>
      <x:c r="M98" s="49"/>
      <x:c r="N98" s="49"/>
      <x:c r="O98" s="49"/>
      <x:c r="P98" s="49"/>
      <x:c r="Q98" s="49"/>
      <x:c r="R98" s="49"/>
      <x:c r="S98" s="49"/>
      <x:c r="T98" s="49"/>
      <x:c r="U98" s="49"/>
      <x:c r="V98" s="49"/>
      <x:c r="W98" s="49"/>
      <x:c r="X98" s="49"/>
      <x:c r="Y98" s="49"/>
      <x:c r="Z98" s="49"/>
      <x:c r="AA98" s="49"/>
      <x:c r="AB98" s="49"/>
      <x:c r="AC98" s="49"/>
      <x:c r="AD98" s="49"/>
      <x:c r="AE98" s="49"/>
      <x:c r="AF98" s="49"/>
      <x:c r="AG98" s="49"/>
      <x:c r="AH98" s="49"/>
      <x:c r="AI98" s="49"/>
      <x:c r="AJ98" s="49"/>
      <x:c r="AK98" s="49"/>
      <x:c r="AL98" s="49"/>
      <x:c r="AM98" s="49"/>
      <x:c r="AN98" s="49"/>
      <x:c r="AO98" s="49"/>
      <x:c r="AP98" s="49"/>
      <x:c r="AQ98" s="49"/>
      <x:c r="AR98" s="49"/>
      <x:c r="AS98" s="49"/>
      <x:c r="AT98" s="49"/>
      <x:c r="AU98" s="49"/>
      <x:c r="AV98" s="49"/>
      <x:c r="AW98" s="49"/>
      <x:c r="AX98" s="49"/>
      <x:c r="AY98" s="49"/>
      <x:c r="AZ98" s="49"/>
    </x:row>
    <x:row r="99">
      <x:c r="A99" s="49"/>
      <x:c r="B99" s="49"/>
      <x:c r="C99" s="49"/>
      <x:c r="D99" s="49"/>
      <x:c r="E99" s="49"/>
      <x:c r="F99" s="49"/>
      <x:c r="G99" s="49"/>
      <x:c r="H99" s="49"/>
      <x:c r="I99" s="49"/>
      <x:c r="J99" s="49"/>
      <x:c r="K99" s="49"/>
      <x:c r="L99" s="49"/>
      <x:c r="M99" s="49"/>
      <x:c r="N99" s="49"/>
      <x:c r="O99" s="49"/>
      <x:c r="P99" s="49"/>
      <x:c r="Q99" s="49"/>
      <x:c r="R99" s="49"/>
      <x:c r="S99" s="49"/>
      <x:c r="T99" s="49"/>
      <x:c r="U99" s="49"/>
      <x:c r="V99" s="49"/>
      <x:c r="W99" s="49"/>
      <x:c r="X99" s="49"/>
      <x:c r="Y99" s="49"/>
      <x:c r="Z99" s="49"/>
      <x:c r="AA99" s="49"/>
      <x:c r="AB99" s="49"/>
      <x:c r="AC99" s="49"/>
      <x:c r="AD99" s="49"/>
      <x:c r="AE99" s="49"/>
      <x:c r="AF99" s="49"/>
      <x:c r="AG99" s="49"/>
      <x:c r="AH99" s="49"/>
      <x:c r="AI99" s="49"/>
      <x:c r="AJ99" s="49"/>
      <x:c r="AK99" s="49"/>
      <x:c r="AL99" s="49"/>
      <x:c r="AM99" s="49"/>
      <x:c r="AN99" s="49"/>
      <x:c r="AO99" s="49"/>
      <x:c r="AP99" s="49"/>
      <x:c r="AQ99" s="49"/>
      <x:c r="AR99" s="49"/>
      <x:c r="AS99" s="49"/>
      <x:c r="AT99" s="49"/>
      <x:c r="AU99" s="49"/>
      <x:c r="AV99" s="49"/>
      <x:c r="AW99" s="49"/>
      <x:c r="AX99" s="49"/>
      <x:c r="AY99" s="49"/>
      <x:c r="AZ99" s="49"/>
    </x:row>
    <x:row r="100">
      <x:c r="A100" s="49"/>
      <x:c r="B100" s="49"/>
      <x:c r="C100" s="49"/>
      <x:c r="D100" s="49"/>
      <x:c r="E100" s="49"/>
      <x:c r="F100" s="49"/>
      <x:c r="G100" s="49"/>
      <x:c r="H100" s="49"/>
      <x:c r="I100" s="49"/>
      <x:c r="J100" s="49"/>
      <x:c r="K100" s="49"/>
      <x:c r="L100" s="49"/>
      <x:c r="M100" s="49"/>
      <x:c r="N100" s="49"/>
      <x:c r="O100" s="49"/>
      <x:c r="P100" s="49"/>
      <x:c r="Q100" s="49"/>
      <x:c r="R100" s="49"/>
      <x:c r="S100" s="49"/>
      <x:c r="T100" s="49"/>
      <x:c r="U100" s="49"/>
      <x:c r="V100" s="49"/>
      <x:c r="W100" s="49"/>
      <x:c r="X100" s="49"/>
      <x:c r="Y100" s="49"/>
      <x:c r="Z100" s="49"/>
      <x:c r="AA100" s="49"/>
      <x:c r="AB100" s="49"/>
      <x:c r="AC100" s="49"/>
      <x:c r="AD100" s="49"/>
      <x:c r="AE100" s="49"/>
      <x:c r="AF100" s="49"/>
      <x:c r="AG100" s="49"/>
      <x:c r="AH100" s="49"/>
      <x:c r="AI100" s="49"/>
      <x:c r="AJ100" s="49"/>
      <x:c r="AK100" s="49"/>
      <x:c r="AL100" s="49"/>
      <x:c r="AM100" s="49"/>
      <x:c r="AN100" s="49"/>
      <x:c r="AO100" s="49"/>
      <x:c r="AP100" s="49"/>
      <x:c r="AQ100" s="49"/>
      <x:c r="AR100" s="49"/>
      <x:c r="AS100" s="49"/>
      <x:c r="AT100" s="49"/>
      <x:c r="AU100" s="49"/>
      <x:c r="AV100" s="49"/>
      <x:c r="AW100" s="49"/>
      <x:c r="AX100" s="49"/>
      <x:c r="AY100" s="49"/>
      <x:c r="AZ100" s="49"/>
    </x:row>
    <x:row r="101">
      <x:c r="A101" s="49"/>
      <x:c r="B101" s="49"/>
      <x:c r="C101" s="49"/>
      <x:c r="D101" s="49"/>
      <x:c r="E101" s="49"/>
      <x:c r="F101" s="49"/>
      <x:c r="G101" s="49"/>
      <x:c r="H101" s="49"/>
      <x:c r="I101" s="49"/>
      <x:c r="J101" s="49"/>
      <x:c r="K101" s="49"/>
      <x:c r="L101" s="49"/>
      <x:c r="M101" s="49"/>
      <x:c r="N101" s="49"/>
      <x:c r="O101" s="49"/>
      <x:c r="P101" s="49"/>
      <x:c r="Q101" s="49"/>
      <x:c r="R101" s="49"/>
      <x:c r="S101" s="49"/>
      <x:c r="T101" s="49"/>
      <x:c r="U101" s="49"/>
      <x:c r="V101" s="49"/>
      <x:c r="W101" s="49"/>
      <x:c r="X101" s="49"/>
      <x:c r="Y101" s="49"/>
      <x:c r="Z101" s="49"/>
      <x:c r="AA101" s="49"/>
      <x:c r="AB101" s="49"/>
      <x:c r="AC101" s="49"/>
      <x:c r="AD101" s="49"/>
      <x:c r="AE101" s="49"/>
      <x:c r="AF101" s="49"/>
      <x:c r="AG101" s="49"/>
      <x:c r="AH101" s="49"/>
      <x:c r="AI101" s="49"/>
      <x:c r="AJ101" s="49"/>
      <x:c r="AK101" s="49"/>
      <x:c r="AL101" s="49"/>
      <x:c r="AM101" s="49"/>
      <x:c r="AN101" s="49"/>
      <x:c r="AO101" s="49"/>
      <x:c r="AP101" s="49"/>
      <x:c r="AQ101" s="49"/>
      <x:c r="AR101" s="49"/>
      <x:c r="AS101" s="49"/>
      <x:c r="AT101" s="49"/>
      <x:c r="AU101" s="49"/>
      <x:c r="AV101" s="49"/>
      <x:c r="AW101" s="49"/>
      <x:c r="AX101" s="49"/>
      <x:c r="AY101" s="49"/>
      <x:c r="AZ101" s="49"/>
    </x:row>
    <x:row r="102">
      <x:c r="A102" s="49"/>
      <x:c r="B102" s="49"/>
      <x:c r="C102" s="49"/>
      <x:c r="D102" s="49"/>
      <x:c r="E102" s="49"/>
      <x:c r="F102" s="49"/>
      <x:c r="G102" s="49"/>
      <x:c r="H102" s="49"/>
      <x:c r="I102" s="49"/>
      <x:c r="J102" s="49"/>
      <x:c r="K102" s="49"/>
      <x:c r="L102" s="49"/>
      <x:c r="M102" s="49"/>
      <x:c r="N102" s="49"/>
      <x:c r="O102" s="49"/>
      <x:c r="P102" s="49"/>
      <x:c r="Q102" s="49"/>
      <x:c r="R102" s="49"/>
      <x:c r="S102" s="49"/>
      <x:c r="T102" s="49"/>
      <x:c r="U102" s="49"/>
      <x:c r="V102" s="49"/>
      <x:c r="W102" s="49"/>
      <x:c r="X102" s="49"/>
      <x:c r="Y102" s="49"/>
      <x:c r="Z102" s="49"/>
      <x:c r="AA102" s="49"/>
      <x:c r="AB102" s="49"/>
      <x:c r="AC102" s="49"/>
      <x:c r="AD102" s="49"/>
      <x:c r="AE102" s="49"/>
      <x:c r="AF102" s="49"/>
      <x:c r="AG102" s="49"/>
      <x:c r="AH102" s="49"/>
      <x:c r="AI102" s="49"/>
      <x:c r="AJ102" s="49"/>
      <x:c r="AK102" s="49"/>
      <x:c r="AL102" s="49"/>
      <x:c r="AM102" s="49"/>
      <x:c r="AN102" s="49"/>
      <x:c r="AO102" s="49"/>
      <x:c r="AP102" s="49"/>
      <x:c r="AQ102" s="49"/>
      <x:c r="AR102" s="49"/>
      <x:c r="AS102" s="49"/>
      <x:c r="AT102" s="49"/>
      <x:c r="AU102" s="49"/>
      <x:c r="AV102" s="49"/>
      <x:c r="AW102" s="49"/>
      <x:c r="AX102" s="49"/>
      <x:c r="AY102" s="49"/>
      <x:c r="AZ102" s="49"/>
    </x:row>
    <x:row r="103">
      <x:c r="A103" s="49"/>
      <x:c r="B103" s="49"/>
      <x:c r="C103" s="49"/>
      <x:c r="D103" s="49"/>
      <x:c r="E103" s="49"/>
      <x:c r="F103" s="49"/>
      <x:c r="G103" s="49"/>
      <x:c r="H103" s="49"/>
      <x:c r="I103" s="49"/>
      <x:c r="J103" s="49"/>
      <x:c r="K103" s="49"/>
      <x:c r="L103" s="49"/>
      <x:c r="M103" s="49"/>
      <x:c r="N103" s="49"/>
      <x:c r="O103" s="49"/>
      <x:c r="P103" s="49"/>
      <x:c r="Q103" s="49"/>
      <x:c r="R103" s="49"/>
      <x:c r="S103" s="49"/>
      <x:c r="T103" s="49"/>
      <x:c r="U103" s="49"/>
      <x:c r="V103" s="49"/>
      <x:c r="W103" s="49"/>
      <x:c r="X103" s="49"/>
      <x:c r="Y103" s="49"/>
      <x:c r="Z103" s="49"/>
      <x:c r="AA103" s="49"/>
      <x:c r="AB103" s="49"/>
      <x:c r="AC103" s="49"/>
      <x:c r="AD103" s="49"/>
      <x:c r="AE103" s="49"/>
      <x:c r="AF103" s="49"/>
      <x:c r="AG103" s="49"/>
      <x:c r="AH103" s="49"/>
      <x:c r="AI103" s="49"/>
      <x:c r="AJ103" s="49"/>
      <x:c r="AK103" s="49"/>
      <x:c r="AL103" s="49"/>
      <x:c r="AM103" s="49"/>
      <x:c r="AN103" s="49"/>
      <x:c r="AO103" s="49"/>
      <x:c r="AP103" s="49"/>
      <x:c r="AQ103" s="49"/>
      <x:c r="AR103" s="49"/>
      <x:c r="AS103" s="49"/>
      <x:c r="AT103" s="49"/>
      <x:c r="AU103" s="49"/>
      <x:c r="AV103" s="49"/>
      <x:c r="AW103" s="49"/>
      <x:c r="AX103" s="49"/>
      <x:c r="AY103" s="49"/>
      <x:c r="AZ103" s="49"/>
    </x:row>
    <x:row r="104">
      <x:c r="A104" s="49"/>
      <x:c r="B104" s="49"/>
      <x:c r="C104" s="49"/>
      <x:c r="D104" s="49"/>
      <x:c r="E104" s="49"/>
      <x:c r="F104" s="49"/>
      <x:c r="G104" s="49"/>
      <x:c r="H104" s="49"/>
      <x:c r="I104" s="49"/>
      <x:c r="J104" s="49"/>
      <x:c r="K104" s="49"/>
      <x:c r="L104" s="49"/>
      <x:c r="M104" s="49"/>
      <x:c r="N104" s="49"/>
      <x:c r="O104" s="49"/>
      <x:c r="P104" s="49"/>
      <x:c r="Q104" s="49"/>
      <x:c r="R104" s="49"/>
      <x:c r="S104" s="49"/>
      <x:c r="T104" s="49"/>
      <x:c r="U104" s="49"/>
      <x:c r="V104" s="49"/>
      <x:c r="W104" s="49"/>
      <x:c r="X104" s="49"/>
      <x:c r="Y104" s="49"/>
      <x:c r="Z104" s="49"/>
      <x:c r="AA104" s="49"/>
      <x:c r="AB104" s="49"/>
      <x:c r="AC104" s="49"/>
      <x:c r="AD104" s="49"/>
      <x:c r="AE104" s="49"/>
      <x:c r="AF104" s="49"/>
      <x:c r="AG104" s="49"/>
      <x:c r="AH104" s="49"/>
      <x:c r="AI104" s="49"/>
      <x:c r="AJ104" s="49"/>
      <x:c r="AK104" s="49"/>
      <x:c r="AL104" s="49"/>
      <x:c r="AM104" s="49"/>
      <x:c r="AN104" s="49"/>
      <x:c r="AO104" s="49"/>
      <x:c r="AP104" s="49"/>
      <x:c r="AQ104" s="49"/>
      <x:c r="AR104" s="49"/>
      <x:c r="AS104" s="49"/>
      <x:c r="AT104" s="49"/>
      <x:c r="AU104" s="49"/>
      <x:c r="AV104" s="49"/>
      <x:c r="AW104" s="49"/>
      <x:c r="AX104" s="49"/>
      <x:c r="AY104" s="49"/>
      <x:c r="AZ104" s="49"/>
    </x:row>
    <x:row r="105">
      <x:c r="A105" s="49"/>
      <x:c r="B105" s="49"/>
      <x:c r="C105" s="49"/>
      <x:c r="D105" s="49"/>
      <x:c r="E105" s="49"/>
      <x:c r="F105" s="49"/>
      <x:c r="G105" s="49"/>
      <x:c r="H105" s="49"/>
      <x:c r="I105" s="49"/>
      <x:c r="J105" s="49"/>
      <x:c r="K105" s="49"/>
      <x:c r="L105" s="49"/>
      <x:c r="M105" s="49"/>
      <x:c r="N105" s="49"/>
      <x:c r="O105" s="49"/>
      <x:c r="P105" s="49"/>
      <x:c r="Q105" s="49"/>
      <x:c r="R105" s="49"/>
      <x:c r="S105" s="49"/>
      <x:c r="T105" s="49"/>
      <x:c r="U105" s="49"/>
      <x:c r="V105" s="49"/>
      <x:c r="W105" s="49"/>
      <x:c r="X105" s="49"/>
      <x:c r="Y105" s="49"/>
      <x:c r="Z105" s="49"/>
      <x:c r="AA105" s="49"/>
      <x:c r="AB105" s="49"/>
      <x:c r="AC105" s="49"/>
      <x:c r="AD105" s="49"/>
      <x:c r="AE105" s="49"/>
      <x:c r="AF105" s="49"/>
      <x:c r="AG105" s="49"/>
      <x:c r="AH105" s="49"/>
      <x:c r="AI105" s="49"/>
      <x:c r="AJ105" s="49"/>
      <x:c r="AK105" s="49"/>
      <x:c r="AL105" s="49"/>
      <x:c r="AM105" s="49"/>
      <x:c r="AN105" s="49"/>
      <x:c r="AO105" s="49"/>
      <x:c r="AP105" s="49"/>
      <x:c r="AQ105" s="49"/>
      <x:c r="AR105" s="49"/>
      <x:c r="AS105" s="49"/>
      <x:c r="AT105" s="49"/>
      <x:c r="AU105" s="49"/>
      <x:c r="AV105" s="49"/>
      <x:c r="AW105" s="49"/>
      <x:c r="AX105" s="49"/>
      <x:c r="AY105" s="49"/>
      <x:c r="AZ105" s="49"/>
    </x:row>
    <x:row r="106">
      <x:c r="A106" s="49"/>
      <x:c r="B106" s="49"/>
      <x:c r="C106" s="49"/>
      <x:c r="D106" s="49"/>
      <x:c r="E106" s="49"/>
      <x:c r="F106" s="49"/>
      <x:c r="G106" s="49"/>
      <x:c r="H106" s="49"/>
      <x:c r="I106" s="49"/>
      <x:c r="J106" s="49"/>
      <x:c r="K106" s="49"/>
      <x:c r="L106" s="49"/>
      <x:c r="M106" s="49"/>
      <x:c r="N106" s="49"/>
      <x:c r="O106" s="49"/>
      <x:c r="P106" s="49"/>
      <x:c r="Q106" s="49"/>
      <x:c r="R106" s="49"/>
      <x:c r="S106" s="49"/>
      <x:c r="T106" s="49"/>
      <x:c r="U106" s="49"/>
      <x:c r="V106" s="49"/>
      <x:c r="W106" s="49"/>
      <x:c r="X106" s="49"/>
      <x:c r="Y106" s="49"/>
      <x:c r="Z106" s="49"/>
      <x:c r="AA106" s="49"/>
      <x:c r="AB106" s="49"/>
      <x:c r="AC106" s="49"/>
      <x:c r="AD106" s="49"/>
      <x:c r="AE106" s="49"/>
      <x:c r="AF106" s="49"/>
      <x:c r="AG106" s="49"/>
      <x:c r="AH106" s="49"/>
      <x:c r="AI106" s="49"/>
      <x:c r="AJ106" s="49"/>
      <x:c r="AK106" s="49"/>
      <x:c r="AL106" s="49"/>
      <x:c r="AM106" s="49"/>
      <x:c r="AN106" s="49"/>
      <x:c r="AO106" s="49"/>
      <x:c r="AP106" s="49"/>
      <x:c r="AQ106" s="49"/>
      <x:c r="AR106" s="49"/>
      <x:c r="AS106" s="49"/>
      <x:c r="AT106" s="49"/>
      <x:c r="AU106" s="49"/>
      <x:c r="AV106" s="49"/>
      <x:c r="AW106" s="49"/>
      <x:c r="AX106" s="49"/>
      <x:c r="AY106" s="49"/>
      <x:c r="AZ106" s="49"/>
    </x:row>
    <x:row r="107">
      <x:c r="A107" s="49"/>
      <x:c r="B107" s="49"/>
      <x:c r="C107" s="49"/>
      <x:c r="D107" s="49"/>
      <x:c r="E107" s="49"/>
      <x:c r="F107" s="49"/>
      <x:c r="G107" s="49"/>
      <x:c r="H107" s="49"/>
      <x:c r="I107" s="49"/>
      <x:c r="J107" s="49"/>
      <x:c r="K107" s="49"/>
      <x:c r="L107" s="49"/>
      <x:c r="M107" s="49"/>
      <x:c r="N107" s="49"/>
      <x:c r="O107" s="49"/>
      <x:c r="P107" s="49"/>
      <x:c r="Q107" s="49"/>
      <x:c r="R107" s="49"/>
      <x:c r="S107" s="49"/>
      <x:c r="T107" s="49"/>
      <x:c r="U107" s="49"/>
      <x:c r="V107" s="49"/>
      <x:c r="W107" s="49"/>
      <x:c r="X107" s="49"/>
      <x:c r="Y107" s="49"/>
      <x:c r="Z107" s="49"/>
      <x:c r="AA107" s="49"/>
      <x:c r="AB107" s="49"/>
      <x:c r="AC107" s="49"/>
      <x:c r="AD107" s="49"/>
      <x:c r="AE107" s="49"/>
      <x:c r="AF107" s="49"/>
      <x:c r="AG107" s="49"/>
      <x:c r="AH107" s="49"/>
      <x:c r="AI107" s="49"/>
      <x:c r="AJ107" s="49"/>
      <x:c r="AK107" s="49"/>
      <x:c r="AL107" s="49"/>
      <x:c r="AM107" s="49"/>
      <x:c r="AN107" s="49"/>
      <x:c r="AO107" s="49"/>
      <x:c r="AP107" s="49"/>
      <x:c r="AQ107" s="49"/>
      <x:c r="AR107" s="49"/>
      <x:c r="AS107" s="49"/>
      <x:c r="AT107" s="49"/>
      <x:c r="AU107" s="49"/>
      <x:c r="AV107" s="49"/>
      <x:c r="AW107" s="49"/>
      <x:c r="AX107" s="49"/>
      <x:c r="AY107" s="49"/>
      <x:c r="AZ107" s="49"/>
    </x:row>
    <x:row r="108">
      <x:c r="A108" s="49"/>
      <x:c r="B108" s="49"/>
      <x:c r="C108" s="49"/>
      <x:c r="D108" s="49"/>
      <x:c r="E108" s="49"/>
      <x:c r="F108" s="49"/>
      <x:c r="G108" s="49"/>
      <x:c r="H108" s="49"/>
      <x:c r="I108" s="49"/>
      <x:c r="J108" s="49"/>
      <x:c r="K108" s="49"/>
      <x:c r="L108" s="49"/>
      <x:c r="M108" s="49"/>
      <x:c r="N108" s="49"/>
      <x:c r="O108" s="49"/>
      <x:c r="P108" s="49"/>
      <x:c r="Q108" s="49"/>
      <x:c r="R108" s="49"/>
      <x:c r="S108" s="49"/>
      <x:c r="T108" s="49"/>
      <x:c r="U108" s="49"/>
      <x:c r="V108" s="49"/>
      <x:c r="W108" s="49"/>
      <x:c r="X108" s="49"/>
      <x:c r="Y108" s="49"/>
      <x:c r="Z108" s="49"/>
      <x:c r="AA108" s="49"/>
      <x:c r="AB108" s="49"/>
      <x:c r="AC108" s="49"/>
      <x:c r="AD108" s="49"/>
      <x:c r="AE108" s="49"/>
      <x:c r="AF108" s="49"/>
      <x:c r="AG108" s="49"/>
      <x:c r="AH108" s="49"/>
      <x:c r="AI108" s="49"/>
      <x:c r="AJ108" s="49"/>
      <x:c r="AK108" s="49"/>
      <x:c r="AL108" s="49"/>
      <x:c r="AM108" s="49"/>
      <x:c r="AN108" s="49"/>
      <x:c r="AO108" s="49"/>
      <x:c r="AP108" s="49"/>
      <x:c r="AQ108" s="49"/>
      <x:c r="AR108" s="49"/>
      <x:c r="AS108" s="49"/>
      <x:c r="AT108" s="49"/>
      <x:c r="AU108" s="49"/>
      <x:c r="AV108" s="49"/>
      <x:c r="AW108" s="49"/>
      <x:c r="AX108" s="49"/>
      <x:c r="AY108" s="49"/>
      <x:c r="AZ108" s="49"/>
    </x:row>
    <x:row r="109">
      <x:c r="A109" s="49"/>
      <x:c r="B109" s="49"/>
      <x:c r="C109" s="49"/>
      <x:c r="D109" s="49"/>
      <x:c r="E109" s="49"/>
      <x:c r="F109" s="49"/>
      <x:c r="G109" s="49"/>
      <x:c r="H109" s="49"/>
      <x:c r="I109" s="49"/>
      <x:c r="J109" s="49"/>
      <x:c r="K109" s="49"/>
      <x:c r="L109" s="49"/>
      <x:c r="M109" s="49"/>
      <x:c r="N109" s="49"/>
      <x:c r="O109" s="49"/>
      <x:c r="P109" s="49"/>
      <x:c r="Q109" s="49"/>
      <x:c r="R109" s="49"/>
      <x:c r="S109" s="49"/>
      <x:c r="T109" s="49"/>
      <x:c r="U109" s="49"/>
      <x:c r="V109" s="49"/>
      <x:c r="W109" s="49"/>
      <x:c r="X109" s="49"/>
      <x:c r="Y109" s="49"/>
      <x:c r="Z109" s="49"/>
      <x:c r="AA109" s="49"/>
      <x:c r="AB109" s="49"/>
      <x:c r="AC109" s="49"/>
      <x:c r="AD109" s="49"/>
      <x:c r="AE109" s="49"/>
      <x:c r="AF109" s="49"/>
      <x:c r="AG109" s="49"/>
      <x:c r="AH109" s="49"/>
      <x:c r="AI109" s="49"/>
      <x:c r="AJ109" s="49"/>
      <x:c r="AK109" s="49"/>
      <x:c r="AL109" s="49"/>
      <x:c r="AM109" s="49"/>
      <x:c r="AN109" s="49"/>
      <x:c r="AO109" s="49"/>
      <x:c r="AP109" s="49"/>
      <x:c r="AQ109" s="49"/>
      <x:c r="AR109" s="49"/>
      <x:c r="AS109" s="49"/>
      <x:c r="AT109" s="49"/>
      <x:c r="AU109" s="49"/>
      <x:c r="AV109" s="49"/>
      <x:c r="AW109" s="49"/>
      <x:c r="AX109" s="49"/>
      <x:c r="AY109" s="49"/>
      <x:c r="AZ109" s="49"/>
    </x:row>
    <x:row r="110">
      <x:c r="A110" s="49"/>
      <x:c r="B110" s="49"/>
      <x:c r="C110" s="49"/>
      <x:c r="D110" s="49"/>
      <x:c r="E110" s="49"/>
      <x:c r="F110" s="49"/>
      <x:c r="G110" s="49"/>
      <x:c r="H110" s="49"/>
      <x:c r="I110" s="49"/>
      <x:c r="J110" s="49"/>
      <x:c r="K110" s="49"/>
      <x:c r="L110" s="49"/>
      <x:c r="M110" s="49"/>
      <x:c r="N110" s="49"/>
      <x:c r="O110" s="49"/>
      <x:c r="P110" s="49"/>
      <x:c r="Q110" s="49"/>
      <x:c r="R110" s="49"/>
      <x:c r="S110" s="49"/>
      <x:c r="T110" s="49"/>
      <x:c r="U110" s="49"/>
      <x:c r="V110" s="49"/>
      <x:c r="W110" s="49"/>
      <x:c r="X110" s="49"/>
      <x:c r="Y110" s="49"/>
      <x:c r="Z110" s="49"/>
      <x:c r="AA110" s="49"/>
      <x:c r="AB110" s="49"/>
      <x:c r="AC110" s="49"/>
      <x:c r="AD110" s="49"/>
      <x:c r="AE110" s="49"/>
      <x:c r="AF110" s="49"/>
      <x:c r="AG110" s="49"/>
      <x:c r="AH110" s="49"/>
      <x:c r="AI110" s="49"/>
      <x:c r="AJ110" s="49"/>
      <x:c r="AK110" s="49"/>
      <x:c r="AL110" s="49"/>
      <x:c r="AM110" s="49"/>
      <x:c r="AN110" s="49"/>
      <x:c r="AO110" s="49"/>
      <x:c r="AP110" s="49"/>
      <x:c r="AQ110" s="49"/>
      <x:c r="AR110" s="49"/>
      <x:c r="AS110" s="49"/>
      <x:c r="AT110" s="49"/>
      <x:c r="AU110" s="49"/>
      <x:c r="AV110" s="49"/>
      <x:c r="AW110" s="49"/>
      <x:c r="AX110" s="49"/>
      <x:c r="AY110" s="49"/>
      <x:c r="AZ110" s="49"/>
    </x:row>
    <x:row r="111">
      <x:c r="A111" s="49"/>
      <x:c r="B111" s="49"/>
      <x:c r="C111" s="49"/>
      <x:c r="D111" s="49"/>
      <x:c r="E111" s="49"/>
      <x:c r="F111" s="49"/>
      <x:c r="G111" s="49"/>
      <x:c r="H111" s="49"/>
      <x:c r="I111" s="49"/>
      <x:c r="J111" s="49"/>
      <x:c r="K111" s="49"/>
      <x:c r="L111" s="49"/>
      <x:c r="M111" s="49"/>
      <x:c r="N111" s="49"/>
      <x:c r="O111" s="49"/>
      <x:c r="P111" s="49"/>
      <x:c r="Q111" s="49"/>
      <x:c r="R111" s="49"/>
      <x:c r="S111" s="49"/>
      <x:c r="T111" s="49"/>
      <x:c r="U111" s="49"/>
      <x:c r="V111" s="49"/>
      <x:c r="W111" s="49"/>
      <x:c r="X111" s="49"/>
      <x:c r="Y111" s="49"/>
      <x:c r="Z111" s="49"/>
      <x:c r="AA111" s="49"/>
      <x:c r="AB111" s="49"/>
      <x:c r="AC111" s="49"/>
      <x:c r="AD111" s="49"/>
      <x:c r="AE111" s="49"/>
      <x:c r="AF111" s="49"/>
      <x:c r="AG111" s="49"/>
      <x:c r="AH111" s="49"/>
      <x:c r="AI111" s="49"/>
      <x:c r="AJ111" s="49"/>
      <x:c r="AK111" s="49"/>
      <x:c r="AL111" s="49"/>
      <x:c r="AM111" s="49"/>
      <x:c r="AN111" s="49"/>
      <x:c r="AO111" s="49"/>
      <x:c r="AP111" s="49"/>
      <x:c r="AQ111" s="49"/>
      <x:c r="AR111" s="49"/>
      <x:c r="AS111" s="49"/>
      <x:c r="AT111" s="49"/>
      <x:c r="AU111" s="49"/>
      <x:c r="AV111" s="49"/>
      <x:c r="AW111" s="49"/>
      <x:c r="AX111" s="49"/>
      <x:c r="AY111" s="49"/>
      <x:c r="AZ111" s="49"/>
    </x:row>
    <x:row r="112">
      <x:c r="A112" s="49"/>
      <x:c r="B112" s="49"/>
      <x:c r="C112" s="49"/>
      <x:c r="D112" s="49"/>
      <x:c r="E112" s="49"/>
      <x:c r="F112" s="49"/>
      <x:c r="G112" s="49"/>
      <x:c r="H112" s="49"/>
      <x:c r="I112" s="49"/>
      <x:c r="J112" s="49"/>
      <x:c r="K112" s="49"/>
      <x:c r="L112" s="49"/>
      <x:c r="M112" s="49"/>
      <x:c r="N112" s="49"/>
      <x:c r="O112" s="49"/>
      <x:c r="P112" s="49"/>
      <x:c r="Q112" s="49"/>
      <x:c r="R112" s="49"/>
      <x:c r="S112" s="49"/>
      <x:c r="T112" s="49"/>
      <x:c r="U112" s="49"/>
      <x:c r="V112" s="49"/>
      <x:c r="W112" s="49"/>
      <x:c r="X112" s="49"/>
      <x:c r="Y112" s="49"/>
      <x:c r="Z112" s="49"/>
      <x:c r="AA112" s="49"/>
      <x:c r="AB112" s="49"/>
      <x:c r="AC112" s="49"/>
      <x:c r="AD112" s="49"/>
      <x:c r="AE112" s="49"/>
      <x:c r="AF112" s="49"/>
      <x:c r="AG112" s="49"/>
      <x:c r="AH112" s="49"/>
      <x:c r="AI112" s="49"/>
      <x:c r="AJ112" s="49"/>
      <x:c r="AK112" s="49"/>
      <x:c r="AL112" s="49"/>
      <x:c r="AM112" s="49"/>
      <x:c r="AN112" s="49"/>
      <x:c r="AO112" s="49"/>
      <x:c r="AP112" s="49"/>
      <x:c r="AQ112" s="49"/>
      <x:c r="AR112" s="49"/>
      <x:c r="AS112" s="49"/>
      <x:c r="AT112" s="49"/>
      <x:c r="AU112" s="49"/>
      <x:c r="AV112" s="49"/>
      <x:c r="AW112" s="49"/>
      <x:c r="AX112" s="49"/>
      <x:c r="AY112" s="49"/>
      <x:c r="AZ112" s="49"/>
    </x:row>
    <x:row r="113">
      <x:c r="A113" s="49"/>
      <x:c r="B113" s="49"/>
      <x:c r="C113" s="49"/>
      <x:c r="D113" s="49"/>
      <x:c r="E113" s="49"/>
      <x:c r="F113" s="49"/>
      <x:c r="G113" s="49"/>
      <x:c r="H113" s="49"/>
      <x:c r="I113" s="49"/>
      <x:c r="J113" s="49"/>
      <x:c r="K113" s="49"/>
      <x:c r="L113" s="49"/>
      <x:c r="M113" s="49"/>
      <x:c r="N113" s="49"/>
      <x:c r="O113" s="49"/>
      <x:c r="P113" s="49"/>
      <x:c r="Q113" s="49"/>
      <x:c r="R113" s="49"/>
      <x:c r="S113" s="49"/>
      <x:c r="T113" s="49"/>
      <x:c r="U113" s="49"/>
      <x:c r="V113" s="49"/>
      <x:c r="W113" s="49"/>
      <x:c r="X113" s="49"/>
      <x:c r="Y113" s="49"/>
      <x:c r="Z113" s="49"/>
      <x:c r="AA113" s="49"/>
      <x:c r="AB113" s="49"/>
      <x:c r="AC113" s="49"/>
      <x:c r="AD113" s="49"/>
      <x:c r="AE113" s="49"/>
      <x:c r="AF113" s="49"/>
      <x:c r="AG113" s="49"/>
      <x:c r="AH113" s="49"/>
      <x:c r="AI113" s="49"/>
      <x:c r="AJ113" s="49"/>
      <x:c r="AK113" s="49"/>
      <x:c r="AL113" s="49"/>
      <x:c r="AM113" s="49"/>
      <x:c r="AN113" s="49"/>
      <x:c r="AO113" s="49"/>
      <x:c r="AP113" s="49"/>
      <x:c r="AQ113" s="49"/>
      <x:c r="AR113" s="49"/>
      <x:c r="AS113" s="49"/>
      <x:c r="AT113" s="49"/>
      <x:c r="AU113" s="49"/>
      <x:c r="AV113" s="49"/>
      <x:c r="AW113" s="49"/>
      <x:c r="AX113" s="49"/>
      <x:c r="AY113" s="49"/>
      <x:c r="AZ113" s="49"/>
    </x:row>
    <x:row r="114">
      <x:c r="A114" s="49"/>
      <x:c r="B114" s="49"/>
      <x:c r="C114" s="49"/>
      <x:c r="D114" s="49"/>
      <x:c r="E114" s="49"/>
      <x:c r="F114" s="49"/>
      <x:c r="G114" s="49"/>
      <x:c r="H114" s="49"/>
      <x:c r="I114" s="49"/>
      <x:c r="J114" s="49"/>
      <x:c r="K114" s="49"/>
      <x:c r="L114" s="49"/>
      <x:c r="M114" s="49"/>
      <x:c r="N114" s="49"/>
      <x:c r="O114" s="49"/>
      <x:c r="P114" s="49"/>
      <x:c r="Q114" s="49"/>
      <x:c r="R114" s="49"/>
      <x:c r="S114" s="49"/>
      <x:c r="T114" s="49"/>
      <x:c r="U114" s="49"/>
      <x:c r="V114" s="49"/>
      <x:c r="W114" s="49"/>
      <x:c r="X114" s="49"/>
      <x:c r="Y114" s="49"/>
      <x:c r="Z114" s="49"/>
      <x:c r="AA114" s="49"/>
      <x:c r="AB114" s="49"/>
      <x:c r="AC114" s="49"/>
      <x:c r="AD114" s="49"/>
      <x:c r="AE114" s="49"/>
      <x:c r="AF114" s="49"/>
      <x:c r="AG114" s="49"/>
      <x:c r="AH114" s="49"/>
      <x:c r="AI114" s="49"/>
      <x:c r="AJ114" s="49"/>
      <x:c r="AK114" s="49"/>
      <x:c r="AL114" s="49"/>
      <x:c r="AM114" s="49"/>
      <x:c r="AN114" s="49"/>
      <x:c r="AO114" s="49"/>
      <x:c r="AP114" s="49"/>
      <x:c r="AQ114" s="49"/>
      <x:c r="AR114" s="49"/>
      <x:c r="AS114" s="49"/>
      <x:c r="AT114" s="49"/>
      <x:c r="AU114" s="49"/>
      <x:c r="AV114" s="49"/>
      <x:c r="AW114" s="49"/>
      <x:c r="AX114" s="49"/>
      <x:c r="AY114" s="49"/>
      <x:c r="AZ114" s="49"/>
    </x:row>
    <x:row r="115">
      <x:c r="A115" s="49"/>
      <x:c r="B115" s="49"/>
      <x:c r="C115" s="49"/>
      <x:c r="D115" s="49"/>
      <x:c r="E115" s="49"/>
      <x:c r="F115" s="49"/>
      <x:c r="G115" s="49"/>
      <x:c r="H115" s="49"/>
      <x:c r="I115" s="49"/>
      <x:c r="J115" s="49"/>
      <x:c r="K115" s="49"/>
      <x:c r="L115" s="49"/>
      <x:c r="M115" s="49"/>
      <x:c r="N115" s="49"/>
      <x:c r="O115" s="49"/>
      <x:c r="P115" s="49"/>
      <x:c r="Q115" s="49"/>
      <x:c r="R115" s="49"/>
      <x:c r="S115" s="49"/>
      <x:c r="T115" s="49"/>
      <x:c r="U115" s="49"/>
      <x:c r="V115" s="49"/>
      <x:c r="W115" s="49"/>
      <x:c r="X115" s="49"/>
      <x:c r="Y115" s="49"/>
      <x:c r="Z115" s="49"/>
      <x:c r="AA115" s="49"/>
      <x:c r="AB115" s="49"/>
      <x:c r="AC115" s="49"/>
      <x:c r="AD115" s="49"/>
      <x:c r="AE115" s="49"/>
      <x:c r="AF115" s="49"/>
      <x:c r="AG115" s="49"/>
      <x:c r="AH115" s="49"/>
      <x:c r="AI115" s="49"/>
      <x:c r="AJ115" s="49"/>
      <x:c r="AK115" s="49"/>
      <x:c r="AL115" s="49"/>
      <x:c r="AM115" s="49"/>
      <x:c r="AN115" s="49"/>
      <x:c r="AO115" s="49"/>
      <x:c r="AP115" s="49"/>
      <x:c r="AQ115" s="49"/>
      <x:c r="AR115" s="49"/>
      <x:c r="AS115" s="49"/>
      <x:c r="AT115" s="49"/>
      <x:c r="AU115" s="49"/>
      <x:c r="AV115" s="49"/>
      <x:c r="AW115" s="49"/>
      <x:c r="AX115" s="49"/>
      <x:c r="AY115" s="49"/>
      <x:c r="AZ115" s="49"/>
    </x:row>
    <x:row r="116">
      <x:c r="A116" s="49"/>
      <x:c r="B116" s="49"/>
      <x:c r="C116" s="49"/>
      <x:c r="D116" s="49"/>
      <x:c r="E116" s="49"/>
      <x:c r="F116" s="49"/>
      <x:c r="G116" s="49"/>
      <x:c r="H116" s="49"/>
      <x:c r="I116" s="49"/>
      <x:c r="J116" s="49"/>
      <x:c r="K116" s="49"/>
      <x:c r="L116" s="49"/>
      <x:c r="M116" s="49"/>
      <x:c r="N116" s="49"/>
      <x:c r="O116" s="49"/>
      <x:c r="P116" s="49"/>
      <x:c r="Q116" s="49"/>
      <x:c r="R116" s="49"/>
      <x:c r="S116" s="49"/>
      <x:c r="T116" s="49"/>
      <x:c r="U116" s="49"/>
      <x:c r="V116" s="49"/>
      <x:c r="W116" s="49"/>
      <x:c r="X116" s="49"/>
      <x:c r="Y116" s="49"/>
      <x:c r="Z116" s="49"/>
      <x:c r="AA116" s="49"/>
      <x:c r="AB116" s="49"/>
      <x:c r="AC116" s="49"/>
      <x:c r="AD116" s="49"/>
      <x:c r="AE116" s="49"/>
      <x:c r="AF116" s="49"/>
      <x:c r="AG116" s="49"/>
      <x:c r="AH116" s="49"/>
      <x:c r="AI116" s="49"/>
      <x:c r="AJ116" s="49"/>
      <x:c r="AK116" s="49"/>
      <x:c r="AL116" s="49"/>
      <x:c r="AM116" s="49"/>
      <x:c r="AN116" s="49"/>
      <x:c r="AO116" s="49"/>
      <x:c r="AP116" s="49"/>
      <x:c r="AQ116" s="49"/>
      <x:c r="AR116" s="49"/>
      <x:c r="AS116" s="49"/>
      <x:c r="AT116" s="49"/>
      <x:c r="AU116" s="49"/>
      <x:c r="AV116" s="49"/>
      <x:c r="AW116" s="49"/>
      <x:c r="AX116" s="49"/>
      <x:c r="AY116" s="49"/>
      <x:c r="AZ116" s="49"/>
    </x:row>
    <x:row r="117">
      <x:c r="A117" s="49"/>
      <x:c r="B117" s="49"/>
      <x:c r="C117" s="49"/>
      <x:c r="D117" s="49"/>
      <x:c r="E117" s="49"/>
      <x:c r="F117" s="49"/>
      <x:c r="G117" s="49"/>
      <x:c r="H117" s="49"/>
      <x:c r="I117" s="49"/>
      <x:c r="J117" s="49"/>
      <x:c r="K117" s="49"/>
      <x:c r="L117" s="49"/>
      <x:c r="M117" s="49"/>
      <x:c r="N117" s="49"/>
      <x:c r="O117" s="49"/>
      <x:c r="P117" s="49"/>
      <x:c r="Q117" s="49"/>
      <x:c r="R117" s="49"/>
      <x:c r="S117" s="49"/>
      <x:c r="T117" s="49"/>
      <x:c r="U117" s="49"/>
      <x:c r="V117" s="49"/>
      <x:c r="W117" s="49"/>
      <x:c r="X117" s="49"/>
      <x:c r="Y117" s="49"/>
      <x:c r="Z117" s="49"/>
      <x:c r="AA117" s="49"/>
      <x:c r="AB117" s="49"/>
      <x:c r="AC117" s="49"/>
      <x:c r="AD117" s="49"/>
      <x:c r="AE117" s="49"/>
      <x:c r="AF117" s="49"/>
      <x:c r="AG117" s="49"/>
      <x:c r="AH117" s="49"/>
      <x:c r="AI117" s="49"/>
      <x:c r="AJ117" s="49"/>
      <x:c r="AK117" s="49"/>
      <x:c r="AL117" s="49"/>
      <x:c r="AM117" s="49"/>
      <x:c r="AN117" s="49"/>
      <x:c r="AO117" s="49"/>
      <x:c r="AP117" s="49"/>
      <x:c r="AQ117" s="49"/>
      <x:c r="AR117" s="49"/>
      <x:c r="AS117" s="49"/>
      <x:c r="AT117" s="49"/>
      <x:c r="AU117" s="49"/>
      <x:c r="AV117" s="49"/>
      <x:c r="AW117" s="49"/>
      <x:c r="AX117" s="49"/>
      <x:c r="AY117" s="49"/>
      <x:c r="AZ117" s="49"/>
    </x:row>
    <x:row r="118">
      <x:c r="A118" s="49"/>
      <x:c r="B118" s="49"/>
      <x:c r="C118" s="49"/>
      <x:c r="D118" s="49"/>
      <x:c r="E118" s="49"/>
      <x:c r="F118" s="49"/>
      <x:c r="G118" s="49"/>
      <x:c r="H118" s="49"/>
      <x:c r="I118" s="49"/>
      <x:c r="J118" s="49"/>
      <x:c r="K118" s="49"/>
      <x:c r="L118" s="49"/>
      <x:c r="M118" s="49"/>
      <x:c r="N118" s="49"/>
      <x:c r="O118" s="49"/>
      <x:c r="P118" s="49"/>
      <x:c r="Q118" s="49"/>
      <x:c r="R118" s="49"/>
      <x:c r="S118" s="49"/>
      <x:c r="T118" s="49"/>
      <x:c r="U118" s="49"/>
      <x:c r="V118" s="49"/>
      <x:c r="W118" s="49"/>
      <x:c r="X118" s="49"/>
      <x:c r="Y118" s="49"/>
      <x:c r="Z118" s="49"/>
      <x:c r="AA118" s="49"/>
      <x:c r="AB118" s="49"/>
      <x:c r="AC118" s="49"/>
      <x:c r="AD118" s="49"/>
      <x:c r="AE118" s="49"/>
      <x:c r="AF118" s="49"/>
      <x:c r="AG118" s="49"/>
      <x:c r="AH118" s="49"/>
      <x:c r="AI118" s="49"/>
      <x:c r="AJ118" s="49"/>
      <x:c r="AK118" s="49"/>
      <x:c r="AL118" s="49"/>
      <x:c r="AM118" s="49"/>
      <x:c r="AN118" s="49"/>
      <x:c r="AO118" s="49"/>
      <x:c r="AP118" s="49"/>
      <x:c r="AQ118" s="49"/>
      <x:c r="AR118" s="49"/>
      <x:c r="AS118" s="49"/>
      <x:c r="AT118" s="49"/>
      <x:c r="AU118" s="49"/>
      <x:c r="AV118" s="49"/>
      <x:c r="AW118" s="49"/>
      <x:c r="AX118" s="49"/>
      <x:c r="AY118" s="49"/>
      <x:c r="AZ118" s="49"/>
    </x:row>
    <x:row r="119">
      <x:c r="A119" s="49"/>
      <x:c r="B119" s="49"/>
      <x:c r="C119" s="49"/>
      <x:c r="D119" s="49"/>
      <x:c r="E119" s="49"/>
      <x:c r="F119" s="49"/>
      <x:c r="G119" s="49"/>
      <x:c r="H119" s="49"/>
      <x:c r="I119" s="49"/>
      <x:c r="J119" s="49"/>
      <x:c r="K119" s="49"/>
      <x:c r="L119" s="49"/>
      <x:c r="M119" s="49"/>
      <x:c r="N119" s="49"/>
      <x:c r="O119" s="49"/>
      <x:c r="P119" s="49"/>
      <x:c r="Q119" s="49"/>
      <x:c r="R119" s="49"/>
      <x:c r="S119" s="49"/>
      <x:c r="T119" s="49"/>
      <x:c r="U119" s="49"/>
      <x:c r="V119" s="49"/>
      <x:c r="W119" s="49"/>
      <x:c r="X119" s="49"/>
      <x:c r="Y119" s="49"/>
      <x:c r="Z119" s="49"/>
      <x:c r="AA119" s="49"/>
      <x:c r="AB119" s="49"/>
      <x:c r="AC119" s="49"/>
      <x:c r="AD119" s="49"/>
      <x:c r="AE119" s="49"/>
      <x:c r="AF119" s="49"/>
      <x:c r="AG119" s="49"/>
      <x:c r="AH119" s="49"/>
      <x:c r="AI119" s="49"/>
      <x:c r="AJ119" s="49"/>
      <x:c r="AK119" s="49"/>
      <x:c r="AL119" s="49"/>
      <x:c r="AM119" s="49"/>
      <x:c r="AN119" s="49"/>
      <x:c r="AO119" s="49"/>
      <x:c r="AP119" s="49"/>
      <x:c r="AQ119" s="49"/>
      <x:c r="AR119" s="49"/>
      <x:c r="AS119" s="49"/>
      <x:c r="AT119" s="49"/>
      <x:c r="AU119" s="49"/>
      <x:c r="AV119" s="49"/>
      <x:c r="AW119" s="49"/>
      <x:c r="AX119" s="49"/>
      <x:c r="AY119" s="49"/>
      <x:c r="AZ119" s="49"/>
    </x:row>
    <x:row r="120">
      <x:c r="A120" s="49"/>
      <x:c r="B120" s="49"/>
      <x:c r="C120" s="49"/>
      <x:c r="D120" s="49"/>
      <x:c r="E120" s="49"/>
      <x:c r="F120" s="49"/>
      <x:c r="G120" s="49"/>
      <x:c r="H120" s="49"/>
      <x:c r="I120" s="49"/>
      <x:c r="J120" s="49"/>
      <x:c r="K120" s="49"/>
      <x:c r="L120" s="49"/>
      <x:c r="M120" s="49"/>
      <x:c r="N120" s="49"/>
      <x:c r="O120" s="49"/>
      <x:c r="P120" s="49"/>
      <x:c r="Q120" s="49"/>
      <x:c r="R120" s="49"/>
      <x:c r="S120" s="49"/>
      <x:c r="T120" s="49"/>
      <x:c r="U120" s="49"/>
      <x:c r="V120" s="49"/>
      <x:c r="W120" s="49"/>
      <x:c r="X120" s="49"/>
      <x:c r="Y120" s="49"/>
      <x:c r="Z120" s="49"/>
      <x:c r="AA120" s="49"/>
      <x:c r="AB120" s="49"/>
      <x:c r="AC120" s="49"/>
      <x:c r="AD120" s="49"/>
      <x:c r="AE120" s="49"/>
      <x:c r="AF120" s="49"/>
      <x:c r="AG120" s="49"/>
      <x:c r="AH120" s="49"/>
      <x:c r="AI120" s="49"/>
      <x:c r="AJ120" s="49"/>
      <x:c r="AK120" s="49"/>
      <x:c r="AL120" s="49"/>
      <x:c r="AM120" s="49"/>
      <x:c r="AN120" s="49"/>
      <x:c r="AO120" s="49"/>
      <x:c r="AP120" s="49"/>
      <x:c r="AQ120" s="49"/>
      <x:c r="AR120" s="49"/>
      <x:c r="AS120" s="49"/>
      <x:c r="AT120" s="49"/>
      <x:c r="AU120" s="49"/>
      <x:c r="AV120" s="49"/>
      <x:c r="AW120" s="49"/>
      <x:c r="AX120" s="49"/>
      <x:c r="AY120" s="49"/>
      <x:c r="AZ120" s="49"/>
    </x:row>
    <x:row r="121">
      <x:c r="A121" s="49"/>
      <x:c r="B121" s="49"/>
      <x:c r="C121" s="49"/>
      <x:c r="D121" s="49"/>
      <x:c r="E121" s="49"/>
      <x:c r="F121" s="49"/>
      <x:c r="G121" s="49"/>
      <x:c r="H121" s="49"/>
      <x:c r="I121" s="49"/>
      <x:c r="J121" s="49"/>
      <x:c r="K121" s="49"/>
      <x:c r="L121" s="49"/>
      <x:c r="M121" s="49"/>
      <x:c r="N121" s="49"/>
      <x:c r="O121" s="49"/>
      <x:c r="P121" s="49"/>
      <x:c r="Q121" s="49"/>
      <x:c r="R121" s="49"/>
      <x:c r="S121" s="49"/>
      <x:c r="T121" s="49"/>
      <x:c r="U121" s="49"/>
      <x:c r="V121" s="49"/>
      <x:c r="W121" s="49"/>
      <x:c r="X121" s="49"/>
      <x:c r="Y121" s="49"/>
      <x:c r="Z121" s="49"/>
      <x:c r="AA121" s="49"/>
      <x:c r="AB121" s="49"/>
      <x:c r="AC121" s="49"/>
      <x:c r="AD121" s="49"/>
      <x:c r="AE121" s="49"/>
      <x:c r="AF121" s="49"/>
      <x:c r="AG121" s="49"/>
      <x:c r="AH121" s="49"/>
      <x:c r="AI121" s="49"/>
      <x:c r="AJ121" s="49"/>
      <x:c r="AK121" s="49"/>
      <x:c r="AL121" s="49"/>
      <x:c r="AM121" s="49"/>
      <x:c r="AN121" s="49"/>
      <x:c r="AO121" s="49"/>
      <x:c r="AP121" s="49"/>
      <x:c r="AQ121" s="49"/>
      <x:c r="AR121" s="49"/>
      <x:c r="AS121" s="49"/>
      <x:c r="AT121" s="49"/>
      <x:c r="AU121" s="49"/>
      <x:c r="AV121" s="49"/>
      <x:c r="AW121" s="49"/>
      <x:c r="AX121" s="49"/>
      <x:c r="AY121" s="49"/>
      <x:c r="AZ121" s="49"/>
    </x:row>
    <x:row r="122">
      <x:c r="A122" s="49"/>
      <x:c r="B122" s="49"/>
      <x:c r="C122" s="49"/>
      <x:c r="D122" s="49"/>
      <x:c r="E122" s="49"/>
      <x:c r="F122" s="49"/>
      <x:c r="G122" s="49"/>
      <x:c r="H122" s="49"/>
      <x:c r="I122" s="49"/>
      <x:c r="J122" s="49"/>
      <x:c r="K122" s="49"/>
      <x:c r="L122" s="49"/>
      <x:c r="M122" s="49"/>
      <x:c r="N122" s="49"/>
      <x:c r="O122" s="49"/>
      <x:c r="P122" s="49"/>
      <x:c r="Q122" s="49"/>
      <x:c r="R122" s="49"/>
      <x:c r="S122" s="49"/>
      <x:c r="T122" s="49"/>
      <x:c r="U122" s="49"/>
      <x:c r="V122" s="49"/>
      <x:c r="W122" s="49"/>
      <x:c r="X122" s="49"/>
      <x:c r="Y122" s="49"/>
      <x:c r="Z122" s="49"/>
      <x:c r="AA122" s="49"/>
      <x:c r="AB122" s="49"/>
      <x:c r="AC122" s="49"/>
      <x:c r="AD122" s="49"/>
      <x:c r="AE122" s="49"/>
      <x:c r="AF122" s="49"/>
      <x:c r="AG122" s="49"/>
      <x:c r="AH122" s="49"/>
      <x:c r="AI122" s="49"/>
      <x:c r="AJ122" s="49"/>
      <x:c r="AK122" s="49"/>
      <x:c r="AL122" s="49"/>
      <x:c r="AM122" s="49"/>
      <x:c r="AN122" s="49"/>
      <x:c r="AO122" s="49"/>
      <x:c r="AP122" s="49"/>
      <x:c r="AQ122" s="49"/>
      <x:c r="AR122" s="49"/>
      <x:c r="AS122" s="49"/>
      <x:c r="AT122" s="49"/>
      <x:c r="AU122" s="49"/>
      <x:c r="AV122" s="49"/>
      <x:c r="AW122" s="49"/>
      <x:c r="AX122" s="49"/>
      <x:c r="AY122" s="49"/>
      <x:c r="AZ122" s="49"/>
    </x:row>
    <x:row r="123">
      <x:c r="A123" s="49"/>
      <x:c r="B123" s="49"/>
      <x:c r="C123" s="49"/>
      <x:c r="D123" s="49"/>
      <x:c r="E123" s="49"/>
      <x:c r="F123" s="49"/>
      <x:c r="G123" s="49"/>
      <x:c r="H123" s="49"/>
      <x:c r="I123" s="49"/>
      <x:c r="J123" s="49"/>
      <x:c r="K123" s="49"/>
      <x:c r="L123" s="49"/>
      <x:c r="M123" s="49"/>
      <x:c r="N123" s="49"/>
      <x:c r="O123" s="49"/>
      <x:c r="P123" s="49"/>
      <x:c r="Q123" s="49"/>
      <x:c r="R123" s="49"/>
      <x:c r="S123" s="49"/>
      <x:c r="T123" s="49"/>
      <x:c r="U123" s="49"/>
      <x:c r="V123" s="49"/>
      <x:c r="W123" s="49"/>
      <x:c r="X123" s="49"/>
      <x:c r="Y123" s="49"/>
      <x:c r="Z123" s="49"/>
      <x:c r="AA123" s="49"/>
      <x:c r="AB123" s="49"/>
      <x:c r="AC123" s="49"/>
      <x:c r="AD123" s="49"/>
      <x:c r="AE123" s="49"/>
      <x:c r="AF123" s="49"/>
      <x:c r="AG123" s="49"/>
      <x:c r="AH123" s="49"/>
      <x:c r="AI123" s="49"/>
      <x:c r="AJ123" s="49"/>
      <x:c r="AK123" s="49"/>
      <x:c r="AL123" s="49"/>
      <x:c r="AM123" s="49"/>
      <x:c r="AN123" s="49"/>
      <x:c r="AO123" s="49"/>
      <x:c r="AP123" s="49"/>
      <x:c r="AQ123" s="49"/>
      <x:c r="AR123" s="49"/>
      <x:c r="AS123" s="49"/>
      <x:c r="AT123" s="49"/>
      <x:c r="AU123" s="49"/>
      <x:c r="AV123" s="49"/>
      <x:c r="AW123" s="49"/>
      <x:c r="AX123" s="49"/>
      <x:c r="AY123" s="49"/>
      <x:c r="AZ123" s="49"/>
    </x:row>
    <x:row r="124">
      <x:c r="A124" s="49"/>
      <x:c r="B124" s="49"/>
      <x:c r="C124" s="49"/>
      <x:c r="D124" s="49"/>
      <x:c r="E124" s="49"/>
      <x:c r="F124" s="49"/>
      <x:c r="G124" s="49"/>
      <x:c r="H124" s="49"/>
      <x:c r="I124" s="49"/>
      <x:c r="J124" s="49"/>
      <x:c r="K124" s="49"/>
      <x:c r="L124" s="49"/>
      <x:c r="M124" s="49"/>
      <x:c r="N124" s="49"/>
      <x:c r="O124" s="49"/>
      <x:c r="P124" s="49"/>
      <x:c r="Q124" s="49"/>
      <x:c r="R124" s="49"/>
      <x:c r="S124" s="49"/>
      <x:c r="T124" s="49"/>
      <x:c r="U124" s="49"/>
      <x:c r="V124" s="49"/>
      <x:c r="W124" s="49"/>
      <x:c r="X124" s="49"/>
      <x:c r="Y124" s="49"/>
      <x:c r="Z124" s="49"/>
      <x:c r="AA124" s="49"/>
      <x:c r="AB124" s="49"/>
      <x:c r="AC124" s="49"/>
      <x:c r="AD124" s="49"/>
      <x:c r="AE124" s="49"/>
      <x:c r="AF124" s="49"/>
      <x:c r="AG124" s="49"/>
      <x:c r="AH124" s="49"/>
      <x:c r="AI124" s="49"/>
      <x:c r="AJ124" s="49"/>
      <x:c r="AK124" s="49"/>
      <x:c r="AL124" s="49"/>
      <x:c r="AM124" s="49"/>
      <x:c r="AN124" s="49"/>
      <x:c r="AO124" s="49"/>
      <x:c r="AP124" s="49"/>
      <x:c r="AQ124" s="49"/>
      <x:c r="AR124" s="49"/>
      <x:c r="AS124" s="49"/>
      <x:c r="AT124" s="49"/>
      <x:c r="AU124" s="49"/>
      <x:c r="AV124" s="49"/>
      <x:c r="AW124" s="49"/>
      <x:c r="AX124" s="49"/>
      <x:c r="AY124" s="49"/>
      <x:c r="AZ124" s="49"/>
    </x:row>
    <x:row r="125">
      <x:c r="A125" s="49"/>
      <x:c r="B125" s="49"/>
      <x:c r="C125" s="49"/>
      <x:c r="D125" s="49"/>
      <x:c r="E125" s="49"/>
      <x:c r="F125" s="49"/>
      <x:c r="G125" s="49"/>
      <x:c r="H125" s="49"/>
      <x:c r="I125" s="49"/>
      <x:c r="J125" s="49"/>
      <x:c r="K125" s="49"/>
      <x:c r="L125" s="49"/>
      <x:c r="M125" s="49"/>
      <x:c r="N125" s="49"/>
      <x:c r="O125" s="49"/>
      <x:c r="P125" s="49"/>
      <x:c r="Q125" s="49"/>
      <x:c r="R125" s="49"/>
      <x:c r="S125" s="49"/>
      <x:c r="T125" s="49"/>
      <x:c r="U125" s="49"/>
      <x:c r="V125" s="49"/>
      <x:c r="W125" s="49"/>
      <x:c r="X125" s="49"/>
      <x:c r="Y125" s="49"/>
      <x:c r="Z125" s="49"/>
      <x:c r="AA125" s="49"/>
      <x:c r="AB125" s="49"/>
      <x:c r="AC125" s="49"/>
      <x:c r="AD125" s="49"/>
      <x:c r="AE125" s="49"/>
      <x:c r="AF125" s="49"/>
      <x:c r="AG125" s="49"/>
      <x:c r="AH125" s="49"/>
      <x:c r="AI125" s="49"/>
      <x:c r="AJ125" s="49"/>
      <x:c r="AK125" s="49"/>
      <x:c r="AL125" s="49"/>
      <x:c r="AM125" s="49"/>
      <x:c r="AN125" s="49"/>
      <x:c r="AO125" s="49"/>
      <x:c r="AP125" s="49"/>
      <x:c r="AQ125" s="49"/>
      <x:c r="AR125" s="49"/>
      <x:c r="AS125" s="49"/>
      <x:c r="AT125" s="49"/>
      <x:c r="AU125" s="49"/>
      <x:c r="AV125" s="49"/>
      <x:c r="AW125" s="49"/>
      <x:c r="AX125" s="49"/>
      <x:c r="AY125" s="49"/>
      <x:c r="AZ125" s="49"/>
    </x:row>
    <x:row r="126">
      <x:c r="A126" s="49"/>
      <x:c r="B126" s="49"/>
      <x:c r="C126" s="49"/>
      <x:c r="D126" s="49"/>
      <x:c r="E126" s="49"/>
      <x:c r="F126" s="49"/>
      <x:c r="G126" s="49"/>
      <x:c r="H126" s="49"/>
      <x:c r="I126" s="49"/>
      <x:c r="J126" s="49"/>
      <x:c r="K126" s="49"/>
      <x:c r="L126" s="49"/>
      <x:c r="M126" s="49"/>
      <x:c r="N126" s="49"/>
      <x:c r="O126" s="49"/>
      <x:c r="P126" s="49"/>
      <x:c r="Q126" s="49"/>
      <x:c r="R126" s="49"/>
      <x:c r="S126" s="49"/>
      <x:c r="T126" s="49"/>
      <x:c r="U126" s="49"/>
      <x:c r="V126" s="49"/>
      <x:c r="W126" s="49"/>
      <x:c r="X126" s="49"/>
      <x:c r="Y126" s="49"/>
      <x:c r="Z126" s="49"/>
      <x:c r="AA126" s="49"/>
      <x:c r="AB126" s="49"/>
      <x:c r="AC126" s="49"/>
      <x:c r="AD126" s="49"/>
      <x:c r="AE126" s="49"/>
      <x:c r="AF126" s="49"/>
      <x:c r="AG126" s="49"/>
      <x:c r="AH126" s="49"/>
      <x:c r="AI126" s="49"/>
      <x:c r="AJ126" s="49"/>
      <x:c r="AK126" s="49"/>
      <x:c r="AL126" s="49"/>
      <x:c r="AM126" s="49"/>
      <x:c r="AN126" s="49"/>
      <x:c r="AO126" s="49"/>
      <x:c r="AP126" s="49"/>
      <x:c r="AQ126" s="49"/>
      <x:c r="AR126" s="49"/>
      <x:c r="AS126" s="49"/>
      <x:c r="AT126" s="49"/>
      <x:c r="AU126" s="49"/>
      <x:c r="AV126" s="49"/>
      <x:c r="AW126" s="49"/>
      <x:c r="AX126" s="49"/>
      <x:c r="AY126" s="49"/>
      <x:c r="AZ126" s="49"/>
    </x:row>
    <x:row r="127">
      <x:c r="A127" s="49"/>
      <x:c r="B127" s="49"/>
      <x:c r="C127" s="49"/>
      <x:c r="D127" s="49"/>
      <x:c r="E127" s="49"/>
      <x:c r="F127" s="49"/>
      <x:c r="G127" s="49"/>
      <x:c r="H127" s="49"/>
      <x:c r="I127" s="49"/>
      <x:c r="J127" s="49"/>
      <x:c r="K127" s="49"/>
      <x:c r="L127" s="49"/>
      <x:c r="M127" s="49"/>
      <x:c r="N127" s="49"/>
      <x:c r="O127" s="49"/>
      <x:c r="P127" s="49"/>
      <x:c r="Q127" s="49"/>
      <x:c r="R127" s="49"/>
      <x:c r="S127" s="49"/>
      <x:c r="T127" s="49"/>
      <x:c r="U127" s="49"/>
      <x:c r="V127" s="49"/>
      <x:c r="W127" s="49"/>
      <x:c r="X127" s="49"/>
      <x:c r="Y127" s="49"/>
      <x:c r="Z127" s="49"/>
      <x:c r="AA127" s="49"/>
      <x:c r="AB127" s="49"/>
      <x:c r="AC127" s="49"/>
      <x:c r="AD127" s="49"/>
      <x:c r="AE127" s="49"/>
      <x:c r="AF127" s="49"/>
      <x:c r="AG127" s="49"/>
      <x:c r="AH127" s="49"/>
      <x:c r="AI127" s="49"/>
      <x:c r="AJ127" s="49"/>
      <x:c r="AK127" s="49"/>
      <x:c r="AL127" s="49"/>
      <x:c r="AM127" s="49"/>
      <x:c r="AN127" s="49"/>
      <x:c r="AO127" s="49"/>
      <x:c r="AP127" s="49"/>
      <x:c r="AQ127" s="49"/>
      <x:c r="AR127" s="49"/>
      <x:c r="AS127" s="49"/>
      <x:c r="AT127" s="49"/>
      <x:c r="AU127" s="49"/>
      <x:c r="AV127" s="49"/>
      <x:c r="AW127" s="49"/>
      <x:c r="AX127" s="49"/>
      <x:c r="AY127" s="49"/>
      <x:c r="AZ127" s="49"/>
    </x:row>
    <x:row r="128">
      <x:c r="A128" s="49"/>
      <x:c r="B128" s="49"/>
      <x:c r="C128" s="49"/>
      <x:c r="D128" s="49"/>
      <x:c r="E128" s="49"/>
      <x:c r="F128" s="49"/>
      <x:c r="G128" s="49"/>
      <x:c r="H128" s="49"/>
      <x:c r="I128" s="49"/>
      <x:c r="J128" s="49"/>
      <x:c r="K128" s="49"/>
      <x:c r="L128" s="49"/>
      <x:c r="M128" s="49"/>
      <x:c r="N128" s="49"/>
      <x:c r="O128" s="49"/>
      <x:c r="P128" s="49"/>
      <x:c r="Q128" s="49"/>
      <x:c r="R128" s="49"/>
      <x:c r="S128" s="49"/>
      <x:c r="T128" s="49"/>
      <x:c r="U128" s="49"/>
      <x:c r="V128" s="49"/>
      <x:c r="W128" s="49"/>
      <x:c r="X128" s="49"/>
      <x:c r="Y128" s="49"/>
      <x:c r="Z128" s="49"/>
      <x:c r="AA128" s="49"/>
      <x:c r="AB128" s="49"/>
      <x:c r="AC128" s="49"/>
      <x:c r="AD128" s="49"/>
      <x:c r="AE128" s="49"/>
      <x:c r="AF128" s="49"/>
      <x:c r="AG128" s="49"/>
      <x:c r="AH128" s="49"/>
      <x:c r="AI128" s="49"/>
      <x:c r="AJ128" s="49"/>
      <x:c r="AK128" s="49"/>
      <x:c r="AL128" s="49"/>
      <x:c r="AM128" s="49"/>
      <x:c r="AN128" s="49"/>
      <x:c r="AO128" s="49"/>
      <x:c r="AP128" s="49"/>
      <x:c r="AQ128" s="49"/>
      <x:c r="AR128" s="49"/>
      <x:c r="AS128" s="49"/>
      <x:c r="AT128" s="49"/>
      <x:c r="AU128" s="49"/>
      <x:c r="AV128" s="49"/>
      <x:c r="AW128" s="49"/>
      <x:c r="AX128" s="49"/>
      <x:c r="AY128" s="49"/>
      <x:c r="AZ128" s="49"/>
    </x:row>
    <x:row r="129">
      <x:c r="A129" s="49"/>
      <x:c r="B129" s="49"/>
      <x:c r="C129" s="49"/>
      <x:c r="D129" s="49"/>
      <x:c r="E129" s="49"/>
      <x:c r="F129" s="49"/>
      <x:c r="G129" s="49"/>
      <x:c r="H129" s="49"/>
      <x:c r="I129" s="49"/>
      <x:c r="J129" s="49"/>
      <x:c r="K129" s="49"/>
      <x:c r="L129" s="49"/>
      <x:c r="M129" s="49"/>
      <x:c r="N129" s="49"/>
      <x:c r="O129" s="49"/>
      <x:c r="P129" s="49"/>
      <x:c r="Q129" s="49"/>
      <x:c r="R129" s="49"/>
      <x:c r="S129" s="49"/>
      <x:c r="T129" s="49"/>
      <x:c r="U129" s="49"/>
      <x:c r="V129" s="49"/>
      <x:c r="W129" s="49"/>
      <x:c r="X129" s="49"/>
      <x:c r="Y129" s="49"/>
      <x:c r="Z129" s="49"/>
      <x:c r="AA129" s="49"/>
      <x:c r="AB129" s="49"/>
      <x:c r="AC129" s="49"/>
      <x:c r="AD129" s="49"/>
      <x:c r="AE129" s="49"/>
      <x:c r="AF129" s="49"/>
      <x:c r="AG129" s="49"/>
      <x:c r="AH129" s="49"/>
      <x:c r="AI129" s="49"/>
      <x:c r="AJ129" s="49"/>
      <x:c r="AK129" s="49"/>
      <x:c r="AL129" s="49"/>
      <x:c r="AM129" s="49"/>
      <x:c r="AN129" s="49"/>
      <x:c r="AO129" s="49"/>
      <x:c r="AP129" s="49"/>
      <x:c r="AQ129" s="49"/>
      <x:c r="AR129" s="49"/>
      <x:c r="AS129" s="49"/>
      <x:c r="AT129" s="49"/>
      <x:c r="AU129" s="49"/>
      <x:c r="AV129" s="49"/>
      <x:c r="AW129" s="49"/>
      <x:c r="AX129" s="49"/>
      <x:c r="AY129" s="49"/>
      <x:c r="AZ129" s="49"/>
    </x:row>
    <x:row r="130">
      <x:c r="A130" s="49"/>
      <x:c r="B130" s="49"/>
      <x:c r="C130" s="49"/>
      <x:c r="D130" s="49"/>
      <x:c r="E130" s="49"/>
      <x:c r="F130" s="49"/>
      <x:c r="G130" s="49"/>
      <x:c r="H130" s="49"/>
      <x:c r="I130" s="49"/>
      <x:c r="J130" s="49"/>
      <x:c r="K130" s="49"/>
      <x:c r="L130" s="49"/>
      <x:c r="M130" s="49"/>
      <x:c r="N130" s="49"/>
      <x:c r="O130" s="49"/>
      <x:c r="P130" s="49"/>
      <x:c r="Q130" s="49"/>
      <x:c r="R130" s="49"/>
      <x:c r="S130" s="49"/>
      <x:c r="T130" s="49"/>
      <x:c r="U130" s="49"/>
      <x:c r="V130" s="49"/>
      <x:c r="W130" s="49"/>
      <x:c r="X130" s="49"/>
      <x:c r="Y130" s="49"/>
      <x:c r="Z130" s="49"/>
      <x:c r="AA130" s="49"/>
      <x:c r="AB130" s="49"/>
      <x:c r="AC130" s="49"/>
      <x:c r="AD130" s="49"/>
      <x:c r="AE130" s="49"/>
      <x:c r="AF130" s="49"/>
      <x:c r="AG130" s="49"/>
      <x:c r="AH130" s="49"/>
      <x:c r="AI130" s="49"/>
      <x:c r="AJ130" s="49"/>
      <x:c r="AK130" s="49"/>
      <x:c r="AL130" s="49"/>
      <x:c r="AM130" s="49"/>
      <x:c r="AN130" s="49"/>
      <x:c r="AO130" s="49"/>
      <x:c r="AP130" s="49"/>
      <x:c r="AQ130" s="49"/>
      <x:c r="AR130" s="49"/>
      <x:c r="AS130" s="49"/>
      <x:c r="AT130" s="49"/>
      <x:c r="AU130" s="49"/>
      <x:c r="AV130" s="49"/>
      <x:c r="AW130" s="49"/>
      <x:c r="AX130" s="49"/>
      <x:c r="AY130" s="49"/>
      <x:c r="AZ130" s="49"/>
    </x:row>
    <x:row r="131">
      <x:c r="A131" s="49"/>
      <x:c r="B131" s="49"/>
      <x:c r="C131" s="49"/>
      <x:c r="D131" s="49"/>
      <x:c r="E131" s="49"/>
      <x:c r="F131" s="49"/>
      <x:c r="G131" s="49"/>
      <x:c r="H131" s="49"/>
      <x:c r="I131" s="49"/>
      <x:c r="J131" s="49"/>
      <x:c r="K131" s="49"/>
      <x:c r="L131" s="49"/>
      <x:c r="M131" s="49"/>
      <x:c r="N131" s="49"/>
      <x:c r="O131" s="49"/>
      <x:c r="P131" s="49"/>
      <x:c r="Q131" s="49"/>
      <x:c r="R131" s="49"/>
      <x:c r="S131" s="49"/>
      <x:c r="T131" s="49"/>
      <x:c r="U131" s="49"/>
      <x:c r="V131" s="49"/>
      <x:c r="W131" s="49"/>
      <x:c r="X131" s="49"/>
      <x:c r="Y131" s="49"/>
      <x:c r="Z131" s="49"/>
      <x:c r="AA131" s="49"/>
      <x:c r="AB131" s="49"/>
      <x:c r="AC131" s="49"/>
      <x:c r="AD131" s="49"/>
      <x:c r="AE131" s="49"/>
      <x:c r="AF131" s="49"/>
      <x:c r="AG131" s="49"/>
      <x:c r="AH131" s="49"/>
      <x:c r="AI131" s="49"/>
      <x:c r="AJ131" s="49"/>
      <x:c r="AK131" s="49"/>
      <x:c r="AL131" s="49"/>
      <x:c r="AM131" s="49"/>
      <x:c r="AN131" s="49"/>
      <x:c r="AO131" s="49"/>
      <x:c r="AP131" s="49"/>
      <x:c r="AQ131" s="49"/>
      <x:c r="AR131" s="49"/>
      <x:c r="AS131" s="49"/>
      <x:c r="AT131" s="49"/>
      <x:c r="AU131" s="49"/>
      <x:c r="AV131" s="49"/>
      <x:c r="AW131" s="49"/>
      <x:c r="AX131" s="49"/>
      <x:c r="AY131" s="49"/>
      <x:c r="AZ131" s="49"/>
    </x:row>
    <x:row r="132">
      <x:c r="A132" s="49"/>
      <x:c r="B132" s="49"/>
      <x:c r="C132" s="49"/>
      <x:c r="D132" s="49"/>
      <x:c r="E132" s="49"/>
      <x:c r="F132" s="49"/>
      <x:c r="G132" s="49"/>
      <x:c r="H132" s="49"/>
      <x:c r="I132" s="49"/>
      <x:c r="J132" s="49"/>
      <x:c r="K132" s="49"/>
      <x:c r="L132" s="49"/>
      <x:c r="M132" s="49"/>
      <x:c r="N132" s="49"/>
      <x:c r="O132" s="49"/>
      <x:c r="P132" s="49"/>
      <x:c r="Q132" s="49"/>
      <x:c r="R132" s="49"/>
      <x:c r="S132" s="49"/>
      <x:c r="T132" s="49"/>
      <x:c r="U132" s="49"/>
      <x:c r="V132" s="49"/>
      <x:c r="W132" s="49"/>
      <x:c r="X132" s="49"/>
      <x:c r="Y132" s="49"/>
      <x:c r="Z132" s="49"/>
      <x:c r="AA132" s="49"/>
      <x:c r="AB132" s="49"/>
      <x:c r="AC132" s="49"/>
      <x:c r="AD132" s="49"/>
      <x:c r="AE132" s="49"/>
      <x:c r="AF132" s="49"/>
      <x:c r="AG132" s="49"/>
      <x:c r="AH132" s="49"/>
      <x:c r="AI132" s="49"/>
      <x:c r="AJ132" s="49"/>
      <x:c r="AK132" s="49"/>
      <x:c r="AL132" s="49"/>
      <x:c r="AM132" s="49"/>
      <x:c r="AN132" s="49"/>
      <x:c r="AO132" s="49"/>
      <x:c r="AP132" s="49"/>
      <x:c r="AQ132" s="49"/>
      <x:c r="AR132" s="49"/>
      <x:c r="AS132" s="49"/>
      <x:c r="AT132" s="49"/>
      <x:c r="AU132" s="49"/>
      <x:c r="AV132" s="49"/>
      <x:c r="AW132" s="49"/>
      <x:c r="AX132" s="49"/>
      <x:c r="AY132" s="49"/>
      <x:c r="AZ132" s="49"/>
    </x:row>
    <x:row r="133">
      <x:c r="A133" s="49"/>
      <x:c r="B133" s="49"/>
      <x:c r="C133" s="49"/>
      <x:c r="D133" s="49"/>
      <x:c r="E133" s="49"/>
      <x:c r="F133" s="49"/>
      <x:c r="G133" s="49"/>
      <x:c r="H133" s="49"/>
      <x:c r="I133" s="49"/>
      <x:c r="J133" s="49"/>
      <x:c r="K133" s="49"/>
      <x:c r="L133" s="49"/>
      <x:c r="M133" s="49"/>
      <x:c r="N133" s="49"/>
      <x:c r="O133" s="49"/>
      <x:c r="P133" s="49"/>
      <x:c r="Q133" s="49"/>
      <x:c r="R133" s="49"/>
      <x:c r="S133" s="49"/>
      <x:c r="T133" s="49"/>
      <x:c r="U133" s="49"/>
      <x:c r="V133" s="49"/>
      <x:c r="W133" s="49"/>
      <x:c r="X133" s="49"/>
      <x:c r="Y133" s="49"/>
      <x:c r="Z133" s="49"/>
      <x:c r="AA133" s="49"/>
      <x:c r="AB133" s="49"/>
      <x:c r="AC133" s="49"/>
      <x:c r="AD133" s="49"/>
      <x:c r="AE133" s="49"/>
      <x:c r="AF133" s="49"/>
      <x:c r="AG133" s="49"/>
      <x:c r="AH133" s="49"/>
      <x:c r="AI133" s="49"/>
      <x:c r="AJ133" s="49"/>
      <x:c r="AK133" s="49"/>
      <x:c r="AL133" s="49"/>
      <x:c r="AM133" s="49"/>
      <x:c r="AN133" s="49"/>
      <x:c r="AO133" s="49"/>
      <x:c r="AP133" s="49"/>
      <x:c r="AQ133" s="49"/>
      <x:c r="AR133" s="49"/>
      <x:c r="AS133" s="49"/>
      <x:c r="AT133" s="49"/>
      <x:c r="AU133" s="49"/>
      <x:c r="AV133" s="49"/>
      <x:c r="AW133" s="49"/>
      <x:c r="AX133" s="49"/>
      <x:c r="AY133" s="49"/>
      <x:c r="AZ133" s="49"/>
    </x:row>
    <x:row r="134">
      <x:c r="A134" s="49"/>
      <x:c r="B134" s="49"/>
      <x:c r="C134" s="49"/>
      <x:c r="D134" s="49"/>
      <x:c r="E134" s="49"/>
      <x:c r="F134" s="49"/>
      <x:c r="G134" s="49"/>
      <x:c r="H134" s="49"/>
      <x:c r="I134" s="49"/>
      <x:c r="J134" s="49"/>
      <x:c r="K134" s="49"/>
      <x:c r="L134" s="49"/>
      <x:c r="M134" s="49"/>
      <x:c r="N134" s="49"/>
      <x:c r="O134" s="49"/>
      <x:c r="P134" s="49"/>
      <x:c r="Q134" s="49"/>
      <x:c r="R134" s="49"/>
      <x:c r="S134" s="49"/>
      <x:c r="T134" s="49"/>
      <x:c r="U134" s="49"/>
      <x:c r="V134" s="49"/>
      <x:c r="W134" s="49"/>
      <x:c r="X134" s="49"/>
      <x:c r="Y134" s="49"/>
      <x:c r="Z134" s="49"/>
      <x:c r="AA134" s="49"/>
      <x:c r="AB134" s="49"/>
      <x:c r="AC134" s="49"/>
      <x:c r="AD134" s="49"/>
      <x:c r="AE134" s="49"/>
      <x:c r="AF134" s="49"/>
      <x:c r="AG134" s="49"/>
      <x:c r="AH134" s="49"/>
      <x:c r="AI134" s="49"/>
      <x:c r="AJ134" s="49"/>
      <x:c r="AK134" s="49"/>
      <x:c r="AL134" s="49"/>
      <x:c r="AM134" s="49"/>
      <x:c r="AN134" s="49"/>
      <x:c r="AO134" s="49"/>
      <x:c r="AP134" s="49"/>
      <x:c r="AQ134" s="49"/>
      <x:c r="AR134" s="49"/>
      <x:c r="AS134" s="49"/>
      <x:c r="AT134" s="49"/>
      <x:c r="AU134" s="49"/>
      <x:c r="AV134" s="49"/>
      <x:c r="AW134" s="49"/>
      <x:c r="AX134" s="49"/>
      <x:c r="AY134" s="49"/>
      <x:c r="AZ134" s="49"/>
    </x:row>
    <x:row r="135">
      <x:c r="A135" s="49"/>
      <x:c r="B135" s="49"/>
      <x:c r="C135" s="49"/>
      <x:c r="D135" s="49"/>
      <x:c r="E135" s="49"/>
      <x:c r="F135" s="49"/>
      <x:c r="G135" s="49"/>
      <x:c r="H135" s="49"/>
      <x:c r="I135" s="49"/>
      <x:c r="J135" s="49"/>
      <x:c r="K135" s="49"/>
      <x:c r="L135" s="49"/>
      <x:c r="M135" s="49"/>
      <x:c r="N135" s="49"/>
      <x:c r="O135" s="49"/>
      <x:c r="P135" s="49"/>
      <x:c r="Q135" s="49"/>
      <x:c r="R135" s="49"/>
      <x:c r="S135" s="49"/>
      <x:c r="T135" s="49"/>
      <x:c r="U135" s="49"/>
      <x:c r="V135" s="49"/>
      <x:c r="W135" s="49"/>
      <x:c r="X135" s="49"/>
      <x:c r="Y135" s="49"/>
      <x:c r="Z135" s="49"/>
      <x:c r="AA135" s="49"/>
      <x:c r="AB135" s="49"/>
      <x:c r="AC135" s="49"/>
      <x:c r="AD135" s="49"/>
      <x:c r="AE135" s="49"/>
      <x:c r="AF135" s="49"/>
      <x:c r="AG135" s="49"/>
      <x:c r="AH135" s="49"/>
      <x:c r="AI135" s="49"/>
      <x:c r="AJ135" s="49"/>
      <x:c r="AK135" s="49"/>
      <x:c r="AL135" s="49"/>
      <x:c r="AM135" s="49"/>
      <x:c r="AN135" s="49"/>
      <x:c r="AO135" s="49"/>
      <x:c r="AP135" s="49"/>
      <x:c r="AQ135" s="49"/>
      <x:c r="AR135" s="49"/>
      <x:c r="AS135" s="49"/>
      <x:c r="AT135" s="49"/>
      <x:c r="AU135" s="49"/>
      <x:c r="AV135" s="49"/>
      <x:c r="AW135" s="49"/>
      <x:c r="AX135" s="49"/>
      <x:c r="AY135" s="49"/>
      <x:c r="AZ135" s="49"/>
    </x:row>
    <x:row r="136">
      <x:c r="A136" s="49"/>
      <x:c r="B136" s="49"/>
      <x:c r="C136" s="49"/>
      <x:c r="D136" s="49"/>
      <x:c r="E136" s="49"/>
      <x:c r="F136" s="49"/>
      <x:c r="G136" s="49"/>
      <x:c r="H136" s="49"/>
      <x:c r="I136" s="49"/>
      <x:c r="J136" s="49"/>
      <x:c r="K136" s="49"/>
      <x:c r="L136" s="49"/>
      <x:c r="M136" s="49"/>
      <x:c r="N136" s="49"/>
      <x:c r="O136" s="49"/>
      <x:c r="P136" s="49"/>
      <x:c r="Q136" s="49"/>
      <x:c r="R136" s="49"/>
      <x:c r="S136" s="49"/>
      <x:c r="T136" s="49"/>
      <x:c r="U136" s="49"/>
      <x:c r="V136" s="49"/>
      <x:c r="W136" s="49"/>
      <x:c r="X136" s="49"/>
      <x:c r="Y136" s="49"/>
      <x:c r="Z136" s="49"/>
      <x:c r="AA136" s="49"/>
      <x:c r="AB136" s="49"/>
      <x:c r="AC136" s="49"/>
      <x:c r="AD136" s="49"/>
      <x:c r="AE136" s="49"/>
      <x:c r="AF136" s="49"/>
      <x:c r="AG136" s="49"/>
      <x:c r="AH136" s="49"/>
      <x:c r="AI136" s="49"/>
      <x:c r="AJ136" s="49"/>
      <x:c r="AK136" s="49"/>
      <x:c r="AL136" s="49"/>
      <x:c r="AM136" s="49"/>
      <x:c r="AN136" s="49"/>
      <x:c r="AO136" s="49"/>
      <x:c r="AP136" s="49"/>
      <x:c r="AQ136" s="49"/>
      <x:c r="AR136" s="49"/>
      <x:c r="AS136" s="49"/>
      <x:c r="AT136" s="49"/>
      <x:c r="AU136" s="49"/>
      <x:c r="AV136" s="49"/>
      <x:c r="AW136" s="49"/>
      <x:c r="AX136" s="49"/>
      <x:c r="AY136" s="49"/>
      <x:c r="AZ136" s="49"/>
    </x:row>
    <x:row r="137">
      <x:c r="A137" s="49"/>
      <x:c r="B137" s="49"/>
      <x:c r="C137" s="49"/>
      <x:c r="D137" s="49"/>
      <x:c r="E137" s="49"/>
      <x:c r="F137" s="49"/>
      <x:c r="G137" s="49"/>
      <x:c r="H137" s="49"/>
      <x:c r="I137" s="49"/>
      <x:c r="J137" s="49"/>
      <x:c r="K137" s="49"/>
      <x:c r="L137" s="49"/>
      <x:c r="M137" s="49"/>
      <x:c r="N137" s="49"/>
      <x:c r="O137" s="49"/>
      <x:c r="P137" s="49"/>
      <x:c r="Q137" s="49"/>
      <x:c r="R137" s="49"/>
      <x:c r="S137" s="49"/>
      <x:c r="T137" s="49"/>
      <x:c r="U137" s="49"/>
      <x:c r="V137" s="49"/>
      <x:c r="W137" s="49"/>
      <x:c r="X137" s="49"/>
      <x:c r="Y137" s="49"/>
      <x:c r="Z137" s="49"/>
      <x:c r="AA137" s="49"/>
      <x:c r="AB137" s="49"/>
      <x:c r="AC137" s="49"/>
      <x:c r="AD137" s="49"/>
      <x:c r="AE137" s="49"/>
      <x:c r="AF137" s="49"/>
      <x:c r="AG137" s="49"/>
      <x:c r="AH137" s="49"/>
      <x:c r="AI137" s="49"/>
      <x:c r="AJ137" s="49"/>
      <x:c r="AK137" s="49"/>
      <x:c r="AL137" s="49"/>
      <x:c r="AM137" s="49"/>
      <x:c r="AN137" s="49"/>
      <x:c r="AO137" s="49"/>
      <x:c r="AP137" s="49"/>
      <x:c r="AQ137" s="49"/>
      <x:c r="AR137" s="49"/>
      <x:c r="AS137" s="49"/>
      <x:c r="AT137" s="49"/>
      <x:c r="AU137" s="49"/>
      <x:c r="AV137" s="49"/>
      <x:c r="AW137" s="49"/>
      <x:c r="AX137" s="49"/>
      <x:c r="AY137" s="49"/>
      <x:c r="AZ137" s="49"/>
    </x:row>
    <x:row r="138">
      <x:c r="A138" s="49"/>
      <x:c r="B138" s="49"/>
      <x:c r="C138" s="49"/>
      <x:c r="D138" s="49"/>
      <x:c r="E138" s="49"/>
      <x:c r="F138" s="49"/>
      <x:c r="G138" s="49"/>
      <x:c r="H138" s="49"/>
      <x:c r="I138" s="49"/>
      <x:c r="J138" s="49"/>
      <x:c r="K138" s="49"/>
      <x:c r="L138" s="49"/>
      <x:c r="M138" s="49"/>
      <x:c r="N138" s="49"/>
      <x:c r="O138" s="49"/>
      <x:c r="P138" s="49"/>
      <x:c r="Q138" s="49"/>
      <x:c r="R138" s="49"/>
      <x:c r="S138" s="49"/>
      <x:c r="T138" s="49"/>
      <x:c r="U138" s="49"/>
      <x:c r="V138" s="49"/>
      <x:c r="W138" s="49"/>
      <x:c r="X138" s="49"/>
      <x:c r="Y138" s="49"/>
      <x:c r="Z138" s="49"/>
      <x:c r="AA138" s="49"/>
      <x:c r="AB138" s="49"/>
      <x:c r="AC138" s="49"/>
      <x:c r="AD138" s="49"/>
      <x:c r="AE138" s="49"/>
      <x:c r="AF138" s="49"/>
      <x:c r="AG138" s="49"/>
      <x:c r="AH138" s="49"/>
      <x:c r="AI138" s="49"/>
      <x:c r="AJ138" s="49"/>
      <x:c r="AK138" s="49"/>
      <x:c r="AL138" s="49"/>
      <x:c r="AM138" s="49"/>
      <x:c r="AN138" s="49"/>
      <x:c r="AO138" s="49"/>
      <x:c r="AP138" s="49"/>
      <x:c r="AQ138" s="49"/>
      <x:c r="AR138" s="49"/>
      <x:c r="AS138" s="49"/>
      <x:c r="AT138" s="49"/>
      <x:c r="AU138" s="49"/>
      <x:c r="AV138" s="49"/>
      <x:c r="AW138" s="49"/>
      <x:c r="AX138" s="49"/>
      <x:c r="AY138" s="49"/>
      <x:c r="AZ138" s="49"/>
    </x:row>
    <x:row r="139">
      <x:c r="A139" s="49"/>
      <x:c r="B139" s="49"/>
      <x:c r="C139" s="49"/>
      <x:c r="D139" s="49"/>
      <x:c r="E139" s="49"/>
      <x:c r="F139" s="49"/>
      <x:c r="G139" s="49"/>
      <x:c r="H139" s="49"/>
      <x:c r="I139" s="49"/>
      <x:c r="J139" s="49"/>
      <x:c r="K139" s="49"/>
      <x:c r="L139" s="49"/>
      <x:c r="M139" s="49"/>
      <x:c r="N139" s="49"/>
      <x:c r="O139" s="49"/>
      <x:c r="P139" s="49"/>
      <x:c r="Q139" s="49"/>
      <x:c r="R139" s="49"/>
      <x:c r="S139" s="49"/>
      <x:c r="T139" s="49"/>
      <x:c r="U139" s="49"/>
      <x:c r="V139" s="49"/>
      <x:c r="W139" s="49"/>
      <x:c r="X139" s="49"/>
      <x:c r="Y139" s="49"/>
      <x:c r="Z139" s="49"/>
      <x:c r="AA139" s="49"/>
      <x:c r="AB139" s="49"/>
      <x:c r="AC139" s="49"/>
      <x:c r="AD139" s="49"/>
      <x:c r="AE139" s="49"/>
      <x:c r="AF139" s="49"/>
      <x:c r="AG139" s="49"/>
      <x:c r="AH139" s="49"/>
      <x:c r="AI139" s="49"/>
      <x:c r="AJ139" s="49"/>
      <x:c r="AK139" s="49"/>
      <x:c r="AL139" s="49"/>
      <x:c r="AM139" s="49"/>
      <x:c r="AN139" s="49"/>
      <x:c r="AO139" s="49"/>
      <x:c r="AP139" s="49"/>
      <x:c r="AQ139" s="49"/>
      <x:c r="AR139" s="49"/>
      <x:c r="AS139" s="49"/>
      <x:c r="AT139" s="49"/>
      <x:c r="AU139" s="49"/>
      <x:c r="AV139" s="49"/>
      <x:c r="AW139" s="49"/>
      <x:c r="AX139" s="49"/>
      <x:c r="AY139" s="49"/>
      <x:c r="AZ139" s="49"/>
    </x:row>
    <x:row r="140">
      <x:c r="A140" s="49"/>
      <x:c r="B140" s="49"/>
      <x:c r="C140" s="49"/>
      <x:c r="D140" s="49"/>
      <x:c r="E140" s="49"/>
      <x:c r="F140" s="49"/>
      <x:c r="G140" s="49"/>
      <x:c r="H140" s="49"/>
      <x:c r="I140" s="49"/>
      <x:c r="J140" s="49"/>
      <x:c r="K140" s="49"/>
      <x:c r="L140" s="49"/>
      <x:c r="M140" s="49"/>
      <x:c r="N140" s="49"/>
      <x:c r="O140" s="49"/>
      <x:c r="P140" s="49"/>
      <x:c r="Q140" s="49"/>
      <x:c r="R140" s="49"/>
      <x:c r="S140" s="49"/>
      <x:c r="T140" s="49"/>
      <x:c r="U140" s="49"/>
      <x:c r="V140" s="49"/>
      <x:c r="W140" s="49"/>
      <x:c r="X140" s="49"/>
      <x:c r="Y140" s="49"/>
      <x:c r="Z140" s="49"/>
      <x:c r="AA140" s="49"/>
      <x:c r="AB140" s="49"/>
      <x:c r="AC140" s="49"/>
      <x:c r="AD140" s="49"/>
      <x:c r="AE140" s="49"/>
      <x:c r="AF140" s="49"/>
      <x:c r="AG140" s="49"/>
      <x:c r="AH140" s="49"/>
      <x:c r="AI140" s="49"/>
      <x:c r="AJ140" s="49"/>
      <x:c r="AK140" s="49"/>
      <x:c r="AL140" s="49"/>
      <x:c r="AM140" s="49"/>
      <x:c r="AN140" s="49"/>
      <x:c r="AO140" s="49"/>
      <x:c r="AP140" s="49"/>
      <x:c r="AQ140" s="49"/>
      <x:c r="AR140" s="49"/>
      <x:c r="AS140" s="49"/>
      <x:c r="AT140" s="49"/>
      <x:c r="AU140" s="49"/>
      <x:c r="AV140" s="49"/>
      <x:c r="AW140" s="49"/>
      <x:c r="AX140" s="49"/>
      <x:c r="AY140" s="49"/>
      <x:c r="AZ140" s="49"/>
    </x:row>
    <x:row r="141">
      <x:c r="A141" s="49"/>
      <x:c r="B141" s="49"/>
      <x:c r="C141" s="49"/>
      <x:c r="D141" s="49"/>
      <x:c r="E141" s="49"/>
      <x:c r="F141" s="49"/>
      <x:c r="G141" s="49"/>
      <x:c r="H141" s="49"/>
      <x:c r="I141" s="49"/>
      <x:c r="J141" s="49"/>
      <x:c r="K141" s="49"/>
      <x:c r="L141" s="49"/>
      <x:c r="M141" s="49"/>
      <x:c r="N141" s="49"/>
      <x:c r="O141" s="49"/>
      <x:c r="P141" s="49"/>
      <x:c r="Q141" s="49"/>
      <x:c r="R141" s="49"/>
      <x:c r="S141" s="49"/>
      <x:c r="T141" s="49"/>
      <x:c r="U141" s="49"/>
      <x:c r="V141" s="49"/>
      <x:c r="W141" s="49"/>
      <x:c r="X141" s="49"/>
      <x:c r="Y141" s="49"/>
      <x:c r="Z141" s="49"/>
      <x:c r="AA141" s="49"/>
      <x:c r="AB141" s="49"/>
      <x:c r="AC141" s="49"/>
      <x:c r="AD141" s="49"/>
      <x:c r="AE141" s="49"/>
      <x:c r="AF141" s="49"/>
      <x:c r="AG141" s="49"/>
      <x:c r="AH141" s="49"/>
      <x:c r="AI141" s="49"/>
      <x:c r="AJ141" s="49"/>
      <x:c r="AK141" s="49"/>
      <x:c r="AL141" s="49"/>
      <x:c r="AM141" s="49"/>
      <x:c r="AN141" s="49"/>
      <x:c r="AO141" s="49"/>
      <x:c r="AP141" s="49"/>
      <x:c r="AQ141" s="49"/>
      <x:c r="AR141" s="49"/>
      <x:c r="AS141" s="49"/>
      <x:c r="AT141" s="49"/>
      <x:c r="AU141" s="49"/>
      <x:c r="AV141" s="49"/>
      <x:c r="AW141" s="49"/>
      <x:c r="AX141" s="49"/>
      <x:c r="AY141" s="49"/>
      <x:c r="AZ141" s="49"/>
    </x:row>
    <x:row r="142">
      <x:c r="A142" s="49"/>
      <x:c r="B142" s="49"/>
      <x:c r="C142" s="49"/>
      <x:c r="D142" s="49"/>
      <x:c r="E142" s="49"/>
      <x:c r="F142" s="49"/>
      <x:c r="G142" s="49"/>
      <x:c r="H142" s="49"/>
      <x:c r="I142" s="49"/>
      <x:c r="J142" s="49"/>
      <x:c r="K142" s="49"/>
      <x:c r="L142" s="49"/>
      <x:c r="M142" s="49"/>
      <x:c r="N142" s="49"/>
      <x:c r="O142" s="49"/>
      <x:c r="P142" s="49"/>
      <x:c r="Q142" s="49"/>
      <x:c r="R142" s="49"/>
      <x:c r="S142" s="49"/>
      <x:c r="T142" s="49"/>
      <x:c r="U142" s="49"/>
      <x:c r="V142" s="49"/>
      <x:c r="W142" s="49"/>
      <x:c r="X142" s="49"/>
      <x:c r="Y142" s="49"/>
      <x:c r="Z142" s="49"/>
      <x:c r="AA142" s="49"/>
      <x:c r="AB142" s="49"/>
      <x:c r="AC142" s="49"/>
      <x:c r="AD142" s="49"/>
      <x:c r="AE142" s="49"/>
      <x:c r="AF142" s="49"/>
      <x:c r="AG142" s="49"/>
      <x:c r="AH142" s="49"/>
      <x:c r="AI142" s="49"/>
      <x:c r="AJ142" s="49"/>
      <x:c r="AK142" s="49"/>
      <x:c r="AL142" s="49"/>
      <x:c r="AM142" s="49"/>
      <x:c r="AN142" s="49"/>
      <x:c r="AO142" s="49"/>
      <x:c r="AP142" s="49"/>
      <x:c r="AQ142" s="49"/>
      <x:c r="AR142" s="49"/>
      <x:c r="AS142" s="49"/>
      <x:c r="AT142" s="49"/>
      <x:c r="AU142" s="49"/>
      <x:c r="AV142" s="49"/>
      <x:c r="AW142" s="49"/>
      <x:c r="AX142" s="49"/>
      <x:c r="AY142" s="49"/>
      <x:c r="AZ142" s="49"/>
    </x:row>
    <x:row r="143">
      <x:c r="A143" s="49"/>
      <x:c r="B143" s="49"/>
      <x:c r="C143" s="49"/>
      <x:c r="D143" s="49"/>
      <x:c r="E143" s="49"/>
      <x:c r="F143" s="49"/>
      <x:c r="G143" s="49"/>
      <x:c r="H143" s="49"/>
      <x:c r="I143" s="49"/>
      <x:c r="J143" s="49"/>
      <x:c r="K143" s="49"/>
      <x:c r="L143" s="49"/>
      <x:c r="M143" s="49"/>
      <x:c r="N143" s="49"/>
      <x:c r="O143" s="49"/>
      <x:c r="P143" s="49"/>
      <x:c r="Q143" s="49"/>
      <x:c r="R143" s="49"/>
      <x:c r="S143" s="49"/>
      <x:c r="T143" s="49"/>
      <x:c r="U143" s="49"/>
      <x:c r="V143" s="49"/>
      <x:c r="W143" s="49"/>
      <x:c r="X143" s="49"/>
      <x:c r="Y143" s="49"/>
      <x:c r="Z143" s="49"/>
      <x:c r="AA143" s="49"/>
      <x:c r="AB143" s="49"/>
      <x:c r="AC143" s="49"/>
      <x:c r="AD143" s="49"/>
      <x:c r="AE143" s="49"/>
      <x:c r="AF143" s="49"/>
      <x:c r="AG143" s="49"/>
      <x:c r="AH143" s="49"/>
      <x:c r="AI143" s="49"/>
      <x:c r="AJ143" s="49"/>
      <x:c r="AK143" s="49"/>
      <x:c r="AL143" s="49"/>
      <x:c r="AM143" s="49"/>
      <x:c r="AN143" s="49"/>
      <x:c r="AO143" s="49"/>
      <x:c r="AP143" s="49"/>
      <x:c r="AQ143" s="49"/>
      <x:c r="AR143" s="49"/>
      <x:c r="AS143" s="49"/>
      <x:c r="AT143" s="49"/>
      <x:c r="AU143" s="49"/>
      <x:c r="AV143" s="49"/>
      <x:c r="AW143" s="49"/>
      <x:c r="AX143" s="49"/>
      <x:c r="AY143" s="49"/>
      <x:c r="AZ143" s="49"/>
    </x:row>
    <x:row r="144">
      <x:c r="A144" s="49"/>
      <x:c r="B144" s="49"/>
      <x:c r="C144" s="49"/>
      <x:c r="D144" s="49"/>
      <x:c r="E144" s="49"/>
      <x:c r="F144" s="49"/>
      <x:c r="G144" s="49"/>
      <x:c r="H144" s="49"/>
      <x:c r="I144" s="49"/>
      <x:c r="J144" s="49"/>
      <x:c r="K144" s="49"/>
      <x:c r="L144" s="49"/>
      <x:c r="M144" s="49"/>
      <x:c r="N144" s="49"/>
      <x:c r="O144" s="49"/>
      <x:c r="P144" s="49"/>
      <x:c r="Q144" s="49"/>
      <x:c r="R144" s="49"/>
      <x:c r="S144" s="49"/>
      <x:c r="T144" s="49"/>
      <x:c r="U144" s="49"/>
      <x:c r="V144" s="49"/>
      <x:c r="W144" s="49"/>
      <x:c r="X144" s="49"/>
      <x:c r="Y144" s="49"/>
      <x:c r="Z144" s="49"/>
      <x:c r="AA144" s="49"/>
      <x:c r="AB144" s="49"/>
      <x:c r="AC144" s="49"/>
      <x:c r="AD144" s="49"/>
      <x:c r="AE144" s="49"/>
      <x:c r="AF144" s="49"/>
      <x:c r="AG144" s="49"/>
      <x:c r="AH144" s="49"/>
      <x:c r="AI144" s="49"/>
      <x:c r="AJ144" s="49"/>
      <x:c r="AK144" s="49"/>
      <x:c r="AL144" s="49"/>
      <x:c r="AM144" s="49"/>
      <x:c r="AN144" s="49"/>
      <x:c r="AO144" s="49"/>
      <x:c r="AP144" s="49"/>
      <x:c r="AQ144" s="49"/>
      <x:c r="AR144" s="49"/>
      <x:c r="AS144" s="49"/>
      <x:c r="AT144" s="49"/>
      <x:c r="AU144" s="49"/>
      <x:c r="AV144" s="49"/>
      <x:c r="AW144" s="49"/>
      <x:c r="AX144" s="49"/>
      <x:c r="AY144" s="49"/>
      <x:c r="AZ144" s="49"/>
    </x:row>
    <x:row r="145">
      <x:c r="A145" s="49"/>
      <x:c r="B145" s="49"/>
      <x:c r="C145" s="49"/>
      <x:c r="D145" s="49"/>
      <x:c r="E145" s="49"/>
      <x:c r="F145" s="49"/>
      <x:c r="G145" s="49"/>
      <x:c r="H145" s="49"/>
      <x:c r="I145" s="49"/>
      <x:c r="J145" s="49"/>
      <x:c r="K145" s="49"/>
      <x:c r="L145" s="49"/>
      <x:c r="M145" s="49"/>
      <x:c r="N145" s="49"/>
      <x:c r="O145" s="49"/>
      <x:c r="P145" s="49"/>
      <x:c r="Q145" s="49"/>
      <x:c r="R145" s="49"/>
      <x:c r="S145" s="49"/>
      <x:c r="T145" s="49"/>
      <x:c r="U145" s="49"/>
      <x:c r="V145" s="49"/>
      <x:c r="W145" s="49"/>
      <x:c r="X145" s="49"/>
      <x:c r="Y145" s="49"/>
      <x:c r="Z145" s="49"/>
      <x:c r="AA145" s="49"/>
      <x:c r="AB145" s="49"/>
      <x:c r="AC145" s="49"/>
      <x:c r="AD145" s="49"/>
      <x:c r="AE145" s="49"/>
      <x:c r="AF145" s="49"/>
      <x:c r="AG145" s="49"/>
      <x:c r="AH145" s="49"/>
      <x:c r="AI145" s="49"/>
      <x:c r="AJ145" s="49"/>
      <x:c r="AK145" s="49"/>
      <x:c r="AL145" s="49"/>
      <x:c r="AM145" s="49"/>
      <x:c r="AN145" s="49"/>
      <x:c r="AO145" s="49"/>
      <x:c r="AP145" s="49"/>
      <x:c r="AQ145" s="49"/>
      <x:c r="AR145" s="49"/>
      <x:c r="AS145" s="49"/>
      <x:c r="AT145" s="49"/>
      <x:c r="AU145" s="49"/>
      <x:c r="AV145" s="49"/>
      <x:c r="AW145" s="49"/>
      <x:c r="AX145" s="49"/>
      <x:c r="AY145" s="49"/>
      <x:c r="AZ145" s="49"/>
    </x:row>
    <x:row r="146">
      <x:c r="A146" s="49"/>
      <x:c r="B146" s="49"/>
      <x:c r="C146" s="49"/>
      <x:c r="D146" s="49"/>
      <x:c r="E146" s="49"/>
      <x:c r="F146" s="49"/>
      <x:c r="G146" s="49"/>
      <x:c r="H146" s="49"/>
      <x:c r="I146" s="49"/>
      <x:c r="J146" s="49"/>
      <x:c r="K146" s="49"/>
      <x:c r="L146" s="49"/>
      <x:c r="M146" s="49"/>
      <x:c r="N146" s="49"/>
      <x:c r="O146" s="49"/>
      <x:c r="P146" s="49"/>
      <x:c r="Q146" s="49"/>
      <x:c r="R146" s="49"/>
      <x:c r="S146" s="49"/>
      <x:c r="T146" s="49"/>
      <x:c r="U146" s="49"/>
      <x:c r="V146" s="49"/>
      <x:c r="W146" s="49"/>
      <x:c r="X146" s="49"/>
      <x:c r="Y146" s="49"/>
      <x:c r="Z146" s="49"/>
      <x:c r="AA146" s="49"/>
      <x:c r="AB146" s="49"/>
      <x:c r="AC146" s="49"/>
      <x:c r="AD146" s="49"/>
      <x:c r="AE146" s="49"/>
      <x:c r="AF146" s="49"/>
      <x:c r="AG146" s="49"/>
      <x:c r="AH146" s="49"/>
      <x:c r="AI146" s="49"/>
      <x:c r="AJ146" s="49"/>
      <x:c r="AK146" s="49"/>
      <x:c r="AL146" s="49"/>
      <x:c r="AM146" s="49"/>
      <x:c r="AN146" s="49"/>
      <x:c r="AO146" s="49"/>
      <x:c r="AP146" s="49"/>
      <x:c r="AQ146" s="49"/>
      <x:c r="AR146" s="49"/>
      <x:c r="AS146" s="49"/>
      <x:c r="AT146" s="49"/>
      <x:c r="AU146" s="49"/>
      <x:c r="AV146" s="49"/>
      <x:c r="AW146" s="49"/>
      <x:c r="AX146" s="49"/>
      <x:c r="AY146" s="49"/>
      <x:c r="AZ146" s="49"/>
    </x:row>
    <x:row r="147">
      <x:c r="A147" s="49"/>
      <x:c r="B147" s="49"/>
      <x:c r="C147" s="49"/>
      <x:c r="D147" s="49"/>
      <x:c r="E147" s="49"/>
      <x:c r="F147" s="49"/>
      <x:c r="G147" s="49"/>
      <x:c r="H147" s="49"/>
      <x:c r="I147" s="49"/>
      <x:c r="J147" s="49"/>
      <x:c r="K147" s="49"/>
      <x:c r="L147" s="49"/>
      <x:c r="M147" s="49"/>
      <x:c r="N147" s="49"/>
      <x:c r="O147" s="49"/>
      <x:c r="P147" s="49"/>
      <x:c r="Q147" s="49"/>
      <x:c r="R147" s="49"/>
      <x:c r="S147" s="49"/>
      <x:c r="T147" s="49"/>
      <x:c r="U147" s="49"/>
      <x:c r="V147" s="49"/>
      <x:c r="W147" s="49"/>
      <x:c r="X147" s="49"/>
      <x:c r="Y147" s="49"/>
      <x:c r="Z147" s="49"/>
      <x:c r="AA147" s="49"/>
      <x:c r="AB147" s="49"/>
      <x:c r="AC147" s="49"/>
      <x:c r="AD147" s="49"/>
      <x:c r="AE147" s="49"/>
      <x:c r="AF147" s="49"/>
      <x:c r="AG147" s="49"/>
      <x:c r="AH147" s="49"/>
      <x:c r="AI147" s="49"/>
      <x:c r="AJ147" s="49"/>
      <x:c r="AK147" s="49"/>
      <x:c r="AL147" s="49"/>
      <x:c r="AM147" s="49"/>
      <x:c r="AN147" s="49"/>
      <x:c r="AO147" s="49"/>
      <x:c r="AP147" s="49"/>
      <x:c r="AQ147" s="49"/>
      <x:c r="AR147" s="49"/>
      <x:c r="AS147" s="49"/>
      <x:c r="AT147" s="49"/>
      <x:c r="AU147" s="49"/>
      <x:c r="AV147" s="49"/>
      <x:c r="AW147" s="49"/>
      <x:c r="AX147" s="49"/>
      <x:c r="AY147" s="49"/>
      <x:c r="AZ147" s="49"/>
    </x:row>
    <x:row r="148">
      <x:c r="A148" s="49"/>
      <x:c r="B148" s="49"/>
      <x:c r="C148" s="49"/>
      <x:c r="D148" s="49"/>
      <x:c r="E148" s="49"/>
      <x:c r="F148" s="49"/>
      <x:c r="G148" s="49"/>
      <x:c r="H148" s="49"/>
      <x:c r="I148" s="49"/>
      <x:c r="J148" s="49"/>
      <x:c r="K148" s="49"/>
      <x:c r="L148" s="49"/>
      <x:c r="M148" s="49"/>
      <x:c r="N148" s="49"/>
      <x:c r="O148" s="49"/>
      <x:c r="P148" s="49"/>
      <x:c r="Q148" s="49"/>
      <x:c r="R148" s="49"/>
      <x:c r="S148" s="49"/>
      <x:c r="T148" s="49"/>
      <x:c r="U148" s="49"/>
      <x:c r="V148" s="49"/>
      <x:c r="W148" s="49"/>
      <x:c r="X148" s="49"/>
      <x:c r="Y148" s="49"/>
      <x:c r="Z148" s="49"/>
      <x:c r="AA148" s="49"/>
      <x:c r="AB148" s="49"/>
      <x:c r="AC148" s="49"/>
      <x:c r="AD148" s="49"/>
      <x:c r="AE148" s="49"/>
      <x:c r="AF148" s="49"/>
      <x:c r="AG148" s="49"/>
      <x:c r="AH148" s="49"/>
      <x:c r="AI148" s="49"/>
      <x:c r="AJ148" s="49"/>
      <x:c r="AK148" s="49"/>
      <x:c r="AL148" s="49"/>
      <x:c r="AM148" s="49"/>
      <x:c r="AN148" s="49"/>
      <x:c r="AO148" s="49"/>
      <x:c r="AP148" s="49"/>
      <x:c r="AQ148" s="49"/>
      <x:c r="AR148" s="49"/>
      <x:c r="AS148" s="49"/>
      <x:c r="AT148" s="49"/>
      <x:c r="AU148" s="49"/>
      <x:c r="AV148" s="49"/>
      <x:c r="AW148" s="49"/>
      <x:c r="AX148" s="49"/>
      <x:c r="AY148" s="49"/>
      <x:c r="AZ148" s="49"/>
    </x:row>
    <x:row r="149">
      <x:c r="A149" s="49"/>
      <x:c r="B149" s="49"/>
      <x:c r="C149" s="49"/>
      <x:c r="D149" s="49"/>
      <x:c r="E149" s="49"/>
      <x:c r="F149" s="49"/>
      <x:c r="G149" s="49"/>
      <x:c r="H149" s="49"/>
      <x:c r="I149" s="49"/>
      <x:c r="J149" s="49"/>
      <x:c r="K149" s="49"/>
      <x:c r="L149" s="49"/>
      <x:c r="M149" s="49"/>
      <x:c r="N149" s="49"/>
      <x:c r="O149" s="49"/>
      <x:c r="P149" s="49"/>
      <x:c r="Q149" s="49"/>
      <x:c r="R149" s="49"/>
      <x:c r="S149" s="49"/>
      <x:c r="T149" s="49"/>
      <x:c r="U149" s="49"/>
      <x:c r="V149" s="49"/>
      <x:c r="W149" s="49"/>
      <x:c r="X149" s="49"/>
      <x:c r="Y149" s="49"/>
      <x:c r="Z149" s="49"/>
      <x:c r="AA149" s="49"/>
      <x:c r="AB149" s="49"/>
      <x:c r="AC149" s="49"/>
      <x:c r="AD149" s="49"/>
      <x:c r="AE149" s="49"/>
      <x:c r="AF149" s="49"/>
      <x:c r="AG149" s="49"/>
      <x:c r="AH149" s="49"/>
      <x:c r="AI149" s="49"/>
      <x:c r="AJ149" s="49"/>
      <x:c r="AK149" s="49"/>
      <x:c r="AL149" s="49"/>
      <x:c r="AM149" s="49"/>
      <x:c r="AN149" s="49"/>
      <x:c r="AO149" s="49"/>
      <x:c r="AP149" s="49"/>
      <x:c r="AQ149" s="49"/>
      <x:c r="AR149" s="49"/>
      <x:c r="AS149" s="49"/>
      <x:c r="AT149" s="49"/>
      <x:c r="AU149" s="49"/>
      <x:c r="AV149" s="49"/>
      <x:c r="AW149" s="49"/>
      <x:c r="AX149" s="49"/>
      <x:c r="AY149" s="49"/>
      <x:c r="AZ149" s="49"/>
    </x:row>
    <x:row r="150">
      <x:c r="A150" s="49"/>
      <x:c r="B150" s="49"/>
      <x:c r="C150" s="49"/>
      <x:c r="D150" s="49"/>
      <x:c r="E150" s="49"/>
      <x:c r="F150" s="49"/>
      <x:c r="G150" s="49"/>
      <x:c r="H150" s="49"/>
      <x:c r="I150" s="49"/>
      <x:c r="J150" s="49"/>
      <x:c r="K150" s="49"/>
      <x:c r="L150" s="49"/>
      <x:c r="M150" s="49"/>
      <x:c r="N150" s="49"/>
      <x:c r="O150" s="49"/>
      <x:c r="P150" s="49"/>
      <x:c r="Q150" s="49"/>
      <x:c r="R150" s="49"/>
      <x:c r="S150" s="49"/>
      <x:c r="T150" s="49"/>
      <x:c r="U150" s="49"/>
      <x:c r="V150" s="49"/>
      <x:c r="W150" s="49"/>
      <x:c r="X150" s="49"/>
      <x:c r="Y150" s="49"/>
      <x:c r="Z150" s="49"/>
      <x:c r="AA150" s="49"/>
      <x:c r="AB150" s="49"/>
      <x:c r="AC150" s="49"/>
      <x:c r="AD150" s="49"/>
      <x:c r="AE150" s="49"/>
      <x:c r="AF150" s="49"/>
      <x:c r="AG150" s="49"/>
      <x:c r="AH150" s="49"/>
      <x:c r="AI150" s="49"/>
      <x:c r="AJ150" s="49"/>
      <x:c r="AK150" s="49"/>
      <x:c r="AL150" s="49"/>
      <x:c r="AM150" s="49"/>
      <x:c r="AN150" s="49"/>
      <x:c r="AO150" s="49"/>
      <x:c r="AP150" s="49"/>
      <x:c r="AQ150" s="49"/>
      <x:c r="AR150" s="49"/>
      <x:c r="AS150" s="49"/>
      <x:c r="AT150" s="49"/>
      <x:c r="AU150" s="49"/>
      <x:c r="AV150" s="49"/>
      <x:c r="AW150" s="49"/>
      <x:c r="AX150" s="49"/>
      <x:c r="AY150" s="49"/>
      <x:c r="AZ150" s="49"/>
    </x:row>
    <x:row r="151">
      <x:c r="A151" s="49"/>
      <x:c r="B151" s="49"/>
      <x:c r="C151" s="49"/>
      <x:c r="D151" s="49"/>
      <x:c r="E151" s="49"/>
      <x:c r="F151" s="49"/>
      <x:c r="G151" s="49"/>
      <x:c r="H151" s="49"/>
      <x:c r="I151" s="49"/>
      <x:c r="J151" s="49"/>
      <x:c r="K151" s="49"/>
      <x:c r="L151" s="49"/>
      <x:c r="M151" s="49"/>
      <x:c r="N151" s="49"/>
      <x:c r="O151" s="49"/>
      <x:c r="P151" s="49"/>
      <x:c r="Q151" s="49"/>
      <x:c r="R151" s="49"/>
      <x:c r="S151" s="49"/>
      <x:c r="T151" s="49"/>
      <x:c r="U151" s="49"/>
      <x:c r="V151" s="49"/>
      <x:c r="W151" s="49"/>
      <x:c r="X151" s="49"/>
      <x:c r="Y151" s="49"/>
      <x:c r="Z151" s="49"/>
      <x:c r="AA151" s="49"/>
      <x:c r="AB151" s="49"/>
      <x:c r="AC151" s="49"/>
      <x:c r="AD151" s="49"/>
      <x:c r="AE151" s="49"/>
      <x:c r="AF151" s="49"/>
      <x:c r="AG151" s="49"/>
      <x:c r="AH151" s="49"/>
      <x:c r="AI151" s="49"/>
      <x:c r="AJ151" s="49"/>
      <x:c r="AK151" s="49"/>
      <x:c r="AL151" s="49"/>
      <x:c r="AM151" s="49"/>
      <x:c r="AN151" s="49"/>
      <x:c r="AO151" s="49"/>
      <x:c r="AP151" s="49"/>
      <x:c r="AQ151" s="49"/>
      <x:c r="AR151" s="49"/>
      <x:c r="AS151" s="49"/>
      <x:c r="AT151" s="49"/>
      <x:c r="AU151" s="49"/>
      <x:c r="AV151" s="49"/>
      <x:c r="AW151" s="49"/>
      <x:c r="AX151" s="49"/>
      <x:c r="AY151" s="49"/>
      <x:c r="AZ151" s="49"/>
    </x:row>
    <x:row r="152">
      <x:c r="A152" s="49"/>
      <x:c r="B152" s="49"/>
      <x:c r="C152" s="49"/>
      <x:c r="D152" s="49"/>
      <x:c r="E152" s="49"/>
      <x:c r="F152" s="49"/>
      <x:c r="G152" s="49"/>
      <x:c r="H152" s="49"/>
      <x:c r="I152" s="49"/>
      <x:c r="J152" s="49"/>
      <x:c r="K152" s="49"/>
      <x:c r="L152" s="49"/>
      <x:c r="M152" s="49"/>
      <x:c r="N152" s="49"/>
      <x:c r="O152" s="49"/>
      <x:c r="P152" s="49"/>
      <x:c r="Q152" s="49"/>
      <x:c r="R152" s="49"/>
      <x:c r="S152" s="49"/>
      <x:c r="T152" s="49"/>
      <x:c r="U152" s="49"/>
      <x:c r="V152" s="49"/>
      <x:c r="W152" s="49"/>
      <x:c r="X152" s="49"/>
      <x:c r="Y152" s="49"/>
      <x:c r="Z152" s="49"/>
      <x:c r="AA152" s="49"/>
      <x:c r="AB152" s="49"/>
      <x:c r="AC152" s="49"/>
      <x:c r="AD152" s="49"/>
      <x:c r="AE152" s="49"/>
      <x:c r="AF152" s="49"/>
      <x:c r="AG152" s="49"/>
      <x:c r="AH152" s="49"/>
      <x:c r="AI152" s="49"/>
      <x:c r="AJ152" s="49"/>
      <x:c r="AK152" s="49"/>
      <x:c r="AL152" s="49"/>
      <x:c r="AM152" s="49"/>
      <x:c r="AN152" s="49"/>
      <x:c r="AO152" s="49"/>
      <x:c r="AP152" s="49"/>
      <x:c r="AQ152" s="49"/>
      <x:c r="AR152" s="49"/>
      <x:c r="AS152" s="49"/>
      <x:c r="AT152" s="49"/>
      <x:c r="AU152" s="49"/>
      <x:c r="AV152" s="49"/>
      <x:c r="AW152" s="49"/>
      <x:c r="AX152" s="49"/>
      <x:c r="AY152" s="49"/>
      <x:c r="AZ152" s="49"/>
    </x:row>
    <x:row r="153">
      <x:c r="A153" s="49"/>
      <x:c r="B153" s="49"/>
      <x:c r="C153" s="49"/>
      <x:c r="D153" s="49"/>
      <x:c r="E153" s="49"/>
      <x:c r="F153" s="49"/>
      <x:c r="G153" s="49"/>
      <x:c r="H153" s="49"/>
      <x:c r="I153" s="49"/>
      <x:c r="J153" s="49"/>
      <x:c r="K153" s="49"/>
      <x:c r="L153" s="49"/>
      <x:c r="M153" s="49"/>
      <x:c r="N153" s="49"/>
      <x:c r="O153" s="49"/>
      <x:c r="P153" s="49"/>
      <x:c r="Q153" s="49"/>
      <x:c r="R153" s="49"/>
      <x:c r="S153" s="49"/>
      <x:c r="T153" s="49"/>
      <x:c r="U153" s="49"/>
      <x:c r="V153" s="49"/>
      <x:c r="W153" s="49"/>
      <x:c r="X153" s="49"/>
      <x:c r="Y153" s="49"/>
      <x:c r="Z153" s="49"/>
      <x:c r="AA153" s="49"/>
      <x:c r="AB153" s="49"/>
      <x:c r="AC153" s="49"/>
      <x:c r="AD153" s="49"/>
      <x:c r="AE153" s="49"/>
      <x:c r="AF153" s="49"/>
      <x:c r="AG153" s="49"/>
      <x:c r="AH153" s="49"/>
      <x:c r="AI153" s="49"/>
      <x:c r="AJ153" s="49"/>
      <x:c r="AK153" s="49"/>
      <x:c r="AL153" s="49"/>
      <x:c r="AM153" s="49"/>
      <x:c r="AN153" s="49"/>
      <x:c r="AO153" s="49"/>
      <x:c r="AP153" s="49"/>
      <x:c r="AQ153" s="49"/>
      <x:c r="AR153" s="49"/>
      <x:c r="AS153" s="49"/>
      <x:c r="AT153" s="49"/>
      <x:c r="AU153" s="49"/>
      <x:c r="AV153" s="49"/>
      <x:c r="AW153" s="49"/>
      <x:c r="AX153" s="49"/>
      <x:c r="AY153" s="49"/>
      <x:c r="AZ153" s="49"/>
    </x:row>
    <x:row r="154">
      <x:c r="A154" s="49"/>
      <x:c r="B154" s="49"/>
      <x:c r="C154" s="49"/>
      <x:c r="D154" s="49"/>
      <x:c r="E154" s="49"/>
      <x:c r="F154" s="49"/>
      <x:c r="G154" s="49"/>
      <x:c r="H154" s="49"/>
      <x:c r="I154" s="49"/>
      <x:c r="J154" s="49"/>
      <x:c r="K154" s="49"/>
      <x:c r="L154" s="49"/>
      <x:c r="M154" s="49"/>
      <x:c r="N154" s="49"/>
      <x:c r="O154" s="49"/>
      <x:c r="P154" s="49"/>
      <x:c r="Q154" s="49"/>
      <x:c r="R154" s="49"/>
      <x:c r="S154" s="49"/>
      <x:c r="T154" s="49"/>
      <x:c r="U154" s="49"/>
      <x:c r="V154" s="49"/>
      <x:c r="W154" s="49"/>
      <x:c r="X154" s="49"/>
      <x:c r="Y154" s="49"/>
      <x:c r="Z154" s="49"/>
      <x:c r="AA154" s="49"/>
      <x:c r="AB154" s="49"/>
      <x:c r="AC154" s="49"/>
      <x:c r="AD154" s="49"/>
      <x:c r="AE154" s="49"/>
      <x:c r="AF154" s="49"/>
      <x:c r="AG154" s="49"/>
      <x:c r="AH154" s="49"/>
      <x:c r="AI154" s="49"/>
      <x:c r="AJ154" s="49"/>
      <x:c r="AK154" s="49"/>
      <x:c r="AL154" s="49"/>
      <x:c r="AM154" s="49"/>
      <x:c r="AN154" s="49"/>
      <x:c r="AO154" s="49"/>
      <x:c r="AP154" s="49"/>
      <x:c r="AQ154" s="49"/>
      <x:c r="AR154" s="49"/>
      <x:c r="AS154" s="49"/>
      <x:c r="AT154" s="49"/>
      <x:c r="AU154" s="49"/>
      <x:c r="AV154" s="49"/>
      <x:c r="AW154" s="49"/>
      <x:c r="AX154" s="49"/>
      <x:c r="AY154" s="49"/>
      <x:c r="AZ154" s="49"/>
    </x:row>
    <x:row r="155">
      <x:c r="A155" s="49"/>
      <x:c r="B155" s="49"/>
      <x:c r="C155" s="49"/>
      <x:c r="D155" s="49"/>
      <x:c r="E155" s="49"/>
      <x:c r="F155" s="49"/>
      <x:c r="G155" s="49"/>
      <x:c r="H155" s="49"/>
      <x:c r="I155" s="49"/>
      <x:c r="J155" s="49"/>
      <x:c r="K155" s="49"/>
      <x:c r="L155" s="49"/>
      <x:c r="M155" s="49"/>
      <x:c r="N155" s="49"/>
      <x:c r="O155" s="49"/>
      <x:c r="P155" s="49"/>
      <x:c r="Q155" s="49"/>
      <x:c r="R155" s="49"/>
      <x:c r="S155" s="49"/>
      <x:c r="T155" s="49"/>
      <x:c r="U155" s="49"/>
      <x:c r="V155" s="49"/>
      <x:c r="W155" s="49"/>
      <x:c r="X155" s="49"/>
      <x:c r="Y155" s="49"/>
      <x:c r="Z155" s="49"/>
      <x:c r="AA155" s="49"/>
      <x:c r="AB155" s="49"/>
      <x:c r="AC155" s="49"/>
      <x:c r="AD155" s="49"/>
      <x:c r="AE155" s="49"/>
      <x:c r="AF155" s="49"/>
      <x:c r="AG155" s="49"/>
      <x:c r="AH155" s="49"/>
      <x:c r="AI155" s="49"/>
      <x:c r="AJ155" s="49"/>
      <x:c r="AK155" s="49"/>
      <x:c r="AL155" s="49"/>
      <x:c r="AM155" s="49"/>
      <x:c r="AN155" s="49"/>
      <x:c r="AO155" s="49"/>
      <x:c r="AP155" s="49"/>
      <x:c r="AQ155" s="49"/>
      <x:c r="AR155" s="49"/>
      <x:c r="AS155" s="49"/>
      <x:c r="AT155" s="49"/>
      <x:c r="AU155" s="49"/>
      <x:c r="AV155" s="49"/>
      <x:c r="AW155" s="49"/>
      <x:c r="AX155" s="49"/>
      <x:c r="AY155" s="49"/>
      <x:c r="AZ155" s="49"/>
    </x:row>
    <x:row r="156">
      <x:c r="A156" s="49"/>
      <x:c r="B156" s="49"/>
      <x:c r="C156" s="49"/>
      <x:c r="D156" s="49"/>
      <x:c r="E156" s="49"/>
      <x:c r="F156" s="49"/>
      <x:c r="G156" s="49"/>
      <x:c r="H156" s="49"/>
      <x:c r="I156" s="49"/>
      <x:c r="J156" s="49"/>
      <x:c r="K156" s="49"/>
      <x:c r="L156" s="49"/>
      <x:c r="M156" s="49"/>
      <x:c r="N156" s="49"/>
      <x:c r="O156" s="49"/>
      <x:c r="P156" s="49"/>
      <x:c r="Q156" s="49"/>
      <x:c r="R156" s="49"/>
      <x:c r="S156" s="49"/>
      <x:c r="T156" s="49"/>
      <x:c r="U156" s="49"/>
      <x:c r="V156" s="49"/>
      <x:c r="W156" s="49"/>
      <x:c r="X156" s="49"/>
      <x:c r="Y156" s="49"/>
      <x:c r="Z156" s="49"/>
      <x:c r="AA156" s="49"/>
      <x:c r="AB156" s="49"/>
      <x:c r="AC156" s="49"/>
      <x:c r="AD156" s="49"/>
      <x:c r="AE156" s="49"/>
      <x:c r="AF156" s="49"/>
      <x:c r="AG156" s="49"/>
      <x:c r="AH156" s="49"/>
      <x:c r="AI156" s="49"/>
      <x:c r="AJ156" s="49"/>
      <x:c r="AK156" s="49"/>
      <x:c r="AL156" s="49"/>
      <x:c r="AM156" s="49"/>
      <x:c r="AN156" s="49"/>
      <x:c r="AO156" s="49"/>
      <x:c r="AP156" s="49"/>
      <x:c r="AQ156" s="49"/>
      <x:c r="AR156" s="49"/>
      <x:c r="AS156" s="49"/>
      <x:c r="AT156" s="49"/>
      <x:c r="AU156" s="49"/>
      <x:c r="AV156" s="49"/>
      <x:c r="AW156" s="49"/>
      <x:c r="AX156" s="49"/>
      <x:c r="AY156" s="49"/>
      <x:c r="AZ156" s="49"/>
    </x:row>
    <x:row r="157">
      <x:c r="A157" s="49"/>
      <x:c r="B157" s="49"/>
      <x:c r="C157" s="49"/>
      <x:c r="D157" s="49"/>
      <x:c r="E157" s="49"/>
      <x:c r="F157" s="49"/>
      <x:c r="G157" s="49"/>
      <x:c r="H157" s="49"/>
      <x:c r="I157" s="49"/>
      <x:c r="J157" s="49"/>
      <x:c r="K157" s="49"/>
      <x:c r="L157" s="49"/>
      <x:c r="M157" s="49"/>
      <x:c r="N157" s="49"/>
      <x:c r="O157" s="49"/>
      <x:c r="P157" s="49"/>
      <x:c r="Q157" s="49"/>
      <x:c r="R157" s="49"/>
      <x:c r="S157" s="49"/>
      <x:c r="T157" s="49"/>
      <x:c r="U157" s="49"/>
      <x:c r="V157" s="49"/>
      <x:c r="W157" s="49"/>
      <x:c r="X157" s="49"/>
      <x:c r="Y157" s="49"/>
      <x:c r="Z157" s="49"/>
      <x:c r="AA157" s="49"/>
      <x:c r="AB157" s="49"/>
      <x:c r="AC157" s="49"/>
      <x:c r="AD157" s="49"/>
      <x:c r="AE157" s="49"/>
      <x:c r="AF157" s="49"/>
      <x:c r="AG157" s="49"/>
      <x:c r="AH157" s="49"/>
      <x:c r="AI157" s="49"/>
      <x:c r="AJ157" s="49"/>
      <x:c r="AK157" s="49"/>
      <x:c r="AL157" s="49"/>
      <x:c r="AM157" s="49"/>
      <x:c r="AN157" s="49"/>
      <x:c r="AO157" s="49"/>
      <x:c r="AP157" s="49"/>
      <x:c r="AQ157" s="49"/>
      <x:c r="AR157" s="49"/>
      <x:c r="AS157" s="49"/>
      <x:c r="AT157" s="49"/>
      <x:c r="AU157" s="49"/>
      <x:c r="AV157" s="49"/>
      <x:c r="AW157" s="49"/>
      <x:c r="AX157" s="49"/>
      <x:c r="AY157" s="49"/>
      <x:c r="AZ157" s="49"/>
    </x:row>
    <x:row r="158">
      <x:c r="A158" s="49"/>
      <x:c r="B158" s="49"/>
      <x:c r="C158" s="49"/>
      <x:c r="D158" s="49"/>
      <x:c r="E158" s="49"/>
      <x:c r="F158" s="49"/>
      <x:c r="G158" s="49"/>
      <x:c r="H158" s="49"/>
      <x:c r="I158" s="49"/>
      <x:c r="J158" s="49"/>
      <x:c r="K158" s="49"/>
      <x:c r="L158" s="49"/>
      <x:c r="M158" s="49"/>
      <x:c r="N158" s="49"/>
      <x:c r="O158" s="49"/>
      <x:c r="P158" s="49"/>
      <x:c r="Q158" s="49"/>
      <x:c r="R158" s="49"/>
      <x:c r="S158" s="49"/>
      <x:c r="T158" s="49"/>
      <x:c r="U158" s="49"/>
      <x:c r="V158" s="49"/>
      <x:c r="W158" s="49"/>
      <x:c r="X158" s="49"/>
      <x:c r="Y158" s="49"/>
      <x:c r="Z158" s="49"/>
      <x:c r="AA158" s="49"/>
      <x:c r="AB158" s="49"/>
      <x:c r="AC158" s="49"/>
      <x:c r="AD158" s="49"/>
      <x:c r="AE158" s="49"/>
      <x:c r="AF158" s="49"/>
      <x:c r="AG158" s="49"/>
      <x:c r="AH158" s="49"/>
      <x:c r="AI158" s="49"/>
      <x:c r="AJ158" s="49"/>
      <x:c r="AK158" s="49"/>
      <x:c r="AL158" s="49"/>
      <x:c r="AM158" s="49"/>
      <x:c r="AN158" s="49"/>
      <x:c r="AO158" s="49"/>
      <x:c r="AP158" s="49"/>
      <x:c r="AQ158" s="49"/>
      <x:c r="AR158" s="49"/>
      <x:c r="AS158" s="49"/>
      <x:c r="AT158" s="49"/>
      <x:c r="AU158" s="49"/>
      <x:c r="AV158" s="49"/>
      <x:c r="AW158" s="49"/>
      <x:c r="AX158" s="49"/>
      <x:c r="AY158" s="49"/>
      <x:c r="AZ158" s="49"/>
    </x:row>
    <x:row r="159">
      <x:c r="A159" s="49"/>
      <x:c r="B159" s="49"/>
      <x:c r="C159" s="49"/>
      <x:c r="D159" s="49"/>
      <x:c r="E159" s="49"/>
      <x:c r="F159" s="49"/>
      <x:c r="G159" s="49"/>
      <x:c r="H159" s="49"/>
      <x:c r="I159" s="49"/>
      <x:c r="J159" s="49"/>
      <x:c r="K159" s="49"/>
      <x:c r="L159" s="49"/>
      <x:c r="M159" s="49"/>
      <x:c r="N159" s="49"/>
      <x:c r="O159" s="49"/>
      <x:c r="P159" s="49"/>
      <x:c r="Q159" s="49"/>
      <x:c r="R159" s="49"/>
      <x:c r="S159" s="49"/>
      <x:c r="T159" s="49"/>
      <x:c r="U159" s="49"/>
      <x:c r="V159" s="49"/>
      <x:c r="W159" s="49"/>
      <x:c r="X159" s="49"/>
      <x:c r="Y159" s="49"/>
      <x:c r="Z159" s="49"/>
      <x:c r="AA159" s="49"/>
      <x:c r="AB159" s="49"/>
      <x:c r="AC159" s="49"/>
      <x:c r="AD159" s="49"/>
      <x:c r="AE159" s="49"/>
      <x:c r="AF159" s="49"/>
      <x:c r="AG159" s="49"/>
      <x:c r="AH159" s="49"/>
      <x:c r="AI159" s="49"/>
      <x:c r="AJ159" s="49"/>
      <x:c r="AK159" s="49"/>
      <x:c r="AL159" s="49"/>
      <x:c r="AM159" s="49"/>
      <x:c r="AN159" s="49"/>
      <x:c r="AO159" s="49"/>
      <x:c r="AP159" s="49"/>
      <x:c r="AQ159" s="49"/>
      <x:c r="AR159" s="49"/>
      <x:c r="AS159" s="49"/>
      <x:c r="AT159" s="49"/>
      <x:c r="AU159" s="49"/>
      <x:c r="AV159" s="49"/>
      <x:c r="AW159" s="49"/>
      <x:c r="AX159" s="49"/>
      <x:c r="AY159" s="49"/>
      <x:c r="AZ159" s="49"/>
    </x:row>
    <x:row r="160">
      <x:c r="A160" s="49"/>
      <x:c r="B160" s="49"/>
      <x:c r="C160" s="49"/>
      <x:c r="D160" s="49"/>
      <x:c r="E160" s="49"/>
      <x:c r="F160" s="49"/>
      <x:c r="G160" s="49"/>
      <x:c r="H160" s="49"/>
      <x:c r="I160" s="49"/>
      <x:c r="J160" s="49"/>
      <x:c r="K160" s="49"/>
      <x:c r="L160" s="49"/>
      <x:c r="M160" s="49"/>
      <x:c r="N160" s="49"/>
      <x:c r="O160" s="49"/>
      <x:c r="P160" s="49"/>
      <x:c r="Q160" s="49"/>
      <x:c r="R160" s="49"/>
      <x:c r="S160" s="49"/>
      <x:c r="T160" s="49"/>
      <x:c r="U160" s="49"/>
      <x:c r="V160" s="49"/>
      <x:c r="W160" s="49"/>
      <x:c r="X160" s="49"/>
      <x:c r="Y160" s="49"/>
      <x:c r="Z160" s="49"/>
      <x:c r="AA160" s="49"/>
      <x:c r="AB160" s="49"/>
      <x:c r="AC160" s="49"/>
      <x:c r="AD160" s="49"/>
      <x:c r="AE160" s="49"/>
      <x:c r="AF160" s="49"/>
      <x:c r="AG160" s="49"/>
      <x:c r="AH160" s="49"/>
      <x:c r="AI160" s="49"/>
      <x:c r="AJ160" s="49"/>
      <x:c r="AK160" s="49"/>
      <x:c r="AL160" s="49"/>
      <x:c r="AM160" s="49"/>
      <x:c r="AN160" s="49"/>
      <x:c r="AO160" s="49"/>
      <x:c r="AP160" s="49"/>
      <x:c r="AQ160" s="49"/>
      <x:c r="AR160" s="49"/>
      <x:c r="AS160" s="49"/>
      <x:c r="AT160" s="49"/>
      <x:c r="AU160" s="49"/>
      <x:c r="AV160" s="49"/>
      <x:c r="AW160" s="49"/>
      <x:c r="AX160" s="49"/>
      <x:c r="AY160" s="49"/>
      <x:c r="AZ160" s="49"/>
    </x:row>
    <x:row r="161">
      <x:c r="A161" s="49"/>
      <x:c r="B161" s="49"/>
      <x:c r="C161" s="49"/>
      <x:c r="D161" s="49"/>
      <x:c r="E161" s="49"/>
      <x:c r="F161" s="49"/>
      <x:c r="G161" s="49"/>
      <x:c r="H161" s="49"/>
      <x:c r="I161" s="49"/>
      <x:c r="J161" s="49"/>
      <x:c r="K161" s="49"/>
      <x:c r="L161" s="49"/>
      <x:c r="M161" s="49"/>
      <x:c r="N161" s="49"/>
      <x:c r="O161" s="49"/>
      <x:c r="P161" s="49"/>
      <x:c r="Q161" s="49"/>
      <x:c r="R161" s="49"/>
      <x:c r="S161" s="49"/>
      <x:c r="T161" s="49"/>
      <x:c r="U161" s="49"/>
      <x:c r="V161" s="49"/>
      <x:c r="W161" s="49"/>
      <x:c r="X161" s="49"/>
      <x:c r="Y161" s="49"/>
      <x:c r="Z161" s="49"/>
      <x:c r="AA161" s="49"/>
      <x:c r="AB161" s="49"/>
      <x:c r="AC161" s="49"/>
      <x:c r="AD161" s="49"/>
      <x:c r="AE161" s="49"/>
      <x:c r="AF161" s="49"/>
      <x:c r="AG161" s="49"/>
      <x:c r="AH161" s="49"/>
      <x:c r="AI161" s="49"/>
      <x:c r="AJ161" s="49"/>
      <x:c r="AK161" s="49"/>
      <x:c r="AL161" s="49"/>
      <x:c r="AM161" s="49"/>
      <x:c r="AN161" s="49"/>
      <x:c r="AO161" s="49"/>
      <x:c r="AP161" s="49"/>
      <x:c r="AQ161" s="49"/>
      <x:c r="AR161" s="49"/>
      <x:c r="AS161" s="49"/>
      <x:c r="AT161" s="49"/>
      <x:c r="AU161" s="49"/>
      <x:c r="AV161" s="49"/>
      <x:c r="AW161" s="49"/>
      <x:c r="AX161" s="49"/>
      <x:c r="AY161" s="49"/>
      <x:c r="AZ161" s="49"/>
    </x:row>
    <x:row r="162">
      <x:c r="A162" s="49"/>
      <x:c r="B162" s="49"/>
      <x:c r="C162" s="49"/>
      <x:c r="D162" s="49"/>
      <x:c r="E162" s="49"/>
      <x:c r="F162" s="49"/>
      <x:c r="G162" s="49"/>
      <x:c r="H162" s="49"/>
      <x:c r="I162" s="49"/>
      <x:c r="J162" s="49"/>
      <x:c r="K162" s="49"/>
      <x:c r="L162" s="49"/>
      <x:c r="M162" s="49"/>
      <x:c r="N162" s="49"/>
      <x:c r="O162" s="49"/>
      <x:c r="P162" s="49"/>
      <x:c r="Q162" s="49"/>
      <x:c r="R162" s="49"/>
      <x:c r="S162" s="49"/>
      <x:c r="T162" s="49"/>
      <x:c r="U162" s="49"/>
      <x:c r="V162" s="49"/>
      <x:c r="W162" s="49"/>
      <x:c r="X162" s="49"/>
      <x:c r="Y162" s="49"/>
      <x:c r="Z162" s="49"/>
      <x:c r="AA162" s="49"/>
      <x:c r="AB162" s="49"/>
      <x:c r="AC162" s="49"/>
      <x:c r="AD162" s="49"/>
      <x:c r="AE162" s="49"/>
      <x:c r="AF162" s="49"/>
      <x:c r="AG162" s="49"/>
      <x:c r="AH162" s="49"/>
      <x:c r="AI162" s="49"/>
      <x:c r="AJ162" s="49"/>
      <x:c r="AK162" s="49"/>
      <x:c r="AL162" s="49"/>
      <x:c r="AM162" s="49"/>
      <x:c r="AN162" s="49"/>
      <x:c r="AO162" s="49"/>
      <x:c r="AP162" s="49"/>
      <x:c r="AQ162" s="49"/>
      <x:c r="AR162" s="49"/>
      <x:c r="AS162" s="49"/>
      <x:c r="AT162" s="49"/>
      <x:c r="AU162" s="49"/>
      <x:c r="AV162" s="49"/>
      <x:c r="AW162" s="49"/>
      <x:c r="AX162" s="49"/>
      <x:c r="AY162" s="49"/>
      <x:c r="AZ162" s="49"/>
    </x:row>
    <x:row r="163">
      <x:c r="A163" s="49"/>
      <x:c r="B163" s="49"/>
      <x:c r="C163" s="49"/>
      <x:c r="D163" s="49"/>
      <x:c r="E163" s="49"/>
      <x:c r="F163" s="49"/>
      <x:c r="G163" s="49"/>
      <x:c r="H163" s="49"/>
      <x:c r="I163" s="49"/>
      <x:c r="J163" s="49"/>
      <x:c r="K163" s="49"/>
      <x:c r="L163" s="49"/>
      <x:c r="M163" s="49"/>
      <x:c r="N163" s="49"/>
      <x:c r="O163" s="49"/>
      <x:c r="P163" s="49"/>
      <x:c r="Q163" s="49"/>
      <x:c r="R163" s="49"/>
      <x:c r="S163" s="49"/>
      <x:c r="T163" s="49"/>
      <x:c r="U163" s="49"/>
      <x:c r="V163" s="49"/>
      <x:c r="W163" s="49"/>
      <x:c r="X163" s="49"/>
      <x:c r="Y163" s="49"/>
      <x:c r="Z163" s="49"/>
      <x:c r="AA163" s="49"/>
      <x:c r="AB163" s="49"/>
      <x:c r="AC163" s="49"/>
      <x:c r="AD163" s="49"/>
      <x:c r="AE163" s="49"/>
      <x:c r="AF163" s="49"/>
      <x:c r="AG163" s="49"/>
      <x:c r="AH163" s="49"/>
      <x:c r="AI163" s="49"/>
      <x:c r="AJ163" s="49"/>
      <x:c r="AK163" s="49"/>
      <x:c r="AL163" s="49"/>
      <x:c r="AM163" s="49"/>
      <x:c r="AN163" s="49"/>
      <x:c r="AO163" s="49"/>
      <x:c r="AP163" s="49"/>
      <x:c r="AQ163" s="49"/>
      <x:c r="AR163" s="49"/>
      <x:c r="AS163" s="49"/>
      <x:c r="AT163" s="49"/>
      <x:c r="AU163" s="49"/>
      <x:c r="AV163" s="49"/>
      <x:c r="AW163" s="49"/>
      <x:c r="AX163" s="49"/>
      <x:c r="AY163" s="49"/>
      <x:c r="AZ163" s="49"/>
    </x:row>
    <x:row r="164">
      <x:c r="A164" s="49"/>
      <x:c r="B164" s="49"/>
      <x:c r="C164" s="49"/>
      <x:c r="D164" s="49"/>
      <x:c r="E164" s="49"/>
      <x:c r="F164" s="49"/>
      <x:c r="G164" s="49"/>
      <x:c r="H164" s="49"/>
      <x:c r="I164" s="49"/>
      <x:c r="J164" s="49"/>
      <x:c r="K164" s="49"/>
      <x:c r="L164" s="49"/>
      <x:c r="M164" s="49"/>
      <x:c r="N164" s="49"/>
      <x:c r="O164" s="49"/>
      <x:c r="P164" s="49"/>
      <x:c r="Q164" s="49"/>
      <x:c r="R164" s="49"/>
      <x:c r="S164" s="49"/>
      <x:c r="T164" s="49"/>
      <x:c r="U164" s="49"/>
      <x:c r="V164" s="49"/>
      <x:c r="W164" s="49"/>
      <x:c r="X164" s="49"/>
      <x:c r="Y164" s="49"/>
      <x:c r="Z164" s="49"/>
      <x:c r="AA164" s="49"/>
      <x:c r="AB164" s="49"/>
      <x:c r="AC164" s="49"/>
      <x:c r="AD164" s="49"/>
      <x:c r="AE164" s="49"/>
      <x:c r="AF164" s="49"/>
      <x:c r="AG164" s="49"/>
      <x:c r="AH164" s="49"/>
      <x:c r="AI164" s="49"/>
      <x:c r="AJ164" s="49"/>
      <x:c r="AK164" s="49"/>
      <x:c r="AL164" s="49"/>
      <x:c r="AM164" s="49"/>
      <x:c r="AN164" s="49"/>
      <x:c r="AO164" s="49"/>
      <x:c r="AP164" s="49"/>
      <x:c r="AQ164" s="49"/>
      <x:c r="AR164" s="49"/>
      <x:c r="AS164" s="49"/>
      <x:c r="AT164" s="49"/>
      <x:c r="AU164" s="49"/>
      <x:c r="AV164" s="49"/>
      <x:c r="AW164" s="49"/>
      <x:c r="AX164" s="49"/>
      <x:c r="AY164" s="49"/>
      <x:c r="AZ164" s="49"/>
    </x:row>
    <x:row r="165">
      <x:c r="A165" s="49"/>
      <x:c r="B165" s="49"/>
      <x:c r="C165" s="49"/>
      <x:c r="D165" s="49"/>
      <x:c r="E165" s="49"/>
      <x:c r="F165" s="49"/>
      <x:c r="G165" s="49"/>
      <x:c r="H165" s="49"/>
      <x:c r="I165" s="49"/>
      <x:c r="J165" s="49"/>
      <x:c r="K165" s="49"/>
      <x:c r="L165" s="49"/>
      <x:c r="M165" s="49"/>
      <x:c r="N165" s="49"/>
      <x:c r="O165" s="49"/>
      <x:c r="P165" s="49"/>
      <x:c r="Q165" s="49"/>
      <x:c r="R165" s="49"/>
      <x:c r="S165" s="49"/>
      <x:c r="T165" s="49"/>
      <x:c r="U165" s="49"/>
      <x:c r="V165" s="49"/>
      <x:c r="W165" s="49"/>
      <x:c r="X165" s="49"/>
      <x:c r="Y165" s="49"/>
      <x:c r="Z165" s="49"/>
      <x:c r="AA165" s="49"/>
      <x:c r="AB165" s="49"/>
      <x:c r="AC165" s="49"/>
      <x:c r="AD165" s="49"/>
      <x:c r="AE165" s="49"/>
      <x:c r="AF165" s="49"/>
      <x:c r="AG165" s="49"/>
      <x:c r="AH165" s="49"/>
      <x:c r="AI165" s="49"/>
      <x:c r="AJ165" s="49"/>
      <x:c r="AK165" s="49"/>
      <x:c r="AL165" s="49"/>
      <x:c r="AM165" s="49"/>
      <x:c r="AN165" s="49"/>
      <x:c r="AO165" s="49"/>
      <x:c r="AP165" s="49"/>
      <x:c r="AQ165" s="49"/>
      <x:c r="AR165" s="49"/>
      <x:c r="AS165" s="49"/>
      <x:c r="AT165" s="49"/>
      <x:c r="AU165" s="49"/>
      <x:c r="AV165" s="49"/>
      <x:c r="AW165" s="49"/>
      <x:c r="AX165" s="49"/>
      <x:c r="AY165" s="49"/>
      <x:c r="AZ165" s="49"/>
    </x:row>
    <x:row r="166">
      <x:c r="A166" s="49"/>
      <x:c r="B166" s="49"/>
      <x:c r="C166" s="49"/>
      <x:c r="D166" s="49"/>
      <x:c r="E166" s="49"/>
      <x:c r="F166" s="49"/>
      <x:c r="G166" s="49"/>
      <x:c r="H166" s="49"/>
      <x:c r="I166" s="49"/>
      <x:c r="J166" s="49"/>
      <x:c r="K166" s="49"/>
      <x:c r="L166" s="49"/>
      <x:c r="M166" s="49"/>
      <x:c r="N166" s="49"/>
      <x:c r="O166" s="49"/>
      <x:c r="P166" s="49"/>
      <x:c r="Q166" s="49"/>
      <x:c r="R166" s="49"/>
      <x:c r="S166" s="49"/>
      <x:c r="T166" s="49"/>
      <x:c r="U166" s="49"/>
      <x:c r="V166" s="49"/>
      <x:c r="W166" s="49"/>
      <x:c r="X166" s="49"/>
      <x:c r="Y166" s="49"/>
      <x:c r="Z166" s="49"/>
      <x:c r="AA166" s="49"/>
      <x:c r="AB166" s="49"/>
      <x:c r="AC166" s="49"/>
      <x:c r="AD166" s="49"/>
      <x:c r="AE166" s="49"/>
      <x:c r="AF166" s="49"/>
      <x:c r="AG166" s="49"/>
      <x:c r="AH166" s="49"/>
      <x:c r="AI166" s="49"/>
      <x:c r="AJ166" s="49"/>
      <x:c r="AK166" s="49"/>
      <x:c r="AL166" s="49"/>
      <x:c r="AM166" s="49"/>
      <x:c r="AN166" s="49"/>
      <x:c r="AO166" s="49"/>
      <x:c r="AP166" s="49"/>
      <x:c r="AQ166" s="49"/>
      <x:c r="AR166" s="49"/>
      <x:c r="AS166" s="49"/>
      <x:c r="AT166" s="49"/>
      <x:c r="AU166" s="49"/>
      <x:c r="AV166" s="49"/>
      <x:c r="AW166" s="49"/>
      <x:c r="AX166" s="49"/>
      <x:c r="AY166" s="49"/>
      <x:c r="AZ166" s="49"/>
    </x:row>
    <x:row r="167">
      <x:c r="A167" s="49"/>
      <x:c r="B167" s="49"/>
      <x:c r="C167" s="49"/>
      <x:c r="D167" s="49"/>
      <x:c r="E167" s="49"/>
      <x:c r="F167" s="49"/>
      <x:c r="G167" s="49"/>
      <x:c r="H167" s="49"/>
      <x:c r="I167" s="49"/>
      <x:c r="J167" s="49"/>
      <x:c r="K167" s="49"/>
      <x:c r="L167" s="49"/>
      <x:c r="M167" s="49"/>
      <x:c r="N167" s="49"/>
      <x:c r="O167" s="49"/>
      <x:c r="P167" s="49"/>
      <x:c r="Q167" s="49"/>
      <x:c r="R167" s="49"/>
      <x:c r="S167" s="49"/>
      <x:c r="T167" s="49"/>
      <x:c r="U167" s="49"/>
      <x:c r="V167" s="49"/>
      <x:c r="W167" s="49"/>
      <x:c r="X167" s="49"/>
      <x:c r="Y167" s="49"/>
      <x:c r="Z167" s="49"/>
      <x:c r="AA167" s="49"/>
      <x:c r="AB167" s="49"/>
      <x:c r="AC167" s="49"/>
      <x:c r="AD167" s="49"/>
      <x:c r="AE167" s="49"/>
      <x:c r="AF167" s="49"/>
      <x:c r="AG167" s="49"/>
      <x:c r="AH167" s="49"/>
      <x:c r="AI167" s="49"/>
      <x:c r="AJ167" s="49"/>
      <x:c r="AK167" s="49"/>
      <x:c r="AL167" s="49"/>
      <x:c r="AM167" s="49"/>
      <x:c r="AN167" s="49"/>
      <x:c r="AO167" s="49"/>
      <x:c r="AP167" s="49"/>
      <x:c r="AQ167" s="49"/>
      <x:c r="AR167" s="49"/>
      <x:c r="AS167" s="49"/>
      <x:c r="AT167" s="49"/>
      <x:c r="AU167" s="49"/>
      <x:c r="AV167" s="49"/>
      <x:c r="AW167" s="49"/>
      <x:c r="AX167" s="49"/>
      <x:c r="AY167" s="49"/>
      <x:c r="AZ167" s="49"/>
    </x:row>
    <x:row r="168">
      <x:c r="A168" s="49"/>
      <x:c r="B168" s="49"/>
      <x:c r="C168" s="49"/>
      <x:c r="D168" s="49"/>
      <x:c r="E168" s="49"/>
      <x:c r="F168" s="49"/>
      <x:c r="G168" s="49"/>
      <x:c r="H168" s="49"/>
      <x:c r="I168" s="49"/>
      <x:c r="J168" s="49"/>
      <x:c r="K168" s="49"/>
      <x:c r="L168" s="49"/>
      <x:c r="M168" s="49"/>
      <x:c r="N168" s="49"/>
      <x:c r="O168" s="49"/>
      <x:c r="P168" s="49"/>
      <x:c r="Q168" s="49"/>
      <x:c r="R168" s="49"/>
      <x:c r="S168" s="49"/>
      <x:c r="T168" s="49"/>
      <x:c r="U168" s="49"/>
      <x:c r="V168" s="49"/>
      <x:c r="W168" s="49"/>
      <x:c r="X168" s="49"/>
      <x:c r="Y168" s="49"/>
      <x:c r="Z168" s="49"/>
      <x:c r="AA168" s="49"/>
      <x:c r="AB168" s="49"/>
      <x:c r="AC168" s="49"/>
      <x:c r="AD168" s="49"/>
      <x:c r="AE168" s="49"/>
      <x:c r="AF168" s="49"/>
      <x:c r="AG168" s="49"/>
      <x:c r="AH168" s="49"/>
      <x:c r="AI168" s="49"/>
      <x:c r="AJ168" s="49"/>
      <x:c r="AK168" s="49"/>
      <x:c r="AL168" s="49"/>
      <x:c r="AM168" s="49"/>
      <x:c r="AN168" s="49"/>
      <x:c r="AO168" s="49"/>
      <x:c r="AP168" s="49"/>
      <x:c r="AQ168" s="49"/>
      <x:c r="AR168" s="49"/>
      <x:c r="AS168" s="49"/>
      <x:c r="AT168" s="49"/>
      <x:c r="AU168" s="49"/>
      <x:c r="AV168" s="49"/>
      <x:c r="AW168" s="49"/>
      <x:c r="AX168" s="49"/>
      <x:c r="AY168" s="49"/>
      <x:c r="AZ168" s="49"/>
    </x:row>
    <x:row r="169">
      <x:c r="A169" s="49"/>
      <x:c r="B169" s="49"/>
      <x:c r="C169" s="49"/>
      <x:c r="D169" s="49"/>
      <x:c r="E169" s="49"/>
      <x:c r="F169" s="49"/>
      <x:c r="G169" s="49"/>
      <x:c r="H169" s="49"/>
      <x:c r="I169" s="49"/>
      <x:c r="J169" s="49"/>
      <x:c r="K169" s="49"/>
      <x:c r="L169" s="49"/>
      <x:c r="M169" s="49"/>
      <x:c r="N169" s="49"/>
      <x:c r="O169" s="49"/>
      <x:c r="P169" s="49"/>
      <x:c r="Q169" s="49"/>
      <x:c r="R169" s="49"/>
      <x:c r="S169" s="49"/>
      <x:c r="T169" s="49"/>
      <x:c r="U169" s="49"/>
      <x:c r="V169" s="49"/>
      <x:c r="W169" s="49"/>
      <x:c r="X169" s="49"/>
      <x:c r="Y169" s="49"/>
      <x:c r="Z169" s="49"/>
      <x:c r="AA169" s="49"/>
      <x:c r="AB169" s="49"/>
      <x:c r="AC169" s="49"/>
      <x:c r="AD169" s="49"/>
      <x:c r="AE169" s="49"/>
      <x:c r="AF169" s="49"/>
      <x:c r="AG169" s="49"/>
      <x:c r="AH169" s="49"/>
      <x:c r="AI169" s="49"/>
      <x:c r="AJ169" s="49"/>
      <x:c r="AK169" s="49"/>
      <x:c r="AL169" s="49"/>
      <x:c r="AM169" s="49"/>
      <x:c r="AN169" s="49"/>
      <x:c r="AO169" s="49"/>
      <x:c r="AP169" s="49"/>
      <x:c r="AQ169" s="49"/>
      <x:c r="AR169" s="49"/>
      <x:c r="AS169" s="49"/>
      <x:c r="AT169" s="49"/>
      <x:c r="AU169" s="49"/>
      <x:c r="AV169" s="49"/>
      <x:c r="AW169" s="49"/>
      <x:c r="AX169" s="49"/>
      <x:c r="AY169" s="49"/>
      <x:c r="AZ169" s="49"/>
    </x:row>
    <x:row r="170">
      <x:c r="A170" s="49"/>
      <x:c r="B170" s="49"/>
      <x:c r="C170" s="49"/>
      <x:c r="D170" s="49"/>
      <x:c r="E170" s="49"/>
      <x:c r="F170" s="49"/>
      <x:c r="G170" s="49"/>
      <x:c r="H170" s="49"/>
      <x:c r="I170" s="49"/>
      <x:c r="J170" s="49"/>
      <x:c r="K170" s="49"/>
      <x:c r="L170" s="49"/>
      <x:c r="M170" s="49"/>
      <x:c r="N170" s="49"/>
      <x:c r="O170" s="49"/>
      <x:c r="P170" s="49"/>
      <x:c r="Q170" s="49"/>
      <x:c r="R170" s="49"/>
      <x:c r="S170" s="49"/>
      <x:c r="T170" s="49"/>
      <x:c r="U170" s="49"/>
      <x:c r="V170" s="49"/>
      <x:c r="W170" s="49"/>
      <x:c r="X170" s="49"/>
      <x:c r="Y170" s="49"/>
      <x:c r="Z170" s="49"/>
      <x:c r="AA170" s="49"/>
      <x:c r="AB170" s="49"/>
      <x:c r="AC170" s="49"/>
      <x:c r="AD170" s="49"/>
      <x:c r="AE170" s="49"/>
      <x:c r="AF170" s="49"/>
      <x:c r="AG170" s="49"/>
      <x:c r="AH170" s="49"/>
      <x:c r="AI170" s="49"/>
      <x:c r="AJ170" s="49"/>
      <x:c r="AK170" s="49"/>
      <x:c r="AL170" s="49"/>
      <x:c r="AM170" s="49"/>
      <x:c r="AN170" s="49"/>
      <x:c r="AO170" s="49"/>
      <x:c r="AP170" s="49"/>
      <x:c r="AQ170" s="49"/>
      <x:c r="AR170" s="49"/>
      <x:c r="AS170" s="49"/>
      <x:c r="AT170" s="49"/>
      <x:c r="AU170" s="49"/>
      <x:c r="AV170" s="49"/>
      <x:c r="AW170" s="49"/>
      <x:c r="AX170" s="49"/>
      <x:c r="AY170" s="49"/>
      <x:c r="AZ170" s="49"/>
    </x:row>
    <x:row r="171">
      <x:c r="A171" s="49"/>
      <x:c r="B171" s="49"/>
      <x:c r="C171" s="49"/>
      <x:c r="D171" s="49"/>
      <x:c r="E171" s="49"/>
      <x:c r="F171" s="49"/>
      <x:c r="G171" s="49"/>
      <x:c r="H171" s="49"/>
      <x:c r="I171" s="49"/>
      <x:c r="J171" s="49"/>
      <x:c r="K171" s="49"/>
      <x:c r="L171" s="49"/>
      <x:c r="M171" s="49"/>
      <x:c r="N171" s="49"/>
      <x:c r="O171" s="49"/>
      <x:c r="P171" s="49"/>
      <x:c r="Q171" s="49"/>
      <x:c r="R171" s="49"/>
      <x:c r="S171" s="49"/>
      <x:c r="T171" s="49"/>
      <x:c r="U171" s="49"/>
      <x:c r="V171" s="49"/>
      <x:c r="W171" s="49"/>
      <x:c r="X171" s="49"/>
      <x:c r="Y171" s="49"/>
      <x:c r="Z171" s="49"/>
      <x:c r="AA171" s="49"/>
      <x:c r="AB171" s="49"/>
      <x:c r="AC171" s="49"/>
      <x:c r="AD171" s="49"/>
      <x:c r="AE171" s="49"/>
      <x:c r="AF171" s="49"/>
      <x:c r="AG171" s="49"/>
      <x:c r="AH171" s="49"/>
      <x:c r="AI171" s="49"/>
      <x:c r="AJ171" s="49"/>
      <x:c r="AK171" s="49"/>
      <x:c r="AL171" s="49"/>
      <x:c r="AM171" s="49"/>
      <x:c r="AN171" s="49"/>
      <x:c r="AO171" s="49"/>
      <x:c r="AP171" s="49"/>
      <x:c r="AQ171" s="49"/>
      <x:c r="AR171" s="49"/>
      <x:c r="AS171" s="49"/>
      <x:c r="AT171" s="49"/>
      <x:c r="AU171" s="49"/>
      <x:c r="AV171" s="49"/>
      <x:c r="AW171" s="49"/>
      <x:c r="AX171" s="49"/>
      <x:c r="AY171" s="49"/>
      <x:c r="AZ171" s="49"/>
    </x:row>
    <x:row r="172">
      <x:c r="A172" s="49"/>
      <x:c r="B172" s="49"/>
      <x:c r="C172" s="49"/>
      <x:c r="D172" s="49"/>
      <x:c r="E172" s="49"/>
      <x:c r="F172" s="49"/>
      <x:c r="G172" s="49"/>
      <x:c r="H172" s="49"/>
      <x:c r="I172" s="49"/>
      <x:c r="J172" s="49"/>
      <x:c r="K172" s="49"/>
      <x:c r="L172" s="49"/>
      <x:c r="M172" s="49"/>
      <x:c r="N172" s="49"/>
      <x:c r="O172" s="49"/>
      <x:c r="P172" s="49"/>
      <x:c r="Q172" s="49"/>
      <x:c r="R172" s="49"/>
      <x:c r="S172" s="49"/>
      <x:c r="T172" s="49"/>
      <x:c r="U172" s="49"/>
      <x:c r="V172" s="49"/>
      <x:c r="W172" s="49"/>
      <x:c r="X172" s="49"/>
      <x:c r="Y172" s="49"/>
      <x:c r="Z172" s="49"/>
      <x:c r="AA172" s="49"/>
      <x:c r="AB172" s="49"/>
      <x:c r="AC172" s="49"/>
      <x:c r="AD172" s="49"/>
      <x:c r="AE172" s="49"/>
      <x:c r="AF172" s="49"/>
      <x:c r="AG172" s="49"/>
      <x:c r="AH172" s="49"/>
      <x:c r="AI172" s="49"/>
      <x:c r="AJ172" s="49"/>
      <x:c r="AK172" s="49"/>
      <x:c r="AL172" s="49"/>
      <x:c r="AM172" s="49"/>
      <x:c r="AN172" s="49"/>
      <x:c r="AO172" s="49"/>
      <x:c r="AP172" s="49"/>
      <x:c r="AQ172" s="49"/>
      <x:c r="AR172" s="49"/>
      <x:c r="AS172" s="49"/>
      <x:c r="AT172" s="49"/>
      <x:c r="AU172" s="49"/>
      <x:c r="AV172" s="49"/>
      <x:c r="AW172" s="49"/>
      <x:c r="AX172" s="49"/>
      <x:c r="AY172" s="49"/>
      <x:c r="AZ172" s="49"/>
    </x:row>
    <x:row r="173">
      <x:c r="A173" s="49"/>
      <x:c r="B173" s="49"/>
      <x:c r="C173" s="49"/>
      <x:c r="D173" s="49"/>
      <x:c r="E173" s="49"/>
      <x:c r="F173" s="49"/>
      <x:c r="G173" s="49"/>
      <x:c r="H173" s="49"/>
      <x:c r="I173" s="49"/>
      <x:c r="J173" s="49"/>
      <x:c r="K173" s="49"/>
      <x:c r="L173" s="49"/>
      <x:c r="M173" s="49"/>
      <x:c r="N173" s="49"/>
      <x:c r="O173" s="49"/>
      <x:c r="P173" s="49"/>
      <x:c r="Q173" s="49"/>
      <x:c r="R173" s="49"/>
      <x:c r="S173" s="49"/>
      <x:c r="T173" s="49"/>
      <x:c r="U173" s="49"/>
      <x:c r="V173" s="49"/>
      <x:c r="W173" s="49"/>
      <x:c r="X173" s="49"/>
      <x:c r="Y173" s="49"/>
      <x:c r="Z173" s="49"/>
      <x:c r="AA173" s="49"/>
      <x:c r="AB173" s="49"/>
      <x:c r="AC173" s="49"/>
      <x:c r="AD173" s="49"/>
      <x:c r="AE173" s="49"/>
      <x:c r="AF173" s="49"/>
      <x:c r="AG173" s="49"/>
      <x:c r="AH173" s="49"/>
      <x:c r="AI173" s="49"/>
      <x:c r="AJ173" s="49"/>
      <x:c r="AK173" s="49"/>
      <x:c r="AL173" s="49"/>
      <x:c r="AM173" s="49"/>
      <x:c r="AN173" s="49"/>
      <x:c r="AO173" s="49"/>
      <x:c r="AP173" s="49"/>
      <x:c r="AQ173" s="49"/>
      <x:c r="AR173" s="49"/>
      <x:c r="AS173" s="49"/>
      <x:c r="AT173" s="49"/>
      <x:c r="AU173" s="49"/>
      <x:c r="AV173" s="49"/>
      <x:c r="AW173" s="49"/>
      <x:c r="AX173" s="49"/>
      <x:c r="AY173" s="49"/>
      <x:c r="AZ173" s="49"/>
    </x:row>
    <x:row r="174">
      <x:c r="A174" s="49"/>
      <x:c r="B174" s="49"/>
      <x:c r="C174" s="49"/>
      <x:c r="D174" s="49"/>
      <x:c r="E174" s="49"/>
      <x:c r="F174" s="49"/>
      <x:c r="G174" s="49"/>
      <x:c r="H174" s="49"/>
      <x:c r="I174" s="49"/>
      <x:c r="J174" s="49"/>
      <x:c r="K174" s="49"/>
      <x:c r="L174" s="49"/>
      <x:c r="M174" s="49"/>
      <x:c r="N174" s="49"/>
      <x:c r="O174" s="49"/>
      <x:c r="P174" s="49"/>
      <x:c r="Q174" s="49"/>
      <x:c r="R174" s="49"/>
      <x:c r="S174" s="49"/>
      <x:c r="T174" s="49"/>
      <x:c r="U174" s="49"/>
      <x:c r="V174" s="49"/>
      <x:c r="W174" s="49"/>
      <x:c r="X174" s="49"/>
      <x:c r="Y174" s="49"/>
      <x:c r="Z174" s="49"/>
      <x:c r="AA174" s="49"/>
      <x:c r="AB174" s="49"/>
      <x:c r="AC174" s="49"/>
      <x:c r="AD174" s="49"/>
      <x:c r="AE174" s="49"/>
      <x:c r="AF174" s="49"/>
      <x:c r="AG174" s="49"/>
      <x:c r="AH174" s="49"/>
      <x:c r="AI174" s="49"/>
      <x:c r="AJ174" s="49"/>
      <x:c r="AK174" s="49"/>
      <x:c r="AL174" s="49"/>
      <x:c r="AM174" s="49"/>
      <x:c r="AN174" s="49"/>
      <x:c r="AO174" s="49"/>
      <x:c r="AP174" s="49"/>
      <x:c r="AQ174" s="49"/>
      <x:c r="AR174" s="49"/>
      <x:c r="AS174" s="49"/>
      <x:c r="AT174" s="49"/>
      <x:c r="AU174" s="49"/>
      <x:c r="AV174" s="49"/>
      <x:c r="AW174" s="49"/>
      <x:c r="AX174" s="49"/>
      <x:c r="AY174" s="49"/>
      <x:c r="AZ174" s="49"/>
    </x:row>
    <x:row r="175">
      <x:c r="A175" s="49"/>
      <x:c r="B175" s="49"/>
      <x:c r="C175" s="49"/>
      <x:c r="D175" s="49"/>
      <x:c r="E175" s="49"/>
      <x:c r="F175" s="49"/>
      <x:c r="G175" s="49"/>
      <x:c r="H175" s="49"/>
      <x:c r="I175" s="49"/>
      <x:c r="J175" s="49"/>
      <x:c r="K175" s="49"/>
      <x:c r="L175" s="49"/>
      <x:c r="M175" s="49"/>
      <x:c r="N175" s="49"/>
      <x:c r="O175" s="49"/>
      <x:c r="P175" s="49"/>
      <x:c r="Q175" s="49"/>
      <x:c r="R175" s="49"/>
      <x:c r="S175" s="49"/>
      <x:c r="T175" s="49"/>
      <x:c r="U175" s="49"/>
      <x:c r="V175" s="49"/>
      <x:c r="W175" s="49"/>
      <x:c r="X175" s="49"/>
      <x:c r="Y175" s="49"/>
      <x:c r="Z175" s="49"/>
      <x:c r="AA175" s="49"/>
      <x:c r="AB175" s="49"/>
      <x:c r="AC175" s="49"/>
      <x:c r="AD175" s="49"/>
      <x:c r="AE175" s="49"/>
      <x:c r="AF175" s="49"/>
      <x:c r="AG175" s="49"/>
      <x:c r="AH175" s="49"/>
      <x:c r="AI175" s="49"/>
      <x:c r="AJ175" s="49"/>
      <x:c r="AK175" s="49"/>
      <x:c r="AL175" s="49"/>
      <x:c r="AM175" s="49"/>
      <x:c r="AN175" s="49"/>
      <x:c r="AO175" s="49"/>
      <x:c r="AP175" s="49"/>
      <x:c r="AQ175" s="49"/>
      <x:c r="AR175" s="49"/>
      <x:c r="AS175" s="49"/>
      <x:c r="AT175" s="49"/>
      <x:c r="AU175" s="49"/>
      <x:c r="AV175" s="49"/>
      <x:c r="AW175" s="49"/>
      <x:c r="AX175" s="49"/>
      <x:c r="AY175" s="49"/>
      <x:c r="AZ175" s="49"/>
    </x:row>
    <x:row r="176">
      <x:c r="A176" s="49"/>
      <x:c r="B176" s="49"/>
      <x:c r="C176" s="49"/>
      <x:c r="D176" s="49"/>
      <x:c r="E176" s="49"/>
      <x:c r="F176" s="49"/>
      <x:c r="G176" s="49"/>
      <x:c r="H176" s="49"/>
      <x:c r="I176" s="49"/>
      <x:c r="J176" s="49"/>
      <x:c r="K176" s="49"/>
      <x:c r="L176" s="49"/>
      <x:c r="M176" s="49"/>
      <x:c r="N176" s="49"/>
      <x:c r="O176" s="49"/>
      <x:c r="P176" s="49"/>
      <x:c r="Q176" s="49"/>
      <x:c r="R176" s="49"/>
      <x:c r="S176" s="49"/>
      <x:c r="T176" s="49"/>
      <x:c r="U176" s="49"/>
      <x:c r="V176" s="49"/>
      <x:c r="W176" s="49"/>
      <x:c r="X176" s="49"/>
      <x:c r="Y176" s="49"/>
      <x:c r="Z176" s="49"/>
      <x:c r="AA176" s="49"/>
      <x:c r="AB176" s="49"/>
      <x:c r="AC176" s="49"/>
      <x:c r="AD176" s="49"/>
      <x:c r="AE176" s="49"/>
      <x:c r="AF176" s="49"/>
      <x:c r="AG176" s="49"/>
      <x:c r="AH176" s="49"/>
      <x:c r="AI176" s="49"/>
      <x:c r="AJ176" s="49"/>
      <x:c r="AK176" s="49"/>
      <x:c r="AL176" s="49"/>
      <x:c r="AM176" s="49"/>
      <x:c r="AN176" s="49"/>
      <x:c r="AO176" s="49"/>
      <x:c r="AP176" s="49"/>
      <x:c r="AQ176" s="49"/>
      <x:c r="AR176" s="49"/>
      <x:c r="AS176" s="49"/>
      <x:c r="AT176" s="49"/>
      <x:c r="AU176" s="49"/>
      <x:c r="AV176" s="49"/>
      <x:c r="AW176" s="49"/>
      <x:c r="AX176" s="49"/>
      <x:c r="AY176" s="49"/>
      <x:c r="AZ176" s="49"/>
    </x:row>
    <x:row r="177">
      <x:c r="A177" s="49"/>
      <x:c r="B177" s="49"/>
      <x:c r="C177" s="49"/>
      <x:c r="D177" s="49"/>
      <x:c r="E177" s="49"/>
      <x:c r="F177" s="49"/>
      <x:c r="G177" s="49"/>
      <x:c r="H177" s="49"/>
      <x:c r="I177" s="49"/>
      <x:c r="J177" s="49"/>
      <x:c r="K177" s="49"/>
      <x:c r="L177" s="49"/>
      <x:c r="M177" s="49"/>
      <x:c r="N177" s="49"/>
      <x:c r="O177" s="49"/>
      <x:c r="P177" s="49"/>
      <x:c r="Q177" s="49"/>
      <x:c r="R177" s="49"/>
      <x:c r="S177" s="49"/>
      <x:c r="T177" s="49"/>
      <x:c r="U177" s="49"/>
      <x:c r="V177" s="49"/>
      <x:c r="W177" s="49"/>
      <x:c r="X177" s="49"/>
      <x:c r="Y177" s="49"/>
      <x:c r="Z177" s="49"/>
      <x:c r="AA177" s="49"/>
      <x:c r="AB177" s="49"/>
      <x:c r="AC177" s="49"/>
      <x:c r="AD177" s="49"/>
      <x:c r="AE177" s="49"/>
      <x:c r="AF177" s="49"/>
      <x:c r="AG177" s="49"/>
      <x:c r="AH177" s="49"/>
      <x:c r="AI177" s="49"/>
      <x:c r="AJ177" s="49"/>
      <x:c r="AK177" s="49"/>
      <x:c r="AL177" s="49"/>
      <x:c r="AM177" s="49"/>
      <x:c r="AN177" s="49"/>
      <x:c r="AO177" s="49"/>
      <x:c r="AP177" s="49"/>
      <x:c r="AQ177" s="49"/>
      <x:c r="AR177" s="49"/>
      <x:c r="AS177" s="49"/>
      <x:c r="AT177" s="49"/>
      <x:c r="AU177" s="49"/>
      <x:c r="AV177" s="49"/>
      <x:c r="AW177" s="49"/>
      <x:c r="AX177" s="49"/>
      <x:c r="AY177" s="49"/>
      <x:c r="AZ177" s="49"/>
    </x:row>
    <x:row r="178">
      <x:c r="A178" s="49"/>
      <x:c r="B178" s="49"/>
      <x:c r="C178" s="49"/>
      <x:c r="D178" s="49"/>
      <x:c r="E178" s="49"/>
      <x:c r="F178" s="49"/>
      <x:c r="G178" s="49"/>
      <x:c r="H178" s="49"/>
      <x:c r="I178" s="49"/>
      <x:c r="J178" s="49"/>
      <x:c r="K178" s="49"/>
      <x:c r="L178" s="49"/>
      <x:c r="M178" s="49"/>
      <x:c r="N178" s="49"/>
      <x:c r="O178" s="49"/>
      <x:c r="P178" s="49"/>
      <x:c r="Q178" s="49"/>
      <x:c r="R178" s="49"/>
      <x:c r="S178" s="49"/>
      <x:c r="T178" s="49"/>
      <x:c r="U178" s="49"/>
      <x:c r="V178" s="49"/>
      <x:c r="W178" s="49"/>
      <x:c r="X178" s="49"/>
      <x:c r="Y178" s="49"/>
      <x:c r="Z178" s="49"/>
      <x:c r="AA178" s="49"/>
      <x:c r="AB178" s="49"/>
      <x:c r="AC178" s="49"/>
      <x:c r="AD178" s="49"/>
      <x:c r="AE178" s="49"/>
      <x:c r="AF178" s="49"/>
      <x:c r="AG178" s="49"/>
      <x:c r="AH178" s="49"/>
      <x:c r="AI178" s="49"/>
      <x:c r="AJ178" s="49"/>
      <x:c r="AK178" s="49"/>
      <x:c r="AL178" s="49"/>
      <x:c r="AM178" s="49"/>
      <x:c r="AN178" s="49"/>
      <x:c r="AO178" s="49"/>
      <x:c r="AP178" s="49"/>
      <x:c r="AQ178" s="49"/>
      <x:c r="AR178" s="49"/>
      <x:c r="AS178" s="49"/>
      <x:c r="AT178" s="49"/>
      <x:c r="AU178" s="49"/>
      <x:c r="AV178" s="49"/>
      <x:c r="AW178" s="49"/>
      <x:c r="AX178" s="49"/>
      <x:c r="AY178" s="49"/>
      <x:c r="AZ178" s="49"/>
    </x:row>
    <x:row r="179">
      <x:c r="A179" s="49"/>
      <x:c r="B179" s="49"/>
      <x:c r="C179" s="49"/>
      <x:c r="D179" s="49"/>
      <x:c r="E179" s="49"/>
      <x:c r="F179" s="49"/>
      <x:c r="G179" s="49"/>
      <x:c r="H179" s="49"/>
      <x:c r="I179" s="49"/>
      <x:c r="J179" s="49"/>
      <x:c r="K179" s="49"/>
      <x:c r="L179" s="49"/>
      <x:c r="M179" s="49"/>
      <x:c r="N179" s="49"/>
      <x:c r="O179" s="49"/>
      <x:c r="P179" s="49"/>
      <x:c r="Q179" s="49"/>
      <x:c r="R179" s="49"/>
      <x:c r="S179" s="49"/>
      <x:c r="T179" s="49"/>
      <x:c r="U179" s="49"/>
      <x:c r="V179" s="49"/>
      <x:c r="W179" s="49"/>
      <x:c r="X179" s="49"/>
      <x:c r="Y179" s="49"/>
      <x:c r="Z179" s="49"/>
      <x:c r="AA179" s="49"/>
      <x:c r="AB179" s="49"/>
      <x:c r="AC179" s="49"/>
      <x:c r="AD179" s="49"/>
      <x:c r="AE179" s="49"/>
      <x:c r="AF179" s="49"/>
      <x:c r="AG179" s="49"/>
      <x:c r="AH179" s="49"/>
      <x:c r="AI179" s="49"/>
      <x:c r="AJ179" s="49"/>
      <x:c r="AK179" s="49"/>
      <x:c r="AL179" s="49"/>
      <x:c r="AM179" s="49"/>
      <x:c r="AN179" s="49"/>
      <x:c r="AO179" s="49"/>
      <x:c r="AP179" s="49"/>
      <x:c r="AQ179" s="49"/>
      <x:c r="AR179" s="49"/>
      <x:c r="AS179" s="49"/>
      <x:c r="AT179" s="49"/>
      <x:c r="AU179" s="49"/>
      <x:c r="AV179" s="49"/>
      <x:c r="AW179" s="49"/>
      <x:c r="AX179" s="49"/>
      <x:c r="AY179" s="49"/>
      <x:c r="AZ179" s="49"/>
    </x:row>
    <x:row r="180">
      <x:c r="A180" s="49"/>
      <x:c r="B180" s="49"/>
      <x:c r="C180" s="49"/>
      <x:c r="D180" s="49"/>
      <x:c r="E180" s="49"/>
      <x:c r="F180" s="49"/>
      <x:c r="G180" s="49"/>
      <x:c r="H180" s="49"/>
      <x:c r="I180" s="49"/>
      <x:c r="J180" s="49"/>
      <x:c r="K180" s="49"/>
      <x:c r="L180" s="49"/>
      <x:c r="M180" s="49"/>
      <x:c r="N180" s="49"/>
      <x:c r="O180" s="49"/>
      <x:c r="P180" s="49"/>
      <x:c r="Q180" s="49"/>
      <x:c r="R180" s="49"/>
      <x:c r="S180" s="49"/>
      <x:c r="T180" s="49"/>
      <x:c r="U180" s="49"/>
      <x:c r="V180" s="49"/>
      <x:c r="W180" s="49"/>
      <x:c r="X180" s="49"/>
      <x:c r="Y180" s="49"/>
      <x:c r="Z180" s="49"/>
      <x:c r="AA180" s="49"/>
      <x:c r="AB180" s="49"/>
      <x:c r="AC180" s="49"/>
      <x:c r="AD180" s="49"/>
      <x:c r="AE180" s="49"/>
      <x:c r="AF180" s="49"/>
      <x:c r="AG180" s="49"/>
      <x:c r="AH180" s="49"/>
      <x:c r="AI180" s="49"/>
      <x:c r="AJ180" s="49"/>
      <x:c r="AK180" s="49"/>
      <x:c r="AL180" s="49"/>
      <x:c r="AM180" s="49"/>
      <x:c r="AN180" s="49"/>
      <x:c r="AO180" s="49"/>
      <x:c r="AP180" s="49"/>
      <x:c r="AQ180" s="49"/>
      <x:c r="AR180" s="49"/>
      <x:c r="AS180" s="49"/>
      <x:c r="AT180" s="49"/>
      <x:c r="AU180" s="49"/>
      <x:c r="AV180" s="49"/>
      <x:c r="AW180" s="49"/>
      <x:c r="AX180" s="49"/>
      <x:c r="AY180" s="49"/>
      <x:c r="AZ180" s="49"/>
    </x:row>
    <x:row r="181">
      <x:c r="A181" s="49"/>
      <x:c r="B181" s="49"/>
      <x:c r="C181" s="49"/>
      <x:c r="D181" s="49"/>
      <x:c r="E181" s="49"/>
      <x:c r="F181" s="49"/>
      <x:c r="G181" s="49"/>
      <x:c r="H181" s="49"/>
      <x:c r="I181" s="49"/>
      <x:c r="J181" s="49"/>
      <x:c r="K181" s="49"/>
      <x:c r="L181" s="49"/>
      <x:c r="M181" s="49"/>
      <x:c r="N181" s="49"/>
      <x:c r="O181" s="49"/>
      <x:c r="P181" s="49"/>
      <x:c r="Q181" s="49"/>
      <x:c r="R181" s="49"/>
      <x:c r="S181" s="49"/>
      <x:c r="T181" s="49"/>
      <x:c r="U181" s="49"/>
      <x:c r="V181" s="49"/>
      <x:c r="W181" s="49"/>
      <x:c r="X181" s="49"/>
      <x:c r="Y181" s="49"/>
      <x:c r="Z181" s="49"/>
      <x:c r="AA181" s="49"/>
      <x:c r="AB181" s="49"/>
      <x:c r="AC181" s="49"/>
      <x:c r="AD181" s="49"/>
      <x:c r="AE181" s="49"/>
      <x:c r="AF181" s="49"/>
      <x:c r="AG181" s="49"/>
      <x:c r="AH181" s="49"/>
      <x:c r="AI181" s="49"/>
      <x:c r="AJ181" s="49"/>
      <x:c r="AK181" s="49"/>
      <x:c r="AL181" s="49"/>
      <x:c r="AM181" s="49"/>
      <x:c r="AN181" s="49"/>
      <x:c r="AO181" s="49"/>
      <x:c r="AP181" s="49"/>
      <x:c r="AQ181" s="49"/>
      <x:c r="AR181" s="49"/>
      <x:c r="AS181" s="49"/>
      <x:c r="AT181" s="49"/>
      <x:c r="AU181" s="49"/>
      <x:c r="AV181" s="49"/>
      <x:c r="AW181" s="49"/>
      <x:c r="AX181" s="49"/>
      <x:c r="AY181" s="49"/>
      <x:c r="AZ181" s="49"/>
    </x:row>
    <x:row r="182">
      <x:c r="A182" s="49"/>
      <x:c r="B182" s="49"/>
      <x:c r="C182" s="49"/>
      <x:c r="D182" s="49"/>
      <x:c r="E182" s="49"/>
      <x:c r="F182" s="49"/>
      <x:c r="G182" s="49"/>
      <x:c r="H182" s="49"/>
      <x:c r="I182" s="49"/>
      <x:c r="J182" s="49"/>
      <x:c r="K182" s="49"/>
      <x:c r="L182" s="49"/>
      <x:c r="M182" s="49"/>
      <x:c r="N182" s="49"/>
      <x:c r="O182" s="49"/>
      <x:c r="P182" s="49"/>
      <x:c r="Q182" s="49"/>
      <x:c r="R182" s="49"/>
      <x:c r="S182" s="49"/>
      <x:c r="T182" s="49"/>
      <x:c r="U182" s="49"/>
      <x:c r="V182" s="49"/>
      <x:c r="W182" s="49"/>
      <x:c r="X182" s="49"/>
      <x:c r="Y182" s="49"/>
      <x:c r="Z182" s="49"/>
      <x:c r="AA182" s="49"/>
      <x:c r="AB182" s="49"/>
      <x:c r="AC182" s="49"/>
      <x:c r="AD182" s="49"/>
      <x:c r="AE182" s="49"/>
      <x:c r="AF182" s="49"/>
      <x:c r="AG182" s="49"/>
      <x:c r="AH182" s="49"/>
      <x:c r="AI182" s="49"/>
      <x:c r="AJ182" s="49"/>
      <x:c r="AK182" s="49"/>
      <x:c r="AL182" s="49"/>
      <x:c r="AM182" s="49"/>
      <x:c r="AN182" s="49"/>
      <x:c r="AO182" s="49"/>
      <x:c r="AP182" s="49"/>
      <x:c r="AQ182" s="49"/>
      <x:c r="AR182" s="49"/>
      <x:c r="AS182" s="49"/>
      <x:c r="AT182" s="49"/>
      <x:c r="AU182" s="49"/>
      <x:c r="AV182" s="49"/>
      <x:c r="AW182" s="49"/>
      <x:c r="AX182" s="49"/>
      <x:c r="AY182" s="49"/>
      <x:c r="AZ182" s="49"/>
    </x:row>
    <x:row r="183">
      <x:c r="A183" s="49"/>
      <x:c r="B183" s="49"/>
      <x:c r="C183" s="49"/>
      <x:c r="D183" s="49"/>
      <x:c r="E183" s="49"/>
      <x:c r="F183" s="49"/>
      <x:c r="G183" s="49"/>
      <x:c r="H183" s="49"/>
      <x:c r="I183" s="49"/>
      <x:c r="J183" s="49"/>
      <x:c r="K183" s="49"/>
      <x:c r="L183" s="49"/>
      <x:c r="M183" s="49"/>
      <x:c r="N183" s="49"/>
      <x:c r="O183" s="49"/>
      <x:c r="P183" s="49"/>
      <x:c r="Q183" s="49"/>
      <x:c r="R183" s="49"/>
      <x:c r="S183" s="49"/>
      <x:c r="T183" s="49"/>
      <x:c r="U183" s="49"/>
      <x:c r="V183" s="49"/>
      <x:c r="W183" s="49"/>
      <x:c r="X183" s="49"/>
      <x:c r="Y183" s="49"/>
      <x:c r="Z183" s="49"/>
      <x:c r="AA183" s="49"/>
      <x:c r="AB183" s="49"/>
      <x:c r="AC183" s="49"/>
      <x:c r="AD183" s="49"/>
      <x:c r="AE183" s="49"/>
      <x:c r="AF183" s="49"/>
      <x:c r="AG183" s="49"/>
      <x:c r="AH183" s="49"/>
      <x:c r="AI183" s="49"/>
      <x:c r="AJ183" s="49"/>
      <x:c r="AK183" s="49"/>
      <x:c r="AL183" s="49"/>
      <x:c r="AM183" s="49"/>
      <x:c r="AN183" s="49"/>
      <x:c r="AO183" s="49"/>
      <x:c r="AP183" s="49"/>
      <x:c r="AQ183" s="49"/>
      <x:c r="AR183" s="49"/>
      <x:c r="AS183" s="49"/>
      <x:c r="AT183" s="49"/>
      <x:c r="AU183" s="49"/>
      <x:c r="AV183" s="49"/>
      <x:c r="AW183" s="49"/>
      <x:c r="AX183" s="49"/>
      <x:c r="AY183" s="49"/>
      <x:c r="AZ183" s="49"/>
    </x:row>
    <x:row r="184">
      <x:c r="A184" s="49"/>
      <x:c r="B184" s="49"/>
      <x:c r="C184" s="49"/>
      <x:c r="D184" s="49"/>
      <x:c r="E184" s="49"/>
      <x:c r="F184" s="49"/>
      <x:c r="G184" s="49"/>
      <x:c r="H184" s="49"/>
      <x:c r="I184" s="49"/>
      <x:c r="J184" s="49"/>
      <x:c r="K184" s="49"/>
      <x:c r="L184" s="49"/>
      <x:c r="M184" s="49"/>
      <x:c r="N184" s="49"/>
      <x:c r="O184" s="49"/>
      <x:c r="P184" s="49"/>
      <x:c r="Q184" s="49"/>
      <x:c r="R184" s="49"/>
      <x:c r="S184" s="49"/>
      <x:c r="T184" s="49"/>
      <x:c r="U184" s="49"/>
      <x:c r="V184" s="49"/>
      <x:c r="W184" s="49"/>
      <x:c r="X184" s="49"/>
      <x:c r="Y184" s="49"/>
      <x:c r="Z184" s="49"/>
      <x:c r="AA184" s="49"/>
      <x:c r="AB184" s="49"/>
      <x:c r="AC184" s="49"/>
      <x:c r="AD184" s="49"/>
      <x:c r="AE184" s="49"/>
      <x:c r="AF184" s="49"/>
      <x:c r="AG184" s="49"/>
      <x:c r="AH184" s="49"/>
      <x:c r="AI184" s="49"/>
      <x:c r="AJ184" s="49"/>
      <x:c r="AK184" s="49"/>
      <x:c r="AL184" s="49"/>
      <x:c r="AM184" s="49"/>
      <x:c r="AN184" s="49"/>
      <x:c r="AO184" s="49"/>
      <x:c r="AP184" s="49"/>
      <x:c r="AQ184" s="49"/>
      <x:c r="AR184" s="49"/>
      <x:c r="AS184" s="49"/>
      <x:c r="AT184" s="49"/>
      <x:c r="AU184" s="49"/>
      <x:c r="AV184" s="49"/>
      <x:c r="AW184" s="49"/>
      <x:c r="AX184" s="49"/>
      <x:c r="AY184" s="49"/>
      <x:c r="AZ184" s="49"/>
    </x:row>
    <x:row r="185">
      <x:c r="A185" s="49"/>
      <x:c r="B185" s="49"/>
      <x:c r="C185" s="49"/>
      <x:c r="D185" s="49"/>
      <x:c r="E185" s="49"/>
      <x:c r="F185" s="49"/>
      <x:c r="G185" s="49"/>
      <x:c r="H185" s="49"/>
      <x:c r="I185" s="49"/>
      <x:c r="J185" s="49"/>
      <x:c r="K185" s="49"/>
      <x:c r="L185" s="49"/>
      <x:c r="M185" s="49"/>
      <x:c r="N185" s="49"/>
      <x:c r="O185" s="49"/>
      <x:c r="P185" s="49"/>
      <x:c r="Q185" s="49"/>
      <x:c r="R185" s="49"/>
      <x:c r="S185" s="49"/>
      <x:c r="T185" s="49"/>
      <x:c r="U185" s="49"/>
      <x:c r="V185" s="49"/>
      <x:c r="W185" s="49"/>
      <x:c r="X185" s="49"/>
      <x:c r="Y185" s="49"/>
      <x:c r="Z185" s="49"/>
      <x:c r="AA185" s="49"/>
      <x:c r="AB185" s="49"/>
      <x:c r="AC185" s="49"/>
      <x:c r="AD185" s="49"/>
      <x:c r="AE185" s="49"/>
      <x:c r="AF185" s="49"/>
      <x:c r="AG185" s="49"/>
      <x:c r="AH185" s="49"/>
      <x:c r="AI185" s="49"/>
      <x:c r="AJ185" s="49"/>
      <x:c r="AK185" s="49"/>
      <x:c r="AL185" s="49"/>
      <x:c r="AM185" s="49"/>
      <x:c r="AN185" s="49"/>
      <x:c r="AO185" s="49"/>
      <x:c r="AP185" s="49"/>
      <x:c r="AQ185" s="49"/>
      <x:c r="AR185" s="49"/>
      <x:c r="AS185" s="49"/>
      <x:c r="AT185" s="49"/>
      <x:c r="AU185" s="49"/>
      <x:c r="AV185" s="49"/>
      <x:c r="AW185" s="49"/>
      <x:c r="AX185" s="49"/>
      <x:c r="AY185" s="49"/>
      <x:c r="AZ185" s="49"/>
    </x:row>
    <x:row r="186">
      <x:c r="A186" s="49"/>
      <x:c r="B186" s="49"/>
      <x:c r="C186" s="49"/>
      <x:c r="D186" s="49"/>
      <x:c r="E186" s="49"/>
      <x:c r="F186" s="49"/>
      <x:c r="G186" s="49"/>
      <x:c r="H186" s="49"/>
      <x:c r="I186" s="49"/>
      <x:c r="J186" s="49"/>
      <x:c r="K186" s="49"/>
      <x:c r="L186" s="49"/>
      <x:c r="M186" s="49"/>
      <x:c r="N186" s="49"/>
      <x:c r="O186" s="49"/>
      <x:c r="P186" s="49"/>
      <x:c r="Q186" s="49"/>
      <x:c r="R186" s="49"/>
      <x:c r="S186" s="49"/>
      <x:c r="T186" s="49"/>
      <x:c r="U186" s="49"/>
      <x:c r="V186" s="49"/>
      <x:c r="W186" s="49"/>
      <x:c r="X186" s="49"/>
      <x:c r="Y186" s="49"/>
      <x:c r="Z186" s="49"/>
      <x:c r="AA186" s="49"/>
      <x:c r="AB186" s="49"/>
      <x:c r="AC186" s="49"/>
      <x:c r="AD186" s="49"/>
      <x:c r="AE186" s="49"/>
      <x:c r="AF186" s="49"/>
      <x:c r="AG186" s="49"/>
      <x:c r="AH186" s="49"/>
      <x:c r="AI186" s="49"/>
      <x:c r="AJ186" s="49"/>
      <x:c r="AK186" s="49"/>
      <x:c r="AL186" s="49"/>
      <x:c r="AM186" s="49"/>
      <x:c r="AN186" s="49"/>
      <x:c r="AO186" s="49"/>
      <x:c r="AP186" s="49"/>
      <x:c r="AQ186" s="49"/>
      <x:c r="AR186" s="49"/>
      <x:c r="AS186" s="49"/>
      <x:c r="AT186" s="49"/>
      <x:c r="AU186" s="49"/>
      <x:c r="AV186" s="49"/>
      <x:c r="AW186" s="49"/>
      <x:c r="AX186" s="49"/>
      <x:c r="AY186" s="49"/>
      <x:c r="AZ186" s="49"/>
    </x:row>
    <x:row r="187">
      <x:c r="A187" s="49"/>
      <x:c r="B187" s="49"/>
      <x:c r="C187" s="49"/>
      <x:c r="D187" s="49"/>
      <x:c r="E187" s="49"/>
      <x:c r="F187" s="49"/>
      <x:c r="G187" s="49"/>
      <x:c r="H187" s="49"/>
      <x:c r="I187" s="49"/>
      <x:c r="J187" s="49"/>
      <x:c r="K187" s="49"/>
      <x:c r="L187" s="49"/>
      <x:c r="M187" s="49"/>
      <x:c r="N187" s="49"/>
      <x:c r="O187" s="49"/>
      <x:c r="P187" s="49"/>
      <x:c r="Q187" s="49"/>
      <x:c r="R187" s="49"/>
      <x:c r="S187" s="49"/>
      <x:c r="T187" s="49"/>
      <x:c r="U187" s="49"/>
      <x:c r="V187" s="49"/>
      <x:c r="W187" s="49"/>
      <x:c r="X187" s="49"/>
      <x:c r="Y187" s="49"/>
      <x:c r="Z187" s="49"/>
      <x:c r="AA187" s="49"/>
      <x:c r="AB187" s="49"/>
      <x:c r="AC187" s="49"/>
      <x:c r="AD187" s="49"/>
      <x:c r="AE187" s="49"/>
      <x:c r="AF187" s="49"/>
      <x:c r="AG187" s="49"/>
      <x:c r="AH187" s="49"/>
      <x:c r="AI187" s="49"/>
      <x:c r="AJ187" s="49"/>
      <x:c r="AK187" s="49"/>
      <x:c r="AL187" s="49"/>
      <x:c r="AM187" s="49"/>
      <x:c r="AN187" s="49"/>
      <x:c r="AO187" s="49"/>
      <x:c r="AP187" s="49"/>
      <x:c r="AQ187" s="49"/>
      <x:c r="AR187" s="49"/>
      <x:c r="AS187" s="49"/>
      <x:c r="AT187" s="49"/>
      <x:c r="AU187" s="49"/>
      <x:c r="AV187" s="49"/>
      <x:c r="AW187" s="49"/>
      <x:c r="AX187" s="49"/>
      <x:c r="AY187" s="49"/>
      <x:c r="AZ187" s="49"/>
    </x:row>
    <x:row r="188">
      <x:c r="A188" s="49"/>
      <x:c r="B188" s="49"/>
      <x:c r="C188" s="49"/>
      <x:c r="D188" s="49"/>
      <x:c r="E188" s="49"/>
      <x:c r="F188" s="49"/>
      <x:c r="G188" s="49"/>
      <x:c r="H188" s="49"/>
      <x:c r="I188" s="49"/>
      <x:c r="J188" s="49"/>
      <x:c r="K188" s="49"/>
      <x:c r="L188" s="49"/>
      <x:c r="M188" s="49"/>
      <x:c r="N188" s="49"/>
      <x:c r="O188" s="49"/>
      <x:c r="P188" s="49"/>
      <x:c r="Q188" s="49"/>
      <x:c r="R188" s="49"/>
      <x:c r="S188" s="49"/>
      <x:c r="T188" s="49"/>
      <x:c r="U188" s="49"/>
      <x:c r="V188" s="49"/>
      <x:c r="W188" s="49"/>
      <x:c r="X188" s="49"/>
      <x:c r="Y188" s="49"/>
      <x:c r="Z188" s="49"/>
      <x:c r="AA188" s="49"/>
      <x:c r="AB188" s="49"/>
      <x:c r="AC188" s="49"/>
      <x:c r="AD188" s="49"/>
      <x:c r="AE188" s="49"/>
      <x:c r="AF188" s="49"/>
      <x:c r="AG188" s="49"/>
      <x:c r="AH188" s="49"/>
      <x:c r="AI188" s="49"/>
      <x:c r="AJ188" s="49"/>
      <x:c r="AK188" s="49"/>
      <x:c r="AL188" s="49"/>
      <x:c r="AM188" s="49"/>
      <x:c r="AN188" s="49"/>
      <x:c r="AO188" s="49"/>
      <x:c r="AP188" s="49"/>
      <x:c r="AQ188" s="49"/>
      <x:c r="AR188" s="49"/>
      <x:c r="AS188" s="49"/>
      <x:c r="AT188" s="49"/>
      <x:c r="AU188" s="49"/>
      <x:c r="AV188" s="49"/>
      <x:c r="AW188" s="49"/>
      <x:c r="AX188" s="49"/>
      <x:c r="AY188" s="49"/>
      <x:c r="AZ188" s="49"/>
    </x:row>
    <x:row r="189">
      <x:c r="A189" s="49"/>
      <x:c r="B189" s="49"/>
      <x:c r="C189" s="49"/>
      <x:c r="D189" s="49"/>
      <x:c r="E189" s="49"/>
      <x:c r="F189" s="49"/>
      <x:c r="G189" s="49"/>
      <x:c r="H189" s="49"/>
      <x:c r="I189" s="49"/>
      <x:c r="J189" s="49"/>
      <x:c r="K189" s="49"/>
      <x:c r="L189" s="49"/>
      <x:c r="M189" s="49"/>
      <x:c r="N189" s="49"/>
      <x:c r="O189" s="49"/>
      <x:c r="P189" s="49"/>
      <x:c r="Q189" s="49"/>
      <x:c r="R189" s="49"/>
      <x:c r="S189" s="49"/>
      <x:c r="T189" s="49"/>
      <x:c r="U189" s="49"/>
      <x:c r="V189" s="49"/>
      <x:c r="W189" s="49"/>
      <x:c r="X189" s="49"/>
      <x:c r="Y189" s="49"/>
      <x:c r="Z189" s="49"/>
      <x:c r="AA189" s="49"/>
      <x:c r="AB189" s="49"/>
      <x:c r="AC189" s="49"/>
      <x:c r="AD189" s="49"/>
      <x:c r="AE189" s="49"/>
      <x:c r="AF189" s="49"/>
      <x:c r="AG189" s="49"/>
      <x:c r="AH189" s="49"/>
      <x:c r="AI189" s="49"/>
      <x:c r="AJ189" s="49"/>
      <x:c r="AK189" s="49"/>
      <x:c r="AL189" s="49"/>
      <x:c r="AM189" s="49"/>
      <x:c r="AN189" s="49"/>
      <x:c r="AO189" s="49"/>
      <x:c r="AP189" s="49"/>
      <x:c r="AQ189" s="49"/>
      <x:c r="AR189" s="49"/>
      <x:c r="AS189" s="49"/>
      <x:c r="AT189" s="49"/>
      <x:c r="AU189" s="49"/>
      <x:c r="AV189" s="49"/>
      <x:c r="AW189" s="49"/>
      <x:c r="AX189" s="49"/>
      <x:c r="AY189" s="49"/>
      <x:c r="AZ189" s="49"/>
    </x:row>
    <x:row r="190">
      <x:c r="A190" s="49"/>
      <x:c r="B190" s="49"/>
      <x:c r="C190" s="49"/>
      <x:c r="D190" s="49"/>
      <x:c r="E190" s="49"/>
      <x:c r="F190" s="49"/>
      <x:c r="G190" s="49"/>
      <x:c r="H190" s="49"/>
      <x:c r="I190" s="49"/>
      <x:c r="J190" s="49"/>
      <x:c r="K190" s="49"/>
      <x:c r="L190" s="49"/>
      <x:c r="M190" s="49"/>
      <x:c r="N190" s="49"/>
      <x:c r="O190" s="49"/>
      <x:c r="P190" s="49"/>
      <x:c r="Q190" s="49"/>
      <x:c r="R190" s="49"/>
      <x:c r="S190" s="49"/>
      <x:c r="T190" s="49"/>
      <x:c r="U190" s="49"/>
      <x:c r="V190" s="49"/>
      <x:c r="W190" s="49"/>
      <x:c r="X190" s="49"/>
      <x:c r="Y190" s="49"/>
      <x:c r="Z190" s="49"/>
      <x:c r="AA190" s="49"/>
      <x:c r="AB190" s="49"/>
      <x:c r="AC190" s="49"/>
      <x:c r="AD190" s="49"/>
      <x:c r="AE190" s="49"/>
      <x:c r="AF190" s="49"/>
      <x:c r="AG190" s="49"/>
      <x:c r="AH190" s="49"/>
      <x:c r="AI190" s="49"/>
      <x:c r="AJ190" s="49"/>
      <x:c r="AK190" s="49"/>
      <x:c r="AL190" s="49"/>
      <x:c r="AM190" s="49"/>
      <x:c r="AN190" s="49"/>
      <x:c r="AO190" s="49"/>
      <x:c r="AP190" s="49"/>
      <x:c r="AQ190" s="49"/>
      <x:c r="AR190" s="49"/>
      <x:c r="AS190" s="49"/>
      <x:c r="AT190" s="49"/>
      <x:c r="AU190" s="49"/>
      <x:c r="AV190" s="49"/>
      <x:c r="AW190" s="49"/>
      <x:c r="AX190" s="49"/>
      <x:c r="AY190" s="49"/>
      <x:c r="AZ190" s="49"/>
    </x:row>
    <x:row r="191">
      <x:c r="A191" s="49"/>
      <x:c r="B191" s="49"/>
      <x:c r="C191" s="49"/>
      <x:c r="D191" s="49"/>
      <x:c r="E191" s="49"/>
      <x:c r="F191" s="49"/>
      <x:c r="G191" s="49"/>
      <x:c r="H191" s="49"/>
      <x:c r="I191" s="49"/>
      <x:c r="J191" s="49"/>
      <x:c r="K191" s="49"/>
      <x:c r="L191" s="49"/>
      <x:c r="M191" s="49"/>
      <x:c r="N191" s="49"/>
      <x:c r="O191" s="49"/>
      <x:c r="P191" s="49"/>
      <x:c r="Q191" s="49"/>
      <x:c r="R191" s="49"/>
      <x:c r="S191" s="49"/>
      <x:c r="T191" s="49"/>
      <x:c r="U191" s="49"/>
      <x:c r="V191" s="49"/>
      <x:c r="W191" s="49"/>
      <x:c r="X191" s="49"/>
      <x:c r="Y191" s="49"/>
      <x:c r="Z191" s="49"/>
      <x:c r="AA191" s="49"/>
      <x:c r="AB191" s="49"/>
      <x:c r="AC191" s="49"/>
      <x:c r="AD191" s="49"/>
      <x:c r="AE191" s="49"/>
      <x:c r="AF191" s="49"/>
      <x:c r="AG191" s="49"/>
      <x:c r="AH191" s="49"/>
      <x:c r="AI191" s="49"/>
      <x:c r="AJ191" s="49"/>
      <x:c r="AK191" s="49"/>
      <x:c r="AL191" s="49"/>
      <x:c r="AM191" s="49"/>
      <x:c r="AN191" s="49"/>
      <x:c r="AO191" s="49"/>
      <x:c r="AP191" s="49"/>
      <x:c r="AQ191" s="49"/>
      <x:c r="AR191" s="49"/>
      <x:c r="AS191" s="49"/>
      <x:c r="AT191" s="49"/>
      <x:c r="AU191" s="49"/>
      <x:c r="AV191" s="49"/>
      <x:c r="AW191" s="49"/>
      <x:c r="AX191" s="49"/>
      <x:c r="AY191" s="49"/>
      <x:c r="AZ191" s="49"/>
    </x:row>
    <x:row r="192">
      <x:c r="A192" s="49"/>
      <x:c r="B192" s="49"/>
      <x:c r="C192" s="49"/>
      <x:c r="D192" s="49"/>
      <x:c r="E192" s="49"/>
      <x:c r="F192" s="49"/>
      <x:c r="G192" s="49"/>
      <x:c r="H192" s="49"/>
      <x:c r="I192" s="49"/>
      <x:c r="J192" s="49"/>
      <x:c r="K192" s="49"/>
      <x:c r="L192" s="49"/>
      <x:c r="M192" s="49"/>
      <x:c r="N192" s="49"/>
      <x:c r="O192" s="49"/>
      <x:c r="P192" s="49"/>
      <x:c r="Q192" s="49"/>
      <x:c r="R192" s="49"/>
      <x:c r="S192" s="49"/>
      <x:c r="T192" s="49"/>
      <x:c r="U192" s="49"/>
      <x:c r="V192" s="49"/>
      <x:c r="W192" s="49"/>
      <x:c r="X192" s="49"/>
      <x:c r="Y192" s="49"/>
      <x:c r="Z192" s="49"/>
      <x:c r="AA192" s="49"/>
      <x:c r="AB192" s="49"/>
      <x:c r="AC192" s="49"/>
      <x:c r="AD192" s="49"/>
      <x:c r="AE192" s="49"/>
      <x:c r="AF192" s="49"/>
      <x:c r="AG192" s="49"/>
      <x:c r="AH192" s="49"/>
      <x:c r="AI192" s="49"/>
      <x:c r="AJ192" s="49"/>
      <x:c r="AK192" s="49"/>
      <x:c r="AL192" s="49"/>
      <x:c r="AM192" s="49"/>
      <x:c r="AN192" s="49"/>
      <x:c r="AO192" s="49"/>
      <x:c r="AP192" s="49"/>
      <x:c r="AQ192" s="49"/>
      <x:c r="AR192" s="49"/>
      <x:c r="AS192" s="49"/>
      <x:c r="AT192" s="49"/>
      <x:c r="AU192" s="49"/>
      <x:c r="AV192" s="49"/>
      <x:c r="AW192" s="49"/>
      <x:c r="AX192" s="49"/>
      <x:c r="AY192" s="49"/>
      <x:c r="AZ192" s="49"/>
    </x:row>
    <x:row r="193">
      <x:c r="A193" s="49"/>
      <x:c r="B193" s="49"/>
      <x:c r="C193" s="49"/>
      <x:c r="D193" s="49"/>
      <x:c r="E193" s="49"/>
      <x:c r="F193" s="49"/>
      <x:c r="G193" s="49"/>
      <x:c r="H193" s="49"/>
      <x:c r="I193" s="49"/>
      <x:c r="J193" s="49"/>
      <x:c r="K193" s="49"/>
      <x:c r="L193" s="49"/>
      <x:c r="M193" s="49"/>
      <x:c r="N193" s="49"/>
      <x:c r="O193" s="49"/>
      <x:c r="P193" s="49"/>
      <x:c r="Q193" s="49"/>
      <x:c r="R193" s="49"/>
      <x:c r="S193" s="49"/>
      <x:c r="T193" s="49"/>
      <x:c r="U193" s="49"/>
      <x:c r="V193" s="49"/>
      <x:c r="W193" s="49"/>
      <x:c r="X193" s="49"/>
      <x:c r="Y193" s="49"/>
      <x:c r="Z193" s="49"/>
      <x:c r="AA193" s="49"/>
      <x:c r="AB193" s="49"/>
      <x:c r="AC193" s="49"/>
      <x:c r="AD193" s="49"/>
      <x:c r="AE193" s="49"/>
      <x:c r="AF193" s="49"/>
      <x:c r="AG193" s="49"/>
      <x:c r="AH193" s="49"/>
      <x:c r="AI193" s="49"/>
      <x:c r="AJ193" s="49"/>
      <x:c r="AK193" s="49"/>
      <x:c r="AL193" s="49"/>
      <x:c r="AM193" s="49"/>
      <x:c r="AN193" s="49"/>
      <x:c r="AO193" s="49"/>
      <x:c r="AP193" s="49"/>
      <x:c r="AQ193" s="49"/>
      <x:c r="AR193" s="49"/>
      <x:c r="AS193" s="49"/>
      <x:c r="AT193" s="49"/>
      <x:c r="AU193" s="49"/>
      <x:c r="AV193" s="49"/>
      <x:c r="AW193" s="49"/>
      <x:c r="AX193" s="49"/>
      <x:c r="AY193" s="49"/>
      <x:c r="AZ193" s="49"/>
    </x:row>
    <x:row r="194">
      <x:c r="A194" s="49"/>
      <x:c r="B194" s="49"/>
      <x:c r="C194" s="49"/>
      <x:c r="D194" s="49"/>
      <x:c r="E194" s="49"/>
      <x:c r="F194" s="49"/>
      <x:c r="G194" s="49"/>
      <x:c r="H194" s="49"/>
      <x:c r="I194" s="49"/>
      <x:c r="J194" s="49"/>
      <x:c r="K194" s="49"/>
      <x:c r="L194" s="49"/>
      <x:c r="M194" s="49"/>
      <x:c r="N194" s="49"/>
      <x:c r="O194" s="49"/>
      <x:c r="P194" s="49"/>
      <x:c r="Q194" s="49"/>
      <x:c r="R194" s="49"/>
      <x:c r="S194" s="49"/>
      <x:c r="T194" s="49"/>
      <x:c r="U194" s="49"/>
      <x:c r="V194" s="49"/>
      <x:c r="W194" s="49"/>
      <x:c r="X194" s="49"/>
      <x:c r="Y194" s="49"/>
      <x:c r="Z194" s="49"/>
      <x:c r="AA194" s="49"/>
      <x:c r="AB194" s="49"/>
      <x:c r="AC194" s="49"/>
      <x:c r="AD194" s="49"/>
      <x:c r="AE194" s="49"/>
      <x:c r="AF194" s="49"/>
      <x:c r="AG194" s="49"/>
      <x:c r="AH194" s="49"/>
      <x:c r="AI194" s="49"/>
      <x:c r="AJ194" s="49"/>
      <x:c r="AK194" s="49"/>
      <x:c r="AL194" s="49"/>
      <x:c r="AM194" s="49"/>
      <x:c r="AN194" s="49"/>
      <x:c r="AO194" s="49"/>
      <x:c r="AP194" s="49"/>
      <x:c r="AQ194" s="49"/>
      <x:c r="AR194" s="49"/>
      <x:c r="AS194" s="49"/>
      <x:c r="AT194" s="49"/>
      <x:c r="AU194" s="49"/>
      <x:c r="AV194" s="49"/>
      <x:c r="AW194" s="49"/>
      <x:c r="AX194" s="49"/>
      <x:c r="AY194" s="49"/>
      <x:c r="AZ194" s="49"/>
    </x:row>
    <x:row r="195">
      <x:c r="A195" s="49"/>
      <x:c r="B195" s="49"/>
      <x:c r="C195" s="49"/>
      <x:c r="D195" s="49"/>
      <x:c r="E195" s="49"/>
      <x:c r="F195" s="49"/>
      <x:c r="G195" s="49"/>
      <x:c r="H195" s="49"/>
      <x:c r="I195" s="49"/>
      <x:c r="J195" s="49"/>
      <x:c r="K195" s="49"/>
      <x:c r="L195" s="49"/>
      <x:c r="M195" s="49"/>
      <x:c r="N195" s="49"/>
      <x:c r="O195" s="49"/>
      <x:c r="P195" s="49"/>
      <x:c r="Q195" s="49"/>
      <x:c r="R195" s="49"/>
      <x:c r="S195" s="49"/>
      <x:c r="T195" s="49"/>
      <x:c r="U195" s="49"/>
      <x:c r="V195" s="49"/>
      <x:c r="W195" s="49"/>
      <x:c r="X195" s="49"/>
      <x:c r="Y195" s="49"/>
      <x:c r="Z195" s="49"/>
      <x:c r="AA195" s="49"/>
      <x:c r="AB195" s="49"/>
      <x:c r="AC195" s="49"/>
      <x:c r="AD195" s="49"/>
      <x:c r="AE195" s="49"/>
      <x:c r="AF195" s="49"/>
      <x:c r="AG195" s="49"/>
      <x:c r="AH195" s="49"/>
      <x:c r="AI195" s="49"/>
      <x:c r="AJ195" s="49"/>
      <x:c r="AK195" s="49"/>
      <x:c r="AL195" s="49"/>
      <x:c r="AM195" s="49"/>
      <x:c r="AN195" s="49"/>
      <x:c r="AO195" s="49"/>
      <x:c r="AP195" s="49"/>
      <x:c r="AQ195" s="49"/>
      <x:c r="AR195" s="49"/>
      <x:c r="AS195" s="49"/>
      <x:c r="AT195" s="49"/>
      <x:c r="AU195" s="49"/>
      <x:c r="AV195" s="49"/>
      <x:c r="AW195" s="49"/>
      <x:c r="AX195" s="49"/>
      <x:c r="AY195" s="49"/>
      <x:c r="AZ195" s="49"/>
    </x:row>
    <x:row r="196">
      <x:c r="A196" s="49"/>
      <x:c r="B196" s="49"/>
      <x:c r="C196" s="49"/>
      <x:c r="D196" s="49"/>
      <x:c r="E196" s="49"/>
      <x:c r="F196" s="49"/>
      <x:c r="G196" s="49"/>
      <x:c r="H196" s="49"/>
      <x:c r="I196" s="49"/>
      <x:c r="J196" s="49"/>
      <x:c r="K196" s="49"/>
      <x:c r="L196" s="49"/>
      <x:c r="M196" s="49"/>
      <x:c r="N196" s="49"/>
      <x:c r="O196" s="49"/>
      <x:c r="P196" s="49"/>
      <x:c r="Q196" s="49"/>
      <x:c r="R196" s="49"/>
      <x:c r="S196" s="49"/>
      <x:c r="T196" s="49"/>
      <x:c r="U196" s="49"/>
      <x:c r="V196" s="49"/>
      <x:c r="W196" s="49"/>
      <x:c r="X196" s="49"/>
      <x:c r="Y196" s="49"/>
      <x:c r="Z196" s="49"/>
      <x:c r="AA196" s="49"/>
      <x:c r="AB196" s="49"/>
      <x:c r="AC196" s="49"/>
      <x:c r="AD196" s="49"/>
      <x:c r="AE196" s="49"/>
      <x:c r="AF196" s="49"/>
      <x:c r="AG196" s="49"/>
      <x:c r="AH196" s="49"/>
      <x:c r="AI196" s="49"/>
      <x:c r="AJ196" s="49"/>
      <x:c r="AK196" s="49"/>
      <x:c r="AL196" s="49"/>
      <x:c r="AM196" s="49"/>
      <x:c r="AN196" s="49"/>
      <x:c r="AO196" s="49"/>
      <x:c r="AP196" s="49"/>
      <x:c r="AQ196" s="49"/>
      <x:c r="AR196" s="49"/>
      <x:c r="AS196" s="49"/>
      <x:c r="AT196" s="49"/>
      <x:c r="AU196" s="49"/>
      <x:c r="AV196" s="49"/>
      <x:c r="AW196" s="49"/>
      <x:c r="AX196" s="49"/>
      <x:c r="AY196" s="49"/>
      <x:c r="AZ196" s="49"/>
    </x:row>
    <x:row r="197">
      <x:c r="A197" s="49"/>
      <x:c r="B197" s="49"/>
      <x:c r="C197" s="49"/>
      <x:c r="D197" s="49"/>
      <x:c r="E197" s="49"/>
      <x:c r="F197" s="49"/>
      <x:c r="G197" s="49"/>
      <x:c r="H197" s="49"/>
      <x:c r="I197" s="49"/>
      <x:c r="J197" s="49"/>
      <x:c r="K197" s="49"/>
      <x:c r="L197" s="49"/>
      <x:c r="M197" s="49"/>
      <x:c r="N197" s="49"/>
      <x:c r="O197" s="49"/>
      <x:c r="P197" s="49"/>
      <x:c r="Q197" s="49"/>
      <x:c r="R197" s="49"/>
      <x:c r="S197" s="49"/>
      <x:c r="T197" s="49"/>
      <x:c r="U197" s="49"/>
      <x:c r="V197" s="49"/>
      <x:c r="W197" s="49"/>
      <x:c r="X197" s="49"/>
      <x:c r="Y197" s="49"/>
      <x:c r="Z197" s="49"/>
      <x:c r="AA197" s="49"/>
      <x:c r="AB197" s="49"/>
      <x:c r="AC197" s="49"/>
      <x:c r="AD197" s="49"/>
      <x:c r="AE197" s="49"/>
      <x:c r="AF197" s="49"/>
      <x:c r="AG197" s="49"/>
      <x:c r="AH197" s="49"/>
      <x:c r="AI197" s="49"/>
      <x:c r="AJ197" s="49"/>
      <x:c r="AK197" s="49"/>
      <x:c r="AL197" s="49"/>
      <x:c r="AM197" s="49"/>
      <x:c r="AN197" s="49"/>
      <x:c r="AO197" s="49"/>
      <x:c r="AP197" s="49"/>
      <x:c r="AQ197" s="49"/>
      <x:c r="AR197" s="49"/>
      <x:c r="AS197" s="49"/>
      <x:c r="AT197" s="49"/>
      <x:c r="AU197" s="49"/>
      <x:c r="AV197" s="49"/>
      <x:c r="AW197" s="49"/>
      <x:c r="AX197" s="49"/>
      <x:c r="AY197" s="49"/>
      <x:c r="AZ197" s="49"/>
    </x:row>
    <x:row r="198">
      <x:c r="A198" s="49"/>
      <x:c r="B198" s="49"/>
      <x:c r="C198" s="49"/>
      <x:c r="D198" s="49"/>
      <x:c r="E198" s="49"/>
      <x:c r="F198" s="49"/>
      <x:c r="G198" s="49"/>
      <x:c r="H198" s="49"/>
      <x:c r="I198" s="49"/>
      <x:c r="J198" s="49"/>
      <x:c r="K198" s="49"/>
      <x:c r="L198" s="49"/>
      <x:c r="M198" s="49"/>
      <x:c r="N198" s="49"/>
      <x:c r="O198" s="49"/>
      <x:c r="P198" s="49"/>
      <x:c r="Q198" s="49"/>
      <x:c r="R198" s="49"/>
      <x:c r="S198" s="49"/>
      <x:c r="T198" s="49"/>
      <x:c r="U198" s="49"/>
      <x:c r="V198" s="49"/>
      <x:c r="W198" s="49"/>
      <x:c r="X198" s="49"/>
      <x:c r="Y198" s="49"/>
      <x:c r="Z198" s="49"/>
      <x:c r="AA198" s="49"/>
      <x:c r="AB198" s="49"/>
      <x:c r="AC198" s="49"/>
      <x:c r="AD198" s="49"/>
      <x:c r="AE198" s="49"/>
      <x:c r="AF198" s="49"/>
      <x:c r="AG198" s="49"/>
      <x:c r="AH198" s="49"/>
      <x:c r="AI198" s="49"/>
      <x:c r="AJ198" s="49"/>
      <x:c r="AK198" s="49"/>
      <x:c r="AL198" s="49"/>
      <x:c r="AM198" s="49"/>
      <x:c r="AN198" s="49"/>
      <x:c r="AO198" s="49"/>
      <x:c r="AP198" s="49"/>
      <x:c r="AQ198" s="49"/>
      <x:c r="AR198" s="49"/>
      <x:c r="AS198" s="49"/>
      <x:c r="AT198" s="49"/>
      <x:c r="AU198" s="49"/>
      <x:c r="AV198" s="49"/>
      <x:c r="AW198" s="49"/>
      <x:c r="AX198" s="49"/>
      <x:c r="AY198" s="49"/>
      <x:c r="AZ198" s="49"/>
    </x:row>
    <x:row r="199">
      <x:c r="A199" s="49"/>
      <x:c r="B199" s="49"/>
      <x:c r="C199" s="49"/>
      <x:c r="D199" s="49"/>
      <x:c r="E199" s="49"/>
      <x:c r="F199" s="49"/>
      <x:c r="G199" s="49"/>
      <x:c r="H199" s="49"/>
      <x:c r="I199" s="49"/>
      <x:c r="J199" s="49"/>
      <x:c r="K199" s="49"/>
      <x:c r="L199" s="49"/>
      <x:c r="M199" s="49"/>
      <x:c r="N199" s="49"/>
      <x:c r="O199" s="49"/>
      <x:c r="P199" s="49"/>
      <x:c r="Q199" s="49"/>
      <x:c r="R199" s="49"/>
      <x:c r="S199" s="49"/>
      <x:c r="T199" s="49"/>
      <x:c r="U199" s="49"/>
      <x:c r="V199" s="49"/>
      <x:c r="W199" s="49"/>
      <x:c r="X199" s="49"/>
      <x:c r="Y199" s="49"/>
      <x:c r="Z199" s="49"/>
      <x:c r="AA199" s="49"/>
      <x:c r="AB199" s="49"/>
      <x:c r="AC199" s="49"/>
      <x:c r="AD199" s="49"/>
      <x:c r="AE199" s="49"/>
      <x:c r="AF199" s="49"/>
      <x:c r="AG199" s="49"/>
      <x:c r="AH199" s="49"/>
      <x:c r="AI199" s="49"/>
      <x:c r="AJ199" s="49"/>
      <x:c r="AK199" s="49"/>
      <x:c r="AL199" s="49"/>
      <x:c r="AM199" s="49"/>
      <x:c r="AN199" s="49"/>
      <x:c r="AO199" s="49"/>
      <x:c r="AP199" s="49"/>
      <x:c r="AQ199" s="49"/>
      <x:c r="AR199" s="49"/>
      <x:c r="AS199" s="49"/>
      <x:c r="AT199" s="49"/>
      <x:c r="AU199" s="49"/>
      <x:c r="AV199" s="49"/>
      <x:c r="AW199" s="49"/>
      <x:c r="AX199" s="49"/>
      <x:c r="AY199" s="49"/>
      <x:c r="AZ199" s="49"/>
    </x:row>
    <x:row r="200">
      <x:c r="A200" s="49"/>
      <x:c r="B200" s="49"/>
      <x:c r="C200" s="49"/>
      <x:c r="D200" s="49"/>
      <x:c r="E200" s="49"/>
      <x:c r="F200" s="49"/>
      <x:c r="G200" s="49"/>
      <x:c r="H200" s="49"/>
      <x:c r="I200" s="49"/>
      <x:c r="J200" s="49"/>
      <x:c r="K200" s="49"/>
      <x:c r="L200" s="49"/>
      <x:c r="M200" s="49"/>
      <x:c r="N200" s="49"/>
      <x:c r="O200" s="49"/>
      <x:c r="P200" s="49"/>
      <x:c r="Q200" s="49"/>
      <x:c r="R200" s="49"/>
      <x:c r="S200" s="49"/>
      <x:c r="T200" s="49"/>
      <x:c r="U200" s="49"/>
      <x:c r="V200" s="49"/>
      <x:c r="W200" s="49"/>
      <x:c r="X200" s="49"/>
      <x:c r="Y200" s="49"/>
      <x:c r="Z200" s="49"/>
      <x:c r="AA200" s="49"/>
      <x:c r="AB200" s="49"/>
      <x:c r="AC200" s="49"/>
      <x:c r="AD200" s="49"/>
      <x:c r="AE200" s="49"/>
      <x:c r="AF200" s="49"/>
      <x:c r="AG200" s="49"/>
      <x:c r="AH200" s="49"/>
      <x:c r="AI200" s="49"/>
      <x:c r="AJ200" s="49"/>
      <x:c r="AK200" s="49"/>
      <x:c r="AL200" s="49"/>
      <x:c r="AM200" s="49"/>
      <x:c r="AN200" s="49"/>
      <x:c r="AO200" s="49"/>
      <x:c r="AP200" s="49"/>
      <x:c r="AQ200" s="49"/>
      <x:c r="AR200" s="49"/>
      <x:c r="AS200" s="49"/>
      <x:c r="AT200" s="49"/>
      <x:c r="AU200" s="49"/>
      <x:c r="AV200" s="49"/>
      <x:c r="AW200" s="49"/>
      <x:c r="AX200" s="49"/>
      <x:c r="AY200" s="49"/>
      <x:c r="AZ200" s="49"/>
    </x:row>
  </x:sheetData>
  <x:mergeCells>
    <x:mergeCell ref="A1:J1"/>
    <x:mergeCell ref="A2:J3"/>
    <x:mergeCell ref="A5:J5"/>
    <x:mergeCell ref="A12:J12"/>
    <x:mergeCell ref="A13:J16"/>
    <x:mergeCell ref="A18:J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45" hidden="0" customWidth="1"/>
    <x:col min="4" max="4" width="14" hidden="0" customWidth="1"/>
    <x:col min="6" max="6" width="19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34" hidden="0" customWidth="1"/>
  </x:cols>
  <x:sheetData>
    <x:row r="1" ht="28" customHeight="1">
      <x:c r="A1" s="226" t="str">
        <x:v>参数设置与控制</x:v>
      </x:c>
      <x:c r="B1" s="132"/>
      <x:c r="C1" s="132"/>
      <x:c r="D1" s="132"/>
      <x:c r="E1" s="132"/>
      <x:c r="F1" s="132"/>
      <x:c r="G1" s="132"/>
      <x:c r="H1" s="132"/>
      <x:c r="I1" s="132"/>
      <x:c r="J1" s="132"/>
      <x:c r="K1" s="132"/>
      <x:c r="L1" s="132"/>
      <x:c r="M1" s="49"/>
      <x:c r="N1" s="49"/>
      <x:c r="O1" s="49"/>
      <x:c r="P1" s="49"/>
      <x:c r="Q1" s="49"/>
      <x:c r="R1" s="49"/>
      <x:c r="S1" s="49"/>
      <x:c r="T1" s="49"/>
      <x:c r="U1" s="49"/>
      <x:c r="V1" s="49"/>
      <x:c r="W1" s="49"/>
      <x:c r="X1" s="49"/>
      <x:c r="Y1" s="49"/>
      <x:c r="Z1" s="49"/>
      <x:c r="AA1" s="49"/>
      <x:c r="AB1" s="49"/>
      <x:c r="AC1" s="49"/>
      <x:c r="AD1" s="49"/>
      <x:c r="AE1" s="49"/>
      <x:c r="AF1" s="49"/>
      <x:c r="AG1" s="49"/>
      <x:c r="AH1" s="49"/>
      <x:c r="AI1" s="49"/>
      <x:c r="AJ1" s="49"/>
      <x:c r="AK1" s="49"/>
      <x:c r="AL1" s="49"/>
      <x:c r="AM1" s="49"/>
      <x:c r="AN1" s="49"/>
      <x:c r="AO1" s="49"/>
      <x:c r="AP1" s="49"/>
      <x:c r="AQ1" s="49"/>
      <x:c r="AR1" s="49"/>
      <x:c r="AS1" s="49"/>
      <x:c r="AT1" s="49"/>
      <x:c r="AU1" s="49"/>
      <x:c r="AV1" s="49"/>
      <x:c r="AW1" s="49"/>
      <x:c r="AX1" s="49"/>
      <x:c r="AY1" s="49"/>
      <x:c r="AZ1" s="49"/>
    </x:row>
    <x:row r="2" ht="22" customHeight="1">
      <x:c r="A2" s="45" t="str">
        <x:v>黄色单元格可编辑；情景乘数由右侧情景表自动查找。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9"/>
      <x:c r="N2" s="49"/>
      <x:c r="O2" s="49"/>
      <x:c r="P2" s="49"/>
      <x:c r="Q2" s="49"/>
      <x:c r="R2" s="49"/>
      <x:c r="S2" s="49"/>
      <x:c r="T2" s="49"/>
      <x:c r="U2" s="49"/>
      <x:c r="V2" s="49"/>
      <x:c r="W2" s="49"/>
      <x:c r="X2" s="49"/>
      <x:c r="Y2" s="49"/>
      <x:c r="Z2" s="49"/>
      <x:c r="AA2" s="49"/>
      <x:c r="AB2" s="49"/>
      <x:c r="AC2" s="49"/>
      <x:c r="AD2" s="49"/>
      <x:c r="AE2" s="49"/>
      <x:c r="AF2" s="49"/>
      <x:c r="AG2" s="49"/>
      <x:c r="AH2" s="49"/>
      <x:c r="AI2" s="49"/>
      <x:c r="AJ2" s="49"/>
      <x:c r="AK2" s="49"/>
      <x:c r="AL2" s="49"/>
      <x:c r="AM2" s="49"/>
      <x:c r="AN2" s="49"/>
      <x:c r="AO2" s="49"/>
      <x:c r="AP2" s="49"/>
      <x:c r="AQ2" s="49"/>
      <x:c r="AR2" s="49"/>
      <x:c r="AS2" s="49"/>
      <x:c r="AT2" s="49"/>
      <x:c r="AU2" s="49"/>
      <x:c r="AV2" s="49"/>
      <x:c r="AW2" s="49"/>
      <x:c r="AX2" s="49"/>
      <x:c r="AY2" s="49"/>
      <x:c r="AZ2" s="49"/>
    </x:row>
    <x:row r="3" ht="22" customHeight="1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9"/>
      <x:c r="N3" s="49"/>
      <x:c r="O3" s="49"/>
      <x:c r="P3" s="49"/>
      <x:c r="Q3" s="49"/>
      <x:c r="R3" s="49"/>
      <x:c r="S3" s="49"/>
      <x:c r="T3" s="49"/>
      <x:c r="U3" s="49"/>
      <x:c r="V3" s="49"/>
      <x:c r="W3" s="49"/>
      <x:c r="X3" s="49"/>
      <x:c r="Y3" s="49"/>
      <x:c r="Z3" s="49"/>
      <x:c r="AA3" s="49"/>
      <x:c r="AB3" s="49"/>
      <x:c r="AC3" s="49"/>
      <x:c r="AD3" s="49"/>
      <x:c r="AE3" s="49"/>
      <x:c r="AF3" s="49"/>
      <x:c r="AG3" s="49"/>
      <x:c r="AH3" s="49"/>
      <x:c r="AI3" s="49"/>
      <x:c r="AJ3" s="49"/>
      <x:c r="AK3" s="49"/>
      <x:c r="AL3" s="49"/>
      <x:c r="AM3" s="49"/>
      <x:c r="AN3" s="49"/>
      <x:c r="AO3" s="49"/>
      <x:c r="AP3" s="49"/>
      <x:c r="AQ3" s="49"/>
      <x:c r="AR3" s="49"/>
      <x:c r="AS3" s="49"/>
      <x:c r="AT3" s="49"/>
      <x:c r="AU3" s="49"/>
      <x:c r="AV3" s="49"/>
      <x:c r="AW3" s="49"/>
      <x:c r="AX3" s="49"/>
      <x:c r="AY3" s="49"/>
      <x:c r="AZ3" s="49"/>
    </x:row>
    <x:row r="4">
      <x:c r="A4" s="49"/>
      <x:c r="B4" s="49"/>
      <x:c r="C4" s="49"/>
      <x:c r="D4" s="49"/>
      <x:c r="E4" s="49"/>
      <x:c r="F4" s="49"/>
      <x:c r="G4" s="49"/>
      <x:c r="H4" s="49"/>
      <x:c r="I4" s="49"/>
      <x:c r="J4" s="49"/>
      <x:c r="K4" s="49"/>
      <x:c r="L4" s="49"/>
      <x:c r="M4" s="49"/>
      <x:c r="N4" s="49"/>
      <x:c r="O4" s="49"/>
      <x:c r="P4" s="49"/>
      <x:c r="Q4" s="49"/>
      <x:c r="R4" s="49"/>
      <x:c r="S4" s="49"/>
      <x:c r="T4" s="49"/>
      <x:c r="U4" s="49"/>
      <x:c r="V4" s="49"/>
      <x:c r="W4" s="49"/>
      <x:c r="X4" s="49"/>
      <x:c r="Y4" s="49"/>
      <x:c r="Z4" s="49"/>
      <x:c r="AA4" s="49"/>
      <x:c r="AB4" s="49"/>
      <x:c r="AC4" s="49"/>
      <x:c r="AD4" s="49"/>
      <x:c r="AE4" s="49"/>
      <x:c r="AF4" s="49"/>
      <x:c r="AG4" s="49"/>
      <x:c r="AH4" s="49"/>
      <x:c r="AI4" s="49"/>
      <x:c r="AJ4" s="49"/>
      <x:c r="AK4" s="49"/>
      <x:c r="AL4" s="49"/>
      <x:c r="AM4" s="49"/>
      <x:c r="AN4" s="49"/>
      <x:c r="AO4" s="49"/>
      <x:c r="AP4" s="49"/>
      <x:c r="AQ4" s="49"/>
      <x:c r="AR4" s="49"/>
      <x:c r="AS4" s="49"/>
      <x:c r="AT4" s="49"/>
      <x:c r="AU4" s="49"/>
      <x:c r="AV4" s="49"/>
      <x:c r="AW4" s="49"/>
      <x:c r="AX4" s="49"/>
      <x:c r="AY4" s="49"/>
      <x:c r="AZ4" s="49"/>
    </x:row>
    <x:row r="5">
      <x:c r="A5" s="133" t="str">
        <x:v>主采购模型控制</x:v>
      </x:c>
      <x:c r="B5" s="133"/>
      <x:c r="C5" s="133"/>
      <x:c r="D5" s="133"/>
      <x:c r="E5" s="49"/>
      <x:c r="F5" s="144" t="str">
        <x:v>情景</x:v>
      </x:c>
      <x:c r="G5" s="144" t="str">
        <x:v>需求</x:v>
      </x:c>
      <x:c r="H5" s="144" t="str">
        <x:v>价格</x:v>
      </x:c>
      <x:c r="I5" s="144" t="str">
        <x:v>产能</x:v>
      </x:c>
      <x:c r="J5" s="144" t="str">
        <x:v>交期</x:v>
      </x:c>
      <x:c r="K5" s="144" t="str">
        <x:v>外币汇率</x:v>
      </x:c>
      <x:c r="L5" s="144" t="str">
        <x:v>说明</x:v>
      </x:c>
      <x:c r="M5" s="49"/>
      <x:c r="N5" s="49"/>
      <x:c r="O5" s="49"/>
      <x:c r="P5" s="49"/>
      <x:c r="Q5" s="49"/>
      <x:c r="R5" s="49"/>
      <x:c r="S5" s="49"/>
      <x:c r="T5" s="49"/>
      <x:c r="U5" s="49"/>
      <x:c r="V5" s="49"/>
      <x:c r="W5" s="49"/>
      <x:c r="X5" s="49"/>
      <x:c r="Y5" s="49"/>
      <x:c r="Z5" s="49"/>
      <x:c r="AA5" s="49"/>
      <x:c r="AB5" s="49"/>
      <x:c r="AC5" s="49"/>
      <x:c r="AD5" s="49"/>
      <x:c r="AE5" s="49"/>
      <x:c r="AF5" s="49"/>
      <x:c r="AG5" s="49"/>
      <x:c r="AH5" s="49"/>
      <x:c r="AI5" s="49"/>
      <x:c r="AJ5" s="49"/>
      <x:c r="AK5" s="49"/>
      <x:c r="AL5" s="49"/>
      <x:c r="AM5" s="49"/>
      <x:c r="AN5" s="49"/>
      <x:c r="AO5" s="49"/>
      <x:c r="AP5" s="49"/>
      <x:c r="AQ5" s="49"/>
      <x:c r="AR5" s="49"/>
      <x:c r="AS5" s="49"/>
      <x:c r="AT5" s="49"/>
      <x:c r="AU5" s="49"/>
      <x:c r="AV5" s="49"/>
      <x:c r="AW5" s="49"/>
      <x:c r="AX5" s="49"/>
      <x:c r="AY5" s="49"/>
      <x:c r="AZ5" s="49"/>
    </x:row>
    <x:row r="6">
      <x:c r="A6" s="48" t="str">
        <x:v>当前情景</x:v>
      </x:c>
      <x:c r="B6" s="156" t="str">
        <x:v>基准</x:v>
      </x:c>
      <x:c r="C6" s="49" t="str">
        <x:v>从 5 个预设压力情景中选择</x:v>
      </x:c>
      <x:c r="D6" s="49" t="str"/>
      <x:c r="E6" s="49"/>
      <x:c r="F6" s="49" t="str">
        <x:v>基准</x:v>
      </x:c>
      <x:c r="G6" s="157" t="n">
        <x:v>1</x:v>
      </x:c>
      <x:c r="H6" s="157" t="n">
        <x:v>1</x:v>
      </x:c>
      <x:c r="I6" s="157" t="n">
        <x:v>1</x:v>
      </x:c>
      <x:c r="J6" s="157" t="n">
        <x:v>1</x:v>
      </x:c>
      <x:c r="K6" s="157" t="n">
        <x:v>1</x:v>
      </x:c>
      <x:c r="L6" s="49" t="str">
        <x:v>计划基线</x:v>
      </x:c>
      <x:c r="M6" s="49"/>
      <x:c r="N6" s="49"/>
      <x:c r="O6" s="49"/>
      <x:c r="P6" s="49"/>
      <x:c r="Q6" s="49"/>
      <x:c r="R6" s="49"/>
      <x:c r="S6" s="49"/>
      <x:c r="T6" s="49"/>
      <x:c r="U6" s="49"/>
      <x:c r="V6" s="49"/>
      <x:c r="W6" s="49"/>
      <x:c r="X6" s="49"/>
      <x:c r="Y6" s="49"/>
      <x:c r="Z6" s="49"/>
      <x:c r="AA6" s="49"/>
      <x:c r="AB6" s="49"/>
      <x:c r="AC6" s="49"/>
      <x:c r="AD6" s="49"/>
      <x:c r="AE6" s="49"/>
      <x:c r="AF6" s="49"/>
      <x:c r="AG6" s="49"/>
      <x:c r="AH6" s="49"/>
      <x:c r="AI6" s="49"/>
      <x:c r="AJ6" s="49"/>
      <x:c r="AK6" s="49"/>
      <x:c r="AL6" s="49"/>
      <x:c r="AM6" s="49"/>
      <x:c r="AN6" s="49"/>
      <x:c r="AO6" s="49"/>
      <x:c r="AP6" s="49"/>
      <x:c r="AQ6" s="49"/>
      <x:c r="AR6" s="49"/>
      <x:c r="AS6" s="49"/>
      <x:c r="AT6" s="49"/>
      <x:c r="AU6" s="49"/>
      <x:c r="AV6" s="49"/>
      <x:c r="AW6" s="49"/>
      <x:c r="AX6" s="49"/>
      <x:c r="AY6" s="49"/>
      <x:c r="AZ6" s="49"/>
    </x:row>
    <x:row r="7">
      <x:c r="A7" s="48" t="str">
        <x:v>当前采购策略</x:v>
      </x:c>
      <x:c r="B7" s="156" t="str">
        <x:v>均衡</x:v>
      </x:c>
      <x:c r="C7" s="49" t="str">
        <x:v>最低成本 / 均衡 / 韧性优先</x:v>
      </x:c>
      <x:c r="D7" s="49" t="str"/>
      <x:c r="E7" s="49"/>
      <x:c r="F7" s="49" t="str">
        <x:v>需求上升</x:v>
      </x:c>
      <x:c r="G7" s="157" t="n">
        <x:v>1.2</x:v>
      </x:c>
      <x:c r="H7" s="157" t="n">
        <x:v>1</x:v>
      </x:c>
      <x:c r="I7" s="157" t="n">
        <x:v>1</x:v>
      </x:c>
      <x:c r="J7" s="157" t="n">
        <x:v>1</x:v>
      </x:c>
      <x:c r="K7" s="157" t="n">
        <x:v>1</x:v>
      </x:c>
      <x:c r="L7" s="49" t="str">
        <x:v>需求 +20%</x:v>
      </x:c>
      <x:c r="M7" s="49"/>
      <x:c r="N7" s="49"/>
      <x:c r="O7" s="49"/>
      <x:c r="P7" s="49"/>
      <x:c r="Q7" s="49"/>
      <x:c r="R7" s="49"/>
      <x:c r="S7" s="49"/>
      <x:c r="T7" s="49"/>
      <x:c r="U7" s="49"/>
      <x:c r="V7" s="49"/>
      <x:c r="W7" s="49"/>
      <x:c r="X7" s="49"/>
      <x:c r="Y7" s="49"/>
      <x:c r="Z7" s="49"/>
      <x:c r="AA7" s="49"/>
      <x:c r="AB7" s="49"/>
      <x:c r="AC7" s="49"/>
      <x:c r="AD7" s="49"/>
      <x:c r="AE7" s="49"/>
      <x:c r="AF7" s="49"/>
      <x:c r="AG7" s="49"/>
      <x:c r="AH7" s="49"/>
      <x:c r="AI7" s="49"/>
      <x:c r="AJ7" s="49"/>
      <x:c r="AK7" s="49"/>
      <x:c r="AL7" s="49"/>
      <x:c r="AM7" s="49"/>
      <x:c r="AN7" s="49"/>
      <x:c r="AO7" s="49"/>
      <x:c r="AP7" s="49"/>
      <x:c r="AQ7" s="49"/>
      <x:c r="AR7" s="49"/>
      <x:c r="AS7" s="49"/>
      <x:c r="AT7" s="49"/>
      <x:c r="AU7" s="49"/>
      <x:c r="AV7" s="49"/>
      <x:c r="AW7" s="49"/>
      <x:c r="AX7" s="49"/>
      <x:c r="AY7" s="49"/>
      <x:c r="AZ7" s="49"/>
    </x:row>
    <x:row r="8">
      <x:c r="A8" s="48" t="str">
        <x:v>需求乘数</x:v>
      </x:c>
      <x:c r="B8" s="158" t="n">
        <x:f>VLOOKUP(B6,$F$6:$K$10,2,FALSE)</x:f>
        <x:v>1</x:v>
      </x:c>
      <x:c r="C8" s="49" t="str">
        <x:v>由情景表查找</x:v>
      </x:c>
      <x:c r="D8" s="49" t="str"/>
      <x:c r="E8" s="49"/>
      <x:c r="F8" s="49" t="str">
        <x:v>成本压力</x:v>
      </x:c>
      <x:c r="G8" s="157" t="n">
        <x:v>1</x:v>
      </x:c>
      <x:c r="H8" s="157" t="n">
        <x:v>1.1</x:v>
      </x:c>
      <x:c r="I8" s="157" t="n">
        <x:v>1</x:v>
      </x:c>
      <x:c r="J8" s="157" t="n">
        <x:v>1</x:v>
      </x:c>
      <x:c r="K8" s="157" t="n">
        <x:v>1</x:v>
      </x:c>
      <x:c r="L8" s="49" t="str">
        <x:v>供应商价格 +10%</x:v>
      </x:c>
      <x:c r="M8" s="49"/>
      <x:c r="N8" s="49"/>
      <x:c r="O8" s="49"/>
      <x:c r="P8" s="49"/>
      <x:c r="Q8" s="49"/>
      <x:c r="R8" s="49"/>
      <x:c r="S8" s="49"/>
      <x:c r="T8" s="49"/>
      <x:c r="U8" s="49"/>
      <x:c r="V8" s="49"/>
      <x:c r="W8" s="49"/>
      <x:c r="X8" s="49"/>
      <x:c r="Y8" s="49"/>
      <x:c r="Z8" s="49"/>
      <x:c r="AA8" s="49"/>
      <x:c r="AB8" s="49"/>
      <x:c r="AC8" s="49"/>
      <x:c r="AD8" s="49"/>
      <x:c r="AE8" s="49"/>
      <x:c r="AF8" s="49"/>
      <x:c r="AG8" s="49"/>
      <x:c r="AH8" s="49"/>
      <x:c r="AI8" s="49"/>
      <x:c r="AJ8" s="49"/>
      <x:c r="AK8" s="49"/>
      <x:c r="AL8" s="49"/>
      <x:c r="AM8" s="49"/>
      <x:c r="AN8" s="49"/>
      <x:c r="AO8" s="49"/>
      <x:c r="AP8" s="49"/>
      <x:c r="AQ8" s="49"/>
      <x:c r="AR8" s="49"/>
      <x:c r="AS8" s="49"/>
      <x:c r="AT8" s="49"/>
      <x:c r="AU8" s="49"/>
      <x:c r="AV8" s="49"/>
      <x:c r="AW8" s="49"/>
      <x:c r="AX8" s="49"/>
      <x:c r="AY8" s="49"/>
      <x:c r="AZ8" s="49"/>
    </x:row>
    <x:row r="9">
      <x:c r="A9" s="48" t="str">
        <x:v>价格乘数</x:v>
      </x:c>
      <x:c r="B9" s="158" t="n">
        <x:f>VLOOKUP(B6,$F$6:$K$10,3,FALSE)</x:f>
        <x:v>1</x:v>
      </x:c>
      <x:c r="C9" s="49" t="str">
        <x:v>由情景表查找</x:v>
      </x:c>
      <x:c r="D9" s="49" t="str"/>
      <x:c r="E9" s="49"/>
      <x:c r="F9" s="49" t="str">
        <x:v>供应中断</x:v>
      </x:c>
      <x:c r="G9" s="157" t="n">
        <x:v>1</x:v>
      </x:c>
      <x:c r="H9" s="157" t="n">
        <x:v>1</x:v>
      </x:c>
      <x:c r="I9" s="157" t="n">
        <x:v>0.7</x:v>
      </x:c>
      <x:c r="J9" s="157" t="n">
        <x:v>1.25</x:v>
      </x:c>
      <x:c r="K9" s="157" t="n">
        <x:v>1</x:v>
      </x:c>
      <x:c r="L9" s="49" t="str">
        <x:v>产能 -30%；交期 +25%</x:v>
      </x:c>
      <x:c r="M9" s="49"/>
      <x:c r="N9" s="49"/>
      <x:c r="O9" s="49"/>
      <x:c r="P9" s="49"/>
      <x:c r="Q9" s="49"/>
      <x:c r="R9" s="49"/>
      <x:c r="S9" s="49"/>
      <x:c r="T9" s="49"/>
      <x:c r="U9" s="49"/>
      <x:c r="V9" s="49"/>
      <x:c r="W9" s="49"/>
      <x:c r="X9" s="49"/>
      <x:c r="Y9" s="49"/>
      <x:c r="Z9" s="49"/>
      <x:c r="AA9" s="49"/>
      <x:c r="AB9" s="49"/>
      <x:c r="AC9" s="49"/>
      <x:c r="AD9" s="49"/>
      <x:c r="AE9" s="49"/>
      <x:c r="AF9" s="49"/>
      <x:c r="AG9" s="49"/>
      <x:c r="AH9" s="49"/>
      <x:c r="AI9" s="49"/>
      <x:c r="AJ9" s="49"/>
      <x:c r="AK9" s="49"/>
      <x:c r="AL9" s="49"/>
      <x:c r="AM9" s="49"/>
      <x:c r="AN9" s="49"/>
      <x:c r="AO9" s="49"/>
      <x:c r="AP9" s="49"/>
      <x:c r="AQ9" s="49"/>
      <x:c r="AR9" s="49"/>
      <x:c r="AS9" s="49"/>
      <x:c r="AT9" s="49"/>
      <x:c r="AU9" s="49"/>
      <x:c r="AV9" s="49"/>
      <x:c r="AW9" s="49"/>
      <x:c r="AX9" s="49"/>
      <x:c r="AY9" s="49"/>
      <x:c r="AZ9" s="49"/>
    </x:row>
    <x:row r="10">
      <x:c r="A10" s="48" t="str">
        <x:v>产能乘数</x:v>
      </x:c>
      <x:c r="B10" s="158" t="n">
        <x:f>VLOOKUP(B6,$F$6:$K$10,4,FALSE)</x:f>
        <x:v>1</x:v>
      </x:c>
      <x:c r="C10" s="49" t="str">
        <x:v>由情景表查找</x:v>
      </x:c>
      <x:c r="D10" s="49" t="str"/>
      <x:c r="E10" s="49"/>
      <x:c r="F10" s="49" t="str">
        <x:v>汇率冲击</x:v>
      </x:c>
      <x:c r="G10" s="157" t="n">
        <x:v>1</x:v>
      </x:c>
      <x:c r="H10" s="157" t="n">
        <x:v>1</x:v>
      </x:c>
      <x:c r="I10" s="157" t="n">
        <x:v>1</x:v>
      </x:c>
      <x:c r="J10" s="157" t="n">
        <x:v>1</x:v>
      </x:c>
      <x:c r="K10" s="157" t="n">
        <x:v>1.08</x:v>
      </x:c>
      <x:c r="L10" s="49" t="str">
        <x:v>非 CNY 到岸成本 +8%</x:v>
      </x:c>
      <x:c r="M10" s="49"/>
      <x:c r="N10" s="49"/>
      <x:c r="O10" s="49"/>
      <x:c r="P10" s="49"/>
      <x:c r="Q10" s="49"/>
      <x:c r="R10" s="49"/>
      <x:c r="S10" s="49"/>
      <x:c r="T10" s="49"/>
      <x:c r="U10" s="49"/>
      <x:c r="V10" s="49"/>
      <x:c r="W10" s="49"/>
      <x:c r="X10" s="49"/>
      <x:c r="Y10" s="49"/>
      <x:c r="Z10" s="49"/>
      <x:c r="AA10" s="49"/>
      <x:c r="AB10" s="49"/>
      <x:c r="AC10" s="49"/>
      <x:c r="AD10" s="49"/>
      <x:c r="AE10" s="49"/>
      <x:c r="AF10" s="49"/>
      <x:c r="AG10" s="49"/>
      <x:c r="AH10" s="49"/>
      <x:c r="AI10" s="49"/>
      <x:c r="AJ10" s="49"/>
      <x:c r="AK10" s="49"/>
      <x:c r="AL10" s="49"/>
      <x:c r="AM10" s="49"/>
      <x:c r="AN10" s="49"/>
      <x:c r="AO10" s="49"/>
      <x:c r="AP10" s="49"/>
      <x:c r="AQ10" s="49"/>
      <x:c r="AR10" s="49"/>
      <x:c r="AS10" s="49"/>
      <x:c r="AT10" s="49"/>
      <x:c r="AU10" s="49"/>
      <x:c r="AV10" s="49"/>
      <x:c r="AW10" s="49"/>
      <x:c r="AX10" s="49"/>
      <x:c r="AY10" s="49"/>
      <x:c r="AZ10" s="49"/>
    </x:row>
    <x:row r="11">
      <x:c r="A11" s="48" t="str">
        <x:v>交期乘数</x:v>
      </x:c>
      <x:c r="B11" s="158" t="n">
        <x:f>VLOOKUP(B6,$F$6:$K$10,5,FALSE)</x:f>
        <x:v>1</x:v>
      </x:c>
      <x:c r="C11" s="49" t="str">
        <x:v>由情景表查找</x:v>
      </x:c>
      <x:c r="D11" s="49" t="str"/>
      <x:c r="E11" s="49"/>
      <x:c r="F11" s="49"/>
      <x:c r="G11" s="49"/>
      <x:c r="H11" s="49"/>
      <x:c r="I11" s="49"/>
      <x:c r="J11" s="49"/>
      <x:c r="K11" s="49"/>
      <x:c r="L11" s="49"/>
      <x:c r="M11" s="49"/>
      <x:c r="N11" s="49"/>
      <x:c r="O11" s="49"/>
      <x:c r="P11" s="49"/>
      <x:c r="Q11" s="49"/>
      <x:c r="R11" s="49"/>
      <x:c r="S11" s="49"/>
      <x:c r="T11" s="49"/>
      <x:c r="U11" s="49"/>
      <x:c r="V11" s="49"/>
      <x:c r="W11" s="49"/>
      <x:c r="X11" s="49"/>
      <x:c r="Y11" s="49"/>
      <x:c r="Z11" s="49"/>
      <x:c r="AA11" s="49"/>
      <x:c r="AB11" s="49"/>
      <x:c r="AC11" s="49"/>
      <x:c r="AD11" s="49"/>
      <x:c r="AE11" s="49"/>
      <x:c r="AF11" s="49"/>
      <x:c r="AG11" s="49"/>
      <x:c r="AH11" s="49"/>
      <x:c r="AI11" s="49"/>
      <x:c r="AJ11" s="49"/>
      <x:c r="AK11" s="49"/>
      <x:c r="AL11" s="49"/>
      <x:c r="AM11" s="49"/>
      <x:c r="AN11" s="49"/>
      <x:c r="AO11" s="49"/>
      <x:c r="AP11" s="49"/>
      <x:c r="AQ11" s="49"/>
      <x:c r="AR11" s="49"/>
      <x:c r="AS11" s="49"/>
      <x:c r="AT11" s="49"/>
      <x:c r="AU11" s="49"/>
      <x:c r="AV11" s="49"/>
      <x:c r="AW11" s="49"/>
      <x:c r="AX11" s="49"/>
      <x:c r="AY11" s="49"/>
      <x:c r="AZ11" s="49"/>
    </x:row>
    <x:row r="12">
      <x:c r="A12" s="48" t="str">
        <x:v>外币汇率乘数</x:v>
      </x:c>
      <x:c r="B12" s="158" t="n">
        <x:f>VLOOKUP(B6,$F$6:$K$10,6,FALSE)</x:f>
        <x:v>1</x:v>
      </x:c>
      <x:c r="C12" s="49" t="str">
        <x:v>仅作用于非 CNY 供应商</x:v>
      </x:c>
      <x:c r="D12" s="49" t="str"/>
      <x:c r="E12" s="49"/>
      <x:c r="F12" s="49"/>
      <x:c r="G12" s="49"/>
      <x:c r="H12" s="49"/>
      <x:c r="I12" s="49"/>
      <x:c r="J12" s="49"/>
      <x:c r="K12" s="49"/>
      <x:c r="L12" s="49"/>
      <x:c r="M12" s="49"/>
      <x:c r="N12" s="49"/>
      <x:c r="O12" s="49"/>
      <x:c r="P12" s="49"/>
      <x:c r="Q12" s="49"/>
      <x:c r="R12" s="49"/>
      <x:c r="S12" s="49"/>
      <x:c r="T12" s="49"/>
      <x:c r="U12" s="49"/>
      <x:c r="V12" s="49"/>
      <x:c r="W12" s="49"/>
      <x:c r="X12" s="49"/>
      <x:c r="Y12" s="49"/>
      <x:c r="Z12" s="49"/>
      <x:c r="AA12" s="49"/>
      <x:c r="AB12" s="49"/>
      <x:c r="AC12" s="49"/>
      <x:c r="AD12" s="49"/>
      <x:c r="AE12" s="49"/>
      <x:c r="AF12" s="49"/>
      <x:c r="AG12" s="49"/>
      <x:c r="AH12" s="49"/>
      <x:c r="AI12" s="49"/>
      <x:c r="AJ12" s="49"/>
      <x:c r="AK12" s="49"/>
      <x:c r="AL12" s="49"/>
      <x:c r="AM12" s="49"/>
      <x:c r="AN12" s="49"/>
      <x:c r="AO12" s="49"/>
      <x:c r="AP12" s="49"/>
      <x:c r="AQ12" s="49"/>
      <x:c r="AR12" s="49"/>
      <x:c r="AS12" s="49"/>
      <x:c r="AT12" s="49"/>
      <x:c r="AU12" s="49"/>
      <x:c r="AV12" s="49"/>
      <x:c r="AW12" s="49"/>
      <x:c r="AX12" s="49"/>
      <x:c r="AY12" s="49"/>
      <x:c r="AZ12" s="49"/>
    </x:row>
    <x:row r="13">
      <x:c r="A13" s="49"/>
      <x:c r="B13" s="49"/>
      <x:c r="C13" s="49"/>
      <x:c r="D13" s="49"/>
      <x:c r="E13" s="49"/>
      <x:c r="F13" s="133" t="str">
        <x:v>人民币基准汇率（可编辑）</x:v>
      </x:c>
      <x:c r="G13" s="133"/>
      <x:c r="H13" s="133"/>
      <x:c r="I13" s="133"/>
      <x:c r="J13" s="49"/>
      <x:c r="K13" s="49"/>
      <x:c r="L13" s="49"/>
      <x:c r="M13" s="49"/>
      <x:c r="N13" s="49"/>
      <x:c r="O13" s="49"/>
      <x:c r="P13" s="49"/>
      <x:c r="Q13" s="49"/>
      <x:c r="R13" s="49"/>
      <x:c r="S13" s="49"/>
      <x:c r="T13" s="49"/>
      <x:c r="U13" s="49"/>
      <x:c r="V13" s="49"/>
      <x:c r="W13" s="49"/>
      <x:c r="X13" s="49"/>
      <x:c r="Y13" s="49"/>
      <x:c r="Z13" s="49"/>
      <x:c r="AA13" s="49"/>
      <x:c r="AB13" s="49"/>
      <x:c r="AC13" s="49"/>
      <x:c r="AD13" s="49"/>
      <x:c r="AE13" s="49"/>
      <x:c r="AF13" s="49"/>
      <x:c r="AG13" s="49"/>
      <x:c r="AH13" s="49"/>
      <x:c r="AI13" s="49"/>
      <x:c r="AJ13" s="49"/>
      <x:c r="AK13" s="49"/>
      <x:c r="AL13" s="49"/>
      <x:c r="AM13" s="49"/>
      <x:c r="AN13" s="49"/>
      <x:c r="AO13" s="49"/>
      <x:c r="AP13" s="49"/>
      <x:c r="AQ13" s="49"/>
      <x:c r="AR13" s="49"/>
      <x:c r="AS13" s="49"/>
      <x:c r="AT13" s="49"/>
      <x:c r="AU13" s="49"/>
      <x:c r="AV13" s="49"/>
      <x:c r="AW13" s="49"/>
      <x:c r="AX13" s="49"/>
      <x:c r="AY13" s="49"/>
      <x:c r="AZ13" s="49"/>
    </x:row>
    <x:row r="14">
      <x:c r="A14" s="133" t="str">
        <x:v>采购策略逻辑</x:v>
      </x:c>
      <x:c r="B14" s="133"/>
      <x:c r="C14" s="133"/>
      <x:c r="D14" s="133"/>
      <x:c r="E14" s="49"/>
      <x:c r="F14" s="144" t="str">
        <x:v>币种</x:v>
      </x:c>
      <x:c r="G14" s="144" t="str">
        <x:v>折算为 CNY</x:v>
      </x:c>
      <x:c r="H14" s="144" t="str">
        <x:v>类型</x:v>
      </x:c>
      <x:c r="I14" s="144" t="str">
        <x:v>说明</x:v>
      </x:c>
      <x:c r="J14" s="49"/>
      <x:c r="K14" s="49"/>
      <x:c r="L14" s="49"/>
      <x:c r="M14" s="49"/>
      <x:c r="N14" s="49"/>
      <x:c r="O14" s="49"/>
      <x:c r="P14" s="49"/>
      <x:c r="Q14" s="49"/>
      <x:c r="R14" s="49"/>
      <x:c r="S14" s="49"/>
      <x:c r="T14" s="49"/>
      <x:c r="U14" s="49"/>
      <x:c r="V14" s="49"/>
      <x:c r="W14" s="49"/>
      <x:c r="X14" s="49"/>
      <x:c r="Y14" s="49"/>
      <x:c r="Z14" s="49"/>
      <x:c r="AA14" s="49"/>
      <x:c r="AB14" s="49"/>
      <x:c r="AC14" s="49"/>
      <x:c r="AD14" s="49"/>
      <x:c r="AE14" s="49"/>
      <x:c r="AF14" s="49"/>
      <x:c r="AG14" s="49"/>
      <x:c r="AH14" s="49"/>
      <x:c r="AI14" s="49"/>
      <x:c r="AJ14" s="49"/>
      <x:c r="AK14" s="49"/>
      <x:c r="AL14" s="49"/>
      <x:c r="AM14" s="49"/>
      <x:c r="AN14" s="49"/>
      <x:c r="AO14" s="49"/>
      <x:c r="AP14" s="49"/>
      <x:c r="AQ14" s="49"/>
      <x:c r="AR14" s="49"/>
      <x:c r="AS14" s="49"/>
      <x:c r="AT14" s="49"/>
      <x:c r="AU14" s="49"/>
      <x:c r="AV14" s="49"/>
      <x:c r="AW14" s="49"/>
      <x:c r="AX14" s="49"/>
      <x:c r="AY14" s="49"/>
      <x:c r="AZ14" s="49"/>
    </x:row>
    <x:row r="15">
      <x:c r="A15" s="48" t="str">
        <x:v>最低成本</x:v>
      </x:c>
      <x:c r="B15" s="49" t="str">
        <x:v>排名第 1 目标份额</x:v>
      </x:c>
      <x:c r="C15" s="49" t="str">
        <x:v>100%</x:v>
      </x:c>
      <x:c r="D15" s="49" t="str">
        <x:v>优先调整后到岸成本</x:v>
      </x:c>
      <x:c r="E15" s="49"/>
      <x:c r="F15" s="49" t="str">
        <x:v>CNY</x:v>
      </x:c>
      <x:c r="G15" s="159" t="n">
        <x:v>1</x:v>
      </x:c>
      <x:c r="H15" s="49" t="str">
        <x:v>国内</x:v>
      </x:c>
      <x:c r="I15" s="49" t="str">
        <x:v>模拟模型基准</x:v>
      </x:c>
      <x:c r="J15" s="49"/>
      <x:c r="K15" s="49"/>
      <x:c r="L15" s="49"/>
      <x:c r="M15" s="49"/>
      <x:c r="N15" s="49"/>
      <x:c r="O15" s="49"/>
      <x:c r="P15" s="49"/>
      <x:c r="Q15" s="49"/>
      <x:c r="R15" s="49"/>
      <x:c r="S15" s="49"/>
      <x:c r="T15" s="49"/>
      <x:c r="U15" s="49"/>
      <x:c r="V15" s="49"/>
      <x:c r="W15" s="49"/>
      <x:c r="X15" s="49"/>
      <x:c r="Y15" s="49"/>
      <x:c r="Z15" s="49"/>
      <x:c r="AA15" s="49"/>
      <x:c r="AB15" s="49"/>
      <x:c r="AC15" s="49"/>
      <x:c r="AD15" s="49"/>
      <x:c r="AE15" s="49"/>
      <x:c r="AF15" s="49"/>
      <x:c r="AG15" s="49"/>
      <x:c r="AH15" s="49"/>
      <x:c r="AI15" s="49"/>
      <x:c r="AJ15" s="49"/>
      <x:c r="AK15" s="49"/>
      <x:c r="AL15" s="49"/>
      <x:c r="AM15" s="49"/>
      <x:c r="AN15" s="49"/>
      <x:c r="AO15" s="49"/>
      <x:c r="AP15" s="49"/>
      <x:c r="AQ15" s="49"/>
      <x:c r="AR15" s="49"/>
      <x:c r="AS15" s="49"/>
      <x:c r="AT15" s="49"/>
      <x:c r="AU15" s="49"/>
      <x:c r="AV15" s="49"/>
      <x:c r="AW15" s="49"/>
      <x:c r="AX15" s="49"/>
      <x:c r="AY15" s="49"/>
      <x:c r="AZ15" s="49"/>
    </x:row>
    <x:row r="16">
      <x:c r="A16" s="48" t="str">
        <x:v>均衡</x:v>
      </x:c>
      <x:c r="B16" s="49" t="str">
        <x:v>排名第 1 / 2 目标份额</x:v>
      </x:c>
      <x:c r="C16" s="49" t="str">
        <x:v>75% / 25%</x:v>
      </x:c>
      <x:c r="D16" s="49" t="str">
        <x:v>55% 成本指数 + 45% 供应风险</x:v>
      </x:c>
      <x:c r="E16" s="49"/>
      <x:c r="F16" s="49" t="str">
        <x:v>JPY</x:v>
      </x:c>
      <x:c r="G16" s="159" t="n">
        <x:v>0.049</x:v>
      </x:c>
      <x:c r="H16" s="49" t="str">
        <x:v>外币</x:v>
      </x:c>
      <x:c r="I16" s="49" t="str">
        <x:v>可编辑假设</x:v>
      </x:c>
      <x:c r="J16" s="49"/>
      <x:c r="K16" s="49"/>
      <x:c r="L16" s="49"/>
      <x:c r="M16" s="49"/>
      <x:c r="N16" s="49"/>
      <x:c r="O16" s="49"/>
      <x:c r="P16" s="49"/>
      <x:c r="Q16" s="49"/>
      <x:c r="R16" s="49"/>
      <x:c r="S16" s="49"/>
      <x:c r="T16" s="49"/>
      <x:c r="U16" s="49"/>
      <x:c r="V16" s="49"/>
      <x:c r="W16" s="49"/>
      <x:c r="X16" s="49"/>
      <x:c r="Y16" s="49"/>
      <x:c r="Z16" s="49"/>
      <x:c r="AA16" s="49"/>
      <x:c r="AB16" s="49"/>
      <x:c r="AC16" s="49"/>
      <x:c r="AD16" s="49"/>
      <x:c r="AE16" s="49"/>
      <x:c r="AF16" s="49"/>
      <x:c r="AG16" s="49"/>
      <x:c r="AH16" s="49"/>
      <x:c r="AI16" s="49"/>
      <x:c r="AJ16" s="49"/>
      <x:c r="AK16" s="49"/>
      <x:c r="AL16" s="49"/>
      <x:c r="AM16" s="49"/>
      <x:c r="AN16" s="49"/>
      <x:c r="AO16" s="49"/>
      <x:c r="AP16" s="49"/>
      <x:c r="AQ16" s="49"/>
      <x:c r="AR16" s="49"/>
      <x:c r="AS16" s="49"/>
      <x:c r="AT16" s="49"/>
      <x:c r="AU16" s="49"/>
      <x:c r="AV16" s="49"/>
      <x:c r="AW16" s="49"/>
      <x:c r="AX16" s="49"/>
      <x:c r="AY16" s="49"/>
      <x:c r="AZ16" s="49"/>
    </x:row>
    <x:row r="17">
      <x:c r="A17" s="48" t="str">
        <x:v>韧性优先</x:v>
      </x:c>
      <x:c r="B17" s="49" t="str">
        <x:v>排名第 1 / 2 / 3 目标份额</x:v>
      </x:c>
      <x:c r="C17" s="49" t="str">
        <x:v>60% / 30% / 10%</x:v>
      </x:c>
      <x:c r="D17" s="49" t="str">
        <x:v>30% 成本指数 + 70% 供应风险</x:v>
      </x:c>
      <x:c r="E17" s="49"/>
      <x:c r="F17" s="49" t="str">
        <x:v>KRW</x:v>
      </x:c>
      <x:c r="G17" s="159" t="n">
        <x:v>0.0052</x:v>
      </x:c>
      <x:c r="H17" s="49" t="str">
        <x:v>外币</x:v>
      </x:c>
      <x:c r="I17" s="49" t="str">
        <x:v>可编辑假设</x:v>
      </x:c>
      <x:c r="J17" s="49"/>
      <x:c r="K17" s="49"/>
      <x:c r="L17" s="49"/>
      <x:c r="M17" s="49"/>
      <x:c r="N17" s="49"/>
      <x:c r="O17" s="49"/>
      <x:c r="P17" s="49"/>
      <x:c r="Q17" s="49"/>
      <x:c r="R17" s="49"/>
      <x:c r="S17" s="49"/>
      <x:c r="T17" s="49"/>
      <x:c r="U17" s="49"/>
      <x:c r="V17" s="49"/>
      <x:c r="W17" s="49"/>
      <x:c r="X17" s="49"/>
      <x:c r="Y17" s="49"/>
      <x:c r="Z17" s="49"/>
      <x:c r="AA17" s="49"/>
      <x:c r="AB17" s="49"/>
      <x:c r="AC17" s="49"/>
      <x:c r="AD17" s="49"/>
      <x:c r="AE17" s="49"/>
      <x:c r="AF17" s="49"/>
      <x:c r="AG17" s="49"/>
      <x:c r="AH17" s="49"/>
      <x:c r="AI17" s="49"/>
      <x:c r="AJ17" s="49"/>
      <x:c r="AK17" s="49"/>
      <x:c r="AL17" s="49"/>
      <x:c r="AM17" s="49"/>
      <x:c r="AN17" s="49"/>
      <x:c r="AO17" s="49"/>
      <x:c r="AP17" s="49"/>
      <x:c r="AQ17" s="49"/>
      <x:c r="AR17" s="49"/>
      <x:c r="AS17" s="49"/>
      <x:c r="AT17" s="49"/>
      <x:c r="AU17" s="49"/>
      <x:c r="AV17" s="49"/>
      <x:c r="AW17" s="49"/>
      <x:c r="AX17" s="49"/>
      <x:c r="AY17" s="49"/>
      <x:c r="AZ17" s="49"/>
    </x:row>
    <x:row r="18">
      <x:c r="A18" s="49"/>
      <x:c r="B18" s="49"/>
      <x:c r="C18" s="49"/>
      <x:c r="D18" s="49"/>
      <x:c r="E18" s="49"/>
      <x:c r="F18" s="49" t="str">
        <x:v>SGD</x:v>
      </x:c>
      <x:c r="G18" s="159" t="n">
        <x:v>5.35</x:v>
      </x:c>
      <x:c r="H18" s="49" t="str">
        <x:v>外币</x:v>
      </x:c>
      <x:c r="I18" s="49" t="str">
        <x:v>可编辑假设</x:v>
      </x:c>
      <x:c r="J18" s="49"/>
      <x:c r="K18" s="49"/>
      <x:c r="L18" s="49"/>
      <x:c r="M18" s="49"/>
      <x:c r="N18" s="49"/>
      <x:c r="O18" s="49"/>
      <x:c r="P18" s="49"/>
      <x:c r="Q18" s="49"/>
      <x:c r="R18" s="49"/>
      <x:c r="S18" s="49"/>
      <x:c r="T18" s="49"/>
      <x:c r="U18" s="49"/>
      <x:c r="V18" s="49"/>
      <x:c r="W18" s="49"/>
      <x:c r="X18" s="49"/>
      <x:c r="Y18" s="49"/>
      <x:c r="Z18" s="49"/>
      <x:c r="AA18" s="49"/>
      <x:c r="AB18" s="49"/>
      <x:c r="AC18" s="49"/>
      <x:c r="AD18" s="49"/>
      <x:c r="AE18" s="49"/>
      <x:c r="AF18" s="49"/>
      <x:c r="AG18" s="49"/>
      <x:c r="AH18" s="49"/>
      <x:c r="AI18" s="49"/>
      <x:c r="AJ18" s="49"/>
      <x:c r="AK18" s="49"/>
      <x:c r="AL18" s="49"/>
      <x:c r="AM18" s="49"/>
      <x:c r="AN18" s="49"/>
      <x:c r="AO18" s="49"/>
      <x:c r="AP18" s="49"/>
      <x:c r="AQ18" s="49"/>
      <x:c r="AR18" s="49"/>
      <x:c r="AS18" s="49"/>
      <x:c r="AT18" s="49"/>
      <x:c r="AU18" s="49"/>
      <x:c r="AV18" s="49"/>
      <x:c r="AW18" s="49"/>
      <x:c r="AX18" s="49"/>
      <x:c r="AY18" s="49"/>
      <x:c r="AZ18" s="49"/>
    </x:row>
    <x:row r="19">
      <x:c r="A19" s="49"/>
      <x:c r="B19" s="49"/>
      <x:c r="C19" s="49"/>
      <x:c r="D19" s="49"/>
      <x:c r="E19" s="49"/>
      <x:c r="F19" s="49" t="str">
        <x:v>USD</x:v>
      </x:c>
      <x:c r="G19" s="159" t="n">
        <x:v>7.15</x:v>
      </x:c>
      <x:c r="H19" s="49" t="str">
        <x:v>外币</x:v>
      </x:c>
      <x:c r="I19" s="49" t="str">
        <x:v>可编辑假设</x:v>
      </x:c>
      <x:c r="J19" s="49"/>
      <x:c r="K19" s="49"/>
      <x:c r="L19" s="49"/>
      <x:c r="M19" s="49"/>
      <x:c r="N19" s="49"/>
      <x:c r="O19" s="49"/>
      <x:c r="P19" s="49"/>
      <x:c r="Q19" s="49"/>
      <x:c r="R19" s="49"/>
      <x:c r="S19" s="49"/>
      <x:c r="T19" s="49"/>
      <x:c r="U19" s="49"/>
      <x:c r="V19" s="49"/>
      <x:c r="W19" s="49"/>
      <x:c r="X19" s="49"/>
      <x:c r="Y19" s="49"/>
      <x:c r="Z19" s="49"/>
      <x:c r="AA19" s="49"/>
      <x:c r="AB19" s="49"/>
      <x:c r="AC19" s="49"/>
      <x:c r="AD19" s="49"/>
      <x:c r="AE19" s="49"/>
      <x:c r="AF19" s="49"/>
      <x:c r="AG19" s="49"/>
      <x:c r="AH19" s="49"/>
      <x:c r="AI19" s="49"/>
      <x:c r="AJ19" s="49"/>
      <x:c r="AK19" s="49"/>
      <x:c r="AL19" s="49"/>
      <x:c r="AM19" s="49"/>
      <x:c r="AN19" s="49"/>
      <x:c r="AO19" s="49"/>
      <x:c r="AP19" s="49"/>
      <x:c r="AQ19" s="49"/>
      <x:c r="AR19" s="49"/>
      <x:c r="AS19" s="49"/>
      <x:c r="AT19" s="49"/>
      <x:c r="AU19" s="49"/>
      <x:c r="AV19" s="49"/>
      <x:c r="AW19" s="49"/>
      <x:c r="AX19" s="49"/>
      <x:c r="AY19" s="49"/>
      <x:c r="AZ19" s="49"/>
    </x:row>
    <x:row r="20">
      <x:c r="A20" s="133" t="str">
        <x:v>EDA/IP 扩展控制</x:v>
      </x:c>
      <x:c r="B20" s="133"/>
      <x:c r="C20" s="133"/>
      <x:c r="D20" s="133"/>
      <x:c r="E20" s="49"/>
      <x:c r="F20" s="49" t="str">
        <x:v>EUR</x:v>
      </x:c>
      <x:c r="G20" s="159" t="n">
        <x:v>7.75</x:v>
      </x:c>
      <x:c r="H20" s="49" t="str">
        <x:v>外币</x:v>
      </x:c>
      <x:c r="I20" s="49" t="str">
        <x:v>可编辑假设</x:v>
      </x:c>
      <x:c r="J20" s="49"/>
      <x:c r="K20" s="49"/>
      <x:c r="L20" s="49"/>
      <x:c r="M20" s="49"/>
      <x:c r="N20" s="49"/>
      <x:c r="O20" s="49"/>
      <x:c r="P20" s="49"/>
      <x:c r="Q20" s="49"/>
      <x:c r="R20" s="49"/>
      <x:c r="S20" s="49"/>
      <x:c r="T20" s="49"/>
      <x:c r="U20" s="49"/>
      <x:c r="V20" s="49"/>
      <x:c r="W20" s="49"/>
      <x:c r="X20" s="49"/>
      <x:c r="Y20" s="49"/>
      <x:c r="Z20" s="49"/>
      <x:c r="AA20" s="49"/>
      <x:c r="AB20" s="49"/>
      <x:c r="AC20" s="49"/>
      <x:c r="AD20" s="49"/>
      <x:c r="AE20" s="49"/>
      <x:c r="AF20" s="49"/>
      <x:c r="AG20" s="49"/>
      <x:c r="AH20" s="49"/>
      <x:c r="AI20" s="49"/>
      <x:c r="AJ20" s="49"/>
      <x:c r="AK20" s="49"/>
      <x:c r="AL20" s="49"/>
      <x:c r="AM20" s="49"/>
      <x:c r="AN20" s="49"/>
      <x:c r="AO20" s="49"/>
      <x:c r="AP20" s="49"/>
      <x:c r="AQ20" s="49"/>
      <x:c r="AR20" s="49"/>
      <x:c r="AS20" s="49"/>
      <x:c r="AT20" s="49"/>
      <x:c r="AU20" s="49"/>
      <x:c r="AV20" s="49"/>
      <x:c r="AW20" s="49"/>
      <x:c r="AX20" s="49"/>
      <x:c r="AY20" s="49"/>
      <x:c r="AZ20" s="49"/>
    </x:row>
    <x:row r="21">
      <x:c r="A21" s="48" t="str">
        <x:v>EDA/IP 情景</x:v>
      </x:c>
      <x:c r="B21" s="156" t="str">
        <x:v>基准</x:v>
      </x:c>
      <x:c r="C21" s="49"/>
      <x:c r="D21" s="49"/>
      <x:c r="E21" s="49"/>
      <x:c r="F21" s="49"/>
      <x:c r="G21" s="49"/>
      <x:c r="H21" s="49"/>
      <x:c r="I21" s="49"/>
      <x:c r="J21" s="49"/>
      <x:c r="K21" s="49"/>
      <x:c r="L21" s="49"/>
      <x:c r="M21" s="49"/>
      <x:c r="N21" s="49"/>
      <x:c r="O21" s="49"/>
      <x:c r="P21" s="49"/>
      <x:c r="Q21" s="49"/>
      <x:c r="R21" s="49"/>
      <x:c r="S21" s="49"/>
      <x:c r="T21" s="49"/>
      <x:c r="U21" s="49"/>
      <x:c r="V21" s="49"/>
      <x:c r="W21" s="49"/>
      <x:c r="X21" s="49"/>
      <x:c r="Y21" s="49"/>
      <x:c r="Z21" s="49"/>
      <x:c r="AA21" s="49"/>
      <x:c r="AB21" s="49"/>
      <x:c r="AC21" s="49"/>
      <x:c r="AD21" s="49"/>
      <x:c r="AE21" s="49"/>
      <x:c r="AF21" s="49"/>
      <x:c r="AG21" s="49"/>
      <x:c r="AH21" s="49"/>
      <x:c r="AI21" s="49"/>
      <x:c r="AJ21" s="49"/>
      <x:c r="AK21" s="49"/>
      <x:c r="AL21" s="49"/>
      <x:c r="AM21" s="49"/>
      <x:c r="AN21" s="49"/>
      <x:c r="AO21" s="49"/>
      <x:c r="AP21" s="49"/>
      <x:c r="AQ21" s="49"/>
      <x:c r="AR21" s="49"/>
      <x:c r="AS21" s="49"/>
      <x:c r="AT21" s="49"/>
      <x:c r="AU21" s="49"/>
      <x:c r="AV21" s="49"/>
      <x:c r="AW21" s="49"/>
      <x:c r="AX21" s="49"/>
      <x:c r="AY21" s="49"/>
      <x:c r="AZ21" s="49"/>
    </x:row>
    <x:row r="22">
      <x:c r="A22" s="48" t="str">
        <x:v>授权策略</x:v>
      </x:c>
      <x:c r="B22" s="156" t="str">
        <x:v>当前</x:v>
      </x:c>
      <x:c r="C22" s="49"/>
      <x:c r="D22" s="49"/>
      <x:c r="E22" s="49"/>
      <x:c r="F22" s="49"/>
      <x:c r="G22" s="49"/>
      <x:c r="H22" s="49"/>
      <x:c r="I22" s="49"/>
      <x:c r="J22" s="49"/>
      <x:c r="K22" s="49"/>
      <x:c r="L22" s="49"/>
      <x:c r="M22" s="49"/>
      <x:c r="N22" s="49"/>
      <x:c r="O22" s="49"/>
      <x:c r="P22" s="49"/>
      <x:c r="Q22" s="49"/>
      <x:c r="R22" s="49"/>
      <x:c r="S22" s="49"/>
      <x:c r="T22" s="49"/>
      <x:c r="U22" s="49"/>
      <x:c r="V22" s="49"/>
      <x:c r="W22" s="49"/>
      <x:c r="X22" s="49"/>
      <x:c r="Y22" s="49"/>
      <x:c r="Z22" s="49"/>
      <x:c r="AA22" s="49"/>
      <x:c r="AB22" s="49"/>
      <x:c r="AC22" s="49"/>
      <x:c r="AD22" s="49"/>
      <x:c r="AE22" s="49"/>
      <x:c r="AF22" s="49"/>
      <x:c r="AG22" s="49"/>
      <x:c r="AH22" s="49"/>
      <x:c r="AI22" s="49"/>
      <x:c r="AJ22" s="49"/>
      <x:c r="AK22" s="49"/>
      <x:c r="AL22" s="49"/>
      <x:c r="AM22" s="49"/>
      <x:c r="AN22" s="49"/>
      <x:c r="AO22" s="49"/>
      <x:c r="AP22" s="49"/>
      <x:c r="AQ22" s="49"/>
      <x:c r="AR22" s="49"/>
      <x:c r="AS22" s="49"/>
      <x:c r="AT22" s="49"/>
      <x:c r="AU22" s="49"/>
      <x:c r="AV22" s="49"/>
      <x:c r="AW22" s="49"/>
      <x:c r="AX22" s="49"/>
      <x:c r="AY22" s="49"/>
      <x:c r="AZ22" s="49"/>
    </x:row>
    <x:row r="23">
      <x:c r="A23" s="49"/>
      <x:c r="B23" s="49"/>
      <x:c r="C23" s="49"/>
      <x:c r="D23" s="49"/>
      <x:c r="E23" s="49"/>
      <x:c r="F23" s="49"/>
      <x:c r="G23" s="49"/>
      <x:c r="H23" s="49"/>
      <x:c r="I23" s="49"/>
      <x:c r="J23" s="49"/>
      <x:c r="K23" s="49"/>
      <x:c r="L23" s="49"/>
      <x:c r="M23" s="49"/>
      <x:c r="N23" s="49"/>
      <x:c r="O23" s="49"/>
      <x:c r="P23" s="49"/>
      <x:c r="Q23" s="49"/>
      <x:c r="R23" s="49"/>
      <x:c r="S23" s="49"/>
      <x:c r="T23" s="49"/>
      <x:c r="U23" s="49"/>
      <x:c r="V23" s="49"/>
      <x:c r="W23" s="49"/>
      <x:c r="X23" s="49"/>
      <x:c r="Y23" s="49"/>
      <x:c r="Z23" s="49"/>
      <x:c r="AA23" s="49"/>
      <x:c r="AB23" s="49"/>
      <x:c r="AC23" s="49"/>
      <x:c r="AD23" s="49"/>
      <x:c r="AE23" s="49"/>
      <x:c r="AF23" s="49"/>
      <x:c r="AG23" s="49"/>
      <x:c r="AH23" s="49"/>
      <x:c r="AI23" s="49"/>
      <x:c r="AJ23" s="49"/>
      <x:c r="AK23" s="49"/>
      <x:c r="AL23" s="49"/>
      <x:c r="AM23" s="49"/>
      <x:c r="AN23" s="49"/>
      <x:c r="AO23" s="49"/>
      <x:c r="AP23" s="49"/>
      <x:c r="AQ23" s="49"/>
      <x:c r="AR23" s="49"/>
      <x:c r="AS23" s="49"/>
      <x:c r="AT23" s="49"/>
      <x:c r="AU23" s="49"/>
      <x:c r="AV23" s="49"/>
      <x:c r="AW23" s="49"/>
      <x:c r="AX23" s="49"/>
      <x:c r="AY23" s="49"/>
      <x:c r="AZ23" s="49"/>
    </x:row>
    <x:row r="24">
      <x:c r="A24" s="45" t="str">
        <x:v>模型说明：动态采购分配模型强调透明可解释，而非追求数学意义上的最优。模型先按所选策略对供应商排序，再应用目标份额与调整后产能约束；若仍有缺口，则按剩余产能补充分配。Python 情景分析与 Monte Carlo 结果作为压力测试参考。</x:v>
      </x:c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9"/>
      <x:c r="N24" s="49"/>
      <x:c r="O24" s="49"/>
      <x:c r="P24" s="49"/>
      <x:c r="Q24" s="49"/>
      <x:c r="R24" s="49"/>
      <x:c r="S24" s="49"/>
      <x:c r="T24" s="49"/>
      <x:c r="U24" s="49"/>
      <x:c r="V24" s="49"/>
      <x:c r="W24" s="49"/>
      <x:c r="X24" s="49"/>
      <x:c r="Y24" s="49"/>
      <x:c r="Z24" s="49"/>
      <x:c r="AA24" s="49"/>
      <x:c r="AB24" s="49"/>
      <x:c r="AC24" s="49"/>
      <x:c r="AD24" s="49"/>
      <x:c r="AE24" s="49"/>
      <x:c r="AF24" s="49"/>
      <x:c r="AG24" s="49"/>
      <x:c r="AH24" s="49"/>
      <x:c r="AI24" s="49"/>
      <x:c r="AJ24" s="49"/>
      <x:c r="AK24" s="49"/>
      <x:c r="AL24" s="49"/>
      <x:c r="AM24" s="49"/>
      <x:c r="AN24" s="49"/>
      <x:c r="AO24" s="49"/>
      <x:c r="AP24" s="49"/>
      <x:c r="AQ24" s="49"/>
      <x:c r="AR24" s="49"/>
      <x:c r="AS24" s="49"/>
      <x:c r="AT24" s="49"/>
      <x:c r="AU24" s="49"/>
      <x:c r="AV24" s="49"/>
      <x:c r="AW24" s="49"/>
      <x:c r="AX24" s="49"/>
      <x:c r="AY24" s="49"/>
      <x:c r="AZ24" s="49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9"/>
      <x:c r="N25" s="49"/>
      <x:c r="O25" s="49"/>
      <x:c r="P25" s="49"/>
      <x:c r="Q25" s="49"/>
      <x:c r="R25" s="49"/>
      <x:c r="S25" s="49"/>
      <x:c r="T25" s="49"/>
      <x:c r="U25" s="49"/>
      <x:c r="V25" s="49"/>
      <x:c r="W25" s="49"/>
      <x:c r="X25" s="49"/>
      <x:c r="Y25" s="49"/>
      <x:c r="Z25" s="49"/>
      <x:c r="AA25" s="49"/>
      <x:c r="AB25" s="49"/>
      <x:c r="AC25" s="49"/>
      <x:c r="AD25" s="49"/>
      <x:c r="AE25" s="49"/>
      <x:c r="AF25" s="49"/>
      <x:c r="AG25" s="49"/>
      <x:c r="AH25" s="49"/>
      <x:c r="AI25" s="49"/>
      <x:c r="AJ25" s="49"/>
      <x:c r="AK25" s="49"/>
      <x:c r="AL25" s="49"/>
      <x:c r="AM25" s="49"/>
      <x:c r="AN25" s="49"/>
      <x:c r="AO25" s="49"/>
      <x:c r="AP25" s="49"/>
      <x:c r="AQ25" s="49"/>
      <x:c r="AR25" s="49"/>
      <x:c r="AS25" s="49"/>
      <x:c r="AT25" s="49"/>
      <x:c r="AU25" s="49"/>
      <x:c r="AV25" s="49"/>
      <x:c r="AW25" s="49"/>
      <x:c r="AX25" s="49"/>
      <x:c r="AY25" s="49"/>
      <x:c r="AZ25" s="49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9"/>
      <x:c r="N26" s="49"/>
      <x:c r="O26" s="49"/>
      <x:c r="P26" s="49"/>
      <x:c r="Q26" s="49"/>
      <x:c r="R26" s="49"/>
      <x:c r="S26" s="49"/>
      <x:c r="T26" s="49"/>
      <x:c r="U26" s="49"/>
      <x:c r="V26" s="49"/>
      <x:c r="W26" s="49"/>
      <x:c r="X26" s="49"/>
      <x:c r="Y26" s="49"/>
      <x:c r="Z26" s="49"/>
      <x:c r="AA26" s="49"/>
      <x:c r="AB26" s="49"/>
      <x:c r="AC26" s="49"/>
      <x:c r="AD26" s="49"/>
      <x:c r="AE26" s="49"/>
      <x:c r="AF26" s="49"/>
      <x:c r="AG26" s="49"/>
      <x:c r="AH26" s="49"/>
      <x:c r="AI26" s="49"/>
      <x:c r="AJ26" s="49"/>
      <x:c r="AK26" s="49"/>
      <x:c r="AL26" s="49"/>
      <x:c r="AM26" s="49"/>
      <x:c r="AN26" s="49"/>
      <x:c r="AO26" s="49"/>
      <x:c r="AP26" s="49"/>
      <x:c r="AQ26" s="49"/>
      <x:c r="AR26" s="49"/>
      <x:c r="AS26" s="49"/>
      <x:c r="AT26" s="49"/>
      <x:c r="AU26" s="49"/>
      <x:c r="AV26" s="49"/>
      <x:c r="AW26" s="49"/>
      <x:c r="AX26" s="49"/>
      <x:c r="AY26" s="49"/>
      <x:c r="AZ26" s="49"/>
    </x:row>
    <x:row r="27">
      <x:c r="A27" s="49"/>
      <x:c r="B27" s="49"/>
      <x:c r="C27" s="49"/>
      <x:c r="D27" s="49"/>
      <x:c r="E27" s="49"/>
      <x:c r="F27" s="49"/>
      <x:c r="G27" s="49"/>
      <x:c r="H27" s="49"/>
      <x:c r="I27" s="49"/>
      <x:c r="J27" s="49"/>
      <x:c r="K27" s="49"/>
      <x:c r="L27" s="49"/>
      <x:c r="M27" s="49"/>
      <x:c r="N27" s="49"/>
      <x:c r="O27" s="49"/>
      <x:c r="P27" s="49"/>
      <x:c r="Q27" s="49"/>
      <x:c r="R27" s="49"/>
      <x:c r="S27" s="49"/>
      <x:c r="T27" s="49"/>
      <x:c r="U27" s="49"/>
      <x:c r="V27" s="49"/>
      <x:c r="W27" s="49"/>
      <x:c r="X27" s="49"/>
      <x:c r="Y27" s="49"/>
      <x:c r="Z27" s="49"/>
      <x:c r="AA27" s="49"/>
      <x:c r="AB27" s="49"/>
      <x:c r="AC27" s="49"/>
      <x:c r="AD27" s="49"/>
      <x:c r="AE27" s="49"/>
      <x:c r="AF27" s="49"/>
      <x:c r="AG27" s="49"/>
      <x:c r="AH27" s="49"/>
      <x:c r="AI27" s="49"/>
      <x:c r="AJ27" s="49"/>
      <x:c r="AK27" s="49"/>
      <x:c r="AL27" s="49"/>
      <x:c r="AM27" s="49"/>
      <x:c r="AN27" s="49"/>
      <x:c r="AO27" s="49"/>
      <x:c r="AP27" s="49"/>
      <x:c r="AQ27" s="49"/>
      <x:c r="AR27" s="49"/>
      <x:c r="AS27" s="49"/>
      <x:c r="AT27" s="49"/>
      <x:c r="AU27" s="49"/>
      <x:c r="AV27" s="49"/>
      <x:c r="AW27" s="49"/>
      <x:c r="AX27" s="49"/>
      <x:c r="AY27" s="49"/>
      <x:c r="AZ27" s="49"/>
    </x:row>
    <x:row r="28">
      <x:c r="A28" s="49"/>
      <x:c r="B28" s="49"/>
      <x:c r="C28" s="49"/>
      <x:c r="D28" s="49"/>
      <x:c r="E28" s="49"/>
      <x:c r="F28" s="49"/>
      <x:c r="G28" s="49"/>
      <x:c r="H28" s="49"/>
      <x:c r="I28" s="49"/>
      <x:c r="J28" s="49"/>
      <x:c r="K28" s="49"/>
      <x:c r="L28" s="49"/>
      <x:c r="M28" s="49"/>
      <x:c r="N28" s="49"/>
      <x:c r="O28" s="49"/>
      <x:c r="P28" s="49"/>
      <x:c r="Q28" s="49"/>
      <x:c r="R28" s="49"/>
      <x:c r="S28" s="49"/>
      <x:c r="T28" s="49"/>
      <x:c r="U28" s="49"/>
      <x:c r="V28" s="49"/>
      <x:c r="W28" s="49"/>
      <x:c r="X28" s="49"/>
      <x:c r="Y28" s="49"/>
      <x:c r="Z28" s="49"/>
      <x:c r="AA28" s="49"/>
      <x:c r="AB28" s="49"/>
      <x:c r="AC28" s="49"/>
      <x:c r="AD28" s="49"/>
      <x:c r="AE28" s="49"/>
      <x:c r="AF28" s="49"/>
      <x:c r="AG28" s="49"/>
      <x:c r="AH28" s="49"/>
      <x:c r="AI28" s="49"/>
      <x:c r="AJ28" s="49"/>
      <x:c r="AK28" s="49"/>
      <x:c r="AL28" s="49"/>
      <x:c r="AM28" s="49"/>
      <x:c r="AN28" s="49"/>
      <x:c r="AO28" s="49"/>
      <x:c r="AP28" s="49"/>
      <x:c r="AQ28" s="49"/>
      <x:c r="AR28" s="49"/>
      <x:c r="AS28" s="49"/>
      <x:c r="AT28" s="49"/>
      <x:c r="AU28" s="49"/>
      <x:c r="AV28" s="49"/>
      <x:c r="AW28" s="49"/>
      <x:c r="AX28" s="49"/>
      <x:c r="AY28" s="49"/>
      <x:c r="AZ28" s="49"/>
    </x:row>
    <x:row r="29">
      <x:c r="A29" s="49"/>
      <x:c r="B29" s="49"/>
      <x:c r="C29" s="49"/>
      <x:c r="D29" s="49"/>
      <x:c r="E29" s="49"/>
      <x:c r="F29" s="49"/>
      <x:c r="G29" s="49"/>
      <x:c r="H29" s="49"/>
      <x:c r="I29" s="49"/>
      <x:c r="J29" s="49"/>
      <x:c r="K29" s="49"/>
      <x:c r="L29" s="49"/>
      <x:c r="M29" s="49"/>
      <x:c r="N29" s="49"/>
      <x:c r="O29" s="49"/>
      <x:c r="P29" s="49"/>
      <x:c r="Q29" s="49"/>
      <x:c r="R29" s="49"/>
      <x:c r="S29" s="49"/>
      <x:c r="T29" s="49"/>
      <x:c r="U29" s="49"/>
      <x:c r="V29" s="49"/>
      <x:c r="W29" s="49"/>
      <x:c r="X29" s="49"/>
      <x:c r="Y29" s="49"/>
      <x:c r="Z29" s="49"/>
      <x:c r="AA29" s="49"/>
      <x:c r="AB29" s="49"/>
      <x:c r="AC29" s="49"/>
      <x:c r="AD29" s="49"/>
      <x:c r="AE29" s="49"/>
      <x:c r="AF29" s="49"/>
      <x:c r="AG29" s="49"/>
      <x:c r="AH29" s="49"/>
      <x:c r="AI29" s="49"/>
      <x:c r="AJ29" s="49"/>
      <x:c r="AK29" s="49"/>
      <x:c r="AL29" s="49"/>
      <x:c r="AM29" s="49"/>
      <x:c r="AN29" s="49"/>
      <x:c r="AO29" s="49"/>
      <x:c r="AP29" s="49"/>
      <x:c r="AQ29" s="49"/>
      <x:c r="AR29" s="49"/>
      <x:c r="AS29" s="49"/>
      <x:c r="AT29" s="49"/>
      <x:c r="AU29" s="49"/>
      <x:c r="AV29" s="49"/>
      <x:c r="AW29" s="49"/>
      <x:c r="AX29" s="49"/>
      <x:c r="AY29" s="49"/>
      <x:c r="AZ29" s="49"/>
    </x:row>
    <x:row r="30">
      <x:c r="A30" s="49"/>
      <x:c r="B30" s="49"/>
      <x:c r="C30" s="49"/>
      <x:c r="D30" s="49"/>
      <x:c r="E30" s="49"/>
      <x:c r="F30" s="49"/>
      <x:c r="G30" s="49"/>
      <x:c r="H30" s="49"/>
      <x:c r="I30" s="49"/>
      <x:c r="J30" s="49"/>
      <x:c r="K30" s="49"/>
      <x:c r="L30" s="49"/>
      <x:c r="M30" s="49"/>
      <x:c r="N30" s="49"/>
      <x:c r="O30" s="49"/>
      <x:c r="P30" s="49"/>
      <x:c r="Q30" s="49"/>
      <x:c r="R30" s="49"/>
      <x:c r="S30" s="49"/>
      <x:c r="T30" s="49"/>
      <x:c r="U30" s="49"/>
      <x:c r="V30" s="49"/>
      <x:c r="W30" s="49"/>
      <x:c r="X30" s="49"/>
      <x:c r="Y30" s="49"/>
      <x:c r="Z30" s="49"/>
      <x:c r="AA30" s="49"/>
      <x:c r="AB30" s="49"/>
      <x:c r="AC30" s="49"/>
      <x:c r="AD30" s="49"/>
      <x:c r="AE30" s="49"/>
      <x:c r="AF30" s="49"/>
      <x:c r="AG30" s="49"/>
      <x:c r="AH30" s="49"/>
      <x:c r="AI30" s="49"/>
      <x:c r="AJ30" s="49"/>
      <x:c r="AK30" s="49"/>
      <x:c r="AL30" s="49"/>
      <x:c r="AM30" s="49"/>
      <x:c r="AN30" s="49"/>
      <x:c r="AO30" s="49"/>
      <x:c r="AP30" s="49"/>
      <x:c r="AQ30" s="49"/>
      <x:c r="AR30" s="49"/>
      <x:c r="AS30" s="49"/>
      <x:c r="AT30" s="49"/>
      <x:c r="AU30" s="49"/>
      <x:c r="AV30" s="49"/>
      <x:c r="AW30" s="49"/>
      <x:c r="AX30" s="49"/>
      <x:c r="AY30" s="49"/>
      <x:c r="AZ30" s="49"/>
    </x:row>
    <x:row r="31">
      <x:c r="A31" s="49"/>
      <x:c r="B31" s="49"/>
      <x:c r="C31" s="49"/>
      <x:c r="D31" s="49"/>
      <x:c r="E31" s="49"/>
      <x:c r="F31" s="49"/>
      <x:c r="G31" s="49"/>
      <x:c r="H31" s="49"/>
      <x:c r="I31" s="49"/>
      <x:c r="J31" s="49"/>
      <x:c r="K31" s="49"/>
      <x:c r="L31" s="49"/>
      <x:c r="M31" s="49"/>
      <x:c r="N31" s="49"/>
      <x:c r="O31" s="49"/>
      <x:c r="P31" s="49"/>
      <x:c r="Q31" s="49"/>
      <x:c r="R31" s="49"/>
      <x:c r="S31" s="49"/>
      <x:c r="T31" s="49"/>
      <x:c r="U31" s="49"/>
      <x:c r="V31" s="49"/>
      <x:c r="W31" s="49"/>
      <x:c r="X31" s="49"/>
      <x:c r="Y31" s="49"/>
      <x:c r="Z31" s="49"/>
      <x:c r="AA31" s="49"/>
      <x:c r="AB31" s="49"/>
      <x:c r="AC31" s="49"/>
      <x:c r="AD31" s="49"/>
      <x:c r="AE31" s="49"/>
      <x:c r="AF31" s="49"/>
      <x:c r="AG31" s="49"/>
      <x:c r="AH31" s="49"/>
      <x:c r="AI31" s="49"/>
      <x:c r="AJ31" s="49"/>
      <x:c r="AK31" s="49"/>
      <x:c r="AL31" s="49"/>
      <x:c r="AM31" s="49"/>
      <x:c r="AN31" s="49"/>
      <x:c r="AO31" s="49"/>
      <x:c r="AP31" s="49"/>
      <x:c r="AQ31" s="49"/>
      <x:c r="AR31" s="49"/>
      <x:c r="AS31" s="49"/>
      <x:c r="AT31" s="49"/>
      <x:c r="AU31" s="49"/>
      <x:c r="AV31" s="49"/>
      <x:c r="AW31" s="49"/>
      <x:c r="AX31" s="49"/>
      <x:c r="AY31" s="49"/>
      <x:c r="AZ31" s="49"/>
    </x:row>
    <x:row r="32">
      <x:c r="A32" s="49"/>
      <x:c r="B32" s="49"/>
      <x:c r="C32" s="49"/>
      <x:c r="D32" s="49"/>
      <x:c r="E32" s="49"/>
      <x:c r="F32" s="49"/>
      <x:c r="G32" s="49"/>
      <x:c r="H32" s="49"/>
      <x:c r="I32" s="49"/>
      <x:c r="J32" s="49"/>
      <x:c r="K32" s="49"/>
      <x:c r="L32" s="49"/>
      <x:c r="M32" s="49"/>
      <x:c r="N32" s="49"/>
      <x:c r="O32" s="49"/>
      <x:c r="P32" s="49"/>
      <x:c r="Q32" s="49"/>
      <x:c r="R32" s="49"/>
      <x:c r="S32" s="49"/>
      <x:c r="T32" s="49"/>
      <x:c r="U32" s="49"/>
      <x:c r="V32" s="49"/>
      <x:c r="W32" s="49"/>
      <x:c r="X32" s="49"/>
      <x:c r="Y32" s="49"/>
      <x:c r="Z32" s="49"/>
      <x:c r="AA32" s="49"/>
      <x:c r="AB32" s="49"/>
      <x:c r="AC32" s="49"/>
      <x:c r="AD32" s="49"/>
      <x:c r="AE32" s="49"/>
      <x:c r="AF32" s="49"/>
      <x:c r="AG32" s="49"/>
      <x:c r="AH32" s="49"/>
      <x:c r="AI32" s="49"/>
      <x:c r="AJ32" s="49"/>
      <x:c r="AK32" s="49"/>
      <x:c r="AL32" s="49"/>
      <x:c r="AM32" s="49"/>
      <x:c r="AN32" s="49"/>
      <x:c r="AO32" s="49"/>
      <x:c r="AP32" s="49"/>
      <x:c r="AQ32" s="49"/>
      <x:c r="AR32" s="49"/>
      <x:c r="AS32" s="49"/>
      <x:c r="AT32" s="49"/>
      <x:c r="AU32" s="49"/>
      <x:c r="AV32" s="49"/>
      <x:c r="AW32" s="49"/>
      <x:c r="AX32" s="49"/>
      <x:c r="AY32" s="49"/>
      <x:c r="AZ32" s="49"/>
    </x:row>
    <x:row r="33">
      <x:c r="A33" s="49"/>
      <x:c r="B33" s="49"/>
      <x:c r="C33" s="49"/>
      <x:c r="D33" s="49"/>
      <x:c r="E33" s="49"/>
      <x:c r="F33" s="49"/>
      <x:c r="G33" s="49"/>
      <x:c r="H33" s="49"/>
      <x:c r="I33" s="49"/>
      <x:c r="J33" s="49"/>
      <x:c r="K33" s="49"/>
      <x:c r="L33" s="49"/>
      <x:c r="M33" s="49"/>
      <x:c r="N33" s="49"/>
      <x:c r="O33" s="49"/>
      <x:c r="P33" s="49"/>
      <x:c r="Q33" s="49"/>
      <x:c r="R33" s="49"/>
      <x:c r="S33" s="49"/>
      <x:c r="T33" s="49"/>
      <x:c r="U33" s="49"/>
      <x:c r="V33" s="49"/>
      <x:c r="W33" s="49"/>
      <x:c r="X33" s="49"/>
      <x:c r="Y33" s="49"/>
      <x:c r="Z33" s="49"/>
      <x:c r="AA33" s="49"/>
      <x:c r="AB33" s="49"/>
      <x:c r="AC33" s="49"/>
      <x:c r="AD33" s="49"/>
      <x:c r="AE33" s="49"/>
      <x:c r="AF33" s="49"/>
      <x:c r="AG33" s="49"/>
      <x:c r="AH33" s="49"/>
      <x:c r="AI33" s="49"/>
      <x:c r="AJ33" s="49"/>
      <x:c r="AK33" s="49"/>
      <x:c r="AL33" s="49"/>
      <x:c r="AM33" s="49"/>
      <x:c r="AN33" s="49"/>
      <x:c r="AO33" s="49"/>
      <x:c r="AP33" s="49"/>
      <x:c r="AQ33" s="49"/>
      <x:c r="AR33" s="49"/>
      <x:c r="AS33" s="49"/>
      <x:c r="AT33" s="49"/>
      <x:c r="AU33" s="49"/>
      <x:c r="AV33" s="49"/>
      <x:c r="AW33" s="49"/>
      <x:c r="AX33" s="49"/>
      <x:c r="AY33" s="49"/>
      <x:c r="AZ33" s="49"/>
    </x:row>
    <x:row r="34">
      <x:c r="A34" s="49"/>
      <x:c r="B34" s="49"/>
      <x:c r="C34" s="49"/>
      <x:c r="D34" s="49"/>
      <x:c r="E34" s="49"/>
      <x:c r="F34" s="49"/>
      <x:c r="G34" s="49"/>
      <x:c r="H34" s="49"/>
      <x:c r="I34" s="49"/>
      <x:c r="J34" s="49"/>
      <x:c r="K34" s="49"/>
      <x:c r="L34" s="49"/>
      <x:c r="M34" s="49"/>
      <x:c r="N34" s="49"/>
      <x:c r="O34" s="49"/>
      <x:c r="P34" s="49"/>
      <x:c r="Q34" s="49"/>
      <x:c r="R34" s="49"/>
      <x:c r="S34" s="49"/>
      <x:c r="T34" s="49"/>
      <x:c r="U34" s="49"/>
      <x:c r="V34" s="49"/>
      <x:c r="W34" s="49"/>
      <x:c r="X34" s="49"/>
      <x:c r="Y34" s="49"/>
      <x:c r="Z34" s="49"/>
      <x:c r="AA34" s="49"/>
      <x:c r="AB34" s="49"/>
      <x:c r="AC34" s="49"/>
      <x:c r="AD34" s="49"/>
      <x:c r="AE34" s="49"/>
      <x:c r="AF34" s="49"/>
      <x:c r="AG34" s="49"/>
      <x:c r="AH34" s="49"/>
      <x:c r="AI34" s="49"/>
      <x:c r="AJ34" s="49"/>
      <x:c r="AK34" s="49"/>
      <x:c r="AL34" s="49"/>
      <x:c r="AM34" s="49"/>
      <x:c r="AN34" s="49"/>
      <x:c r="AO34" s="49"/>
      <x:c r="AP34" s="49"/>
      <x:c r="AQ34" s="49"/>
      <x:c r="AR34" s="49"/>
      <x:c r="AS34" s="49"/>
      <x:c r="AT34" s="49"/>
      <x:c r="AU34" s="49"/>
      <x:c r="AV34" s="49"/>
      <x:c r="AW34" s="49"/>
      <x:c r="AX34" s="49"/>
      <x:c r="AY34" s="49"/>
      <x:c r="AZ34" s="49"/>
    </x:row>
    <x:row r="35">
      <x:c r="A35" s="49"/>
      <x:c r="B35" s="49"/>
      <x:c r="C35" s="49"/>
      <x:c r="D35" s="49"/>
      <x:c r="E35" s="49"/>
      <x:c r="F35" s="49"/>
      <x:c r="G35" s="49"/>
      <x:c r="H35" s="49"/>
      <x:c r="I35" s="49"/>
      <x:c r="J35" s="49"/>
      <x:c r="K35" s="49"/>
      <x:c r="L35" s="49"/>
      <x:c r="M35" s="49"/>
      <x:c r="N35" s="49"/>
      <x:c r="O35" s="49"/>
      <x:c r="P35" s="49"/>
      <x:c r="Q35" s="49"/>
      <x:c r="R35" s="49"/>
      <x:c r="S35" s="49"/>
      <x:c r="T35" s="49"/>
      <x:c r="U35" s="49"/>
      <x:c r="V35" s="49"/>
      <x:c r="W35" s="49"/>
      <x:c r="X35" s="49"/>
      <x:c r="Y35" s="49"/>
      <x:c r="Z35" s="49"/>
      <x:c r="AA35" s="49"/>
      <x:c r="AB35" s="49"/>
      <x:c r="AC35" s="49"/>
      <x:c r="AD35" s="49"/>
      <x:c r="AE35" s="49"/>
      <x:c r="AF35" s="49"/>
      <x:c r="AG35" s="49"/>
      <x:c r="AH35" s="49"/>
      <x:c r="AI35" s="49"/>
      <x:c r="AJ35" s="49"/>
      <x:c r="AK35" s="49"/>
      <x:c r="AL35" s="49"/>
      <x:c r="AM35" s="49"/>
      <x:c r="AN35" s="49"/>
      <x:c r="AO35" s="49"/>
      <x:c r="AP35" s="49"/>
      <x:c r="AQ35" s="49"/>
      <x:c r="AR35" s="49"/>
      <x:c r="AS35" s="49"/>
      <x:c r="AT35" s="49"/>
      <x:c r="AU35" s="49"/>
      <x:c r="AV35" s="49"/>
      <x:c r="AW35" s="49"/>
      <x:c r="AX35" s="49"/>
      <x:c r="AY35" s="49"/>
      <x:c r="AZ35" s="49"/>
    </x:row>
    <x:row r="36">
      <x:c r="A36" s="49"/>
      <x:c r="B36" s="49"/>
      <x:c r="C36" s="49"/>
      <x:c r="D36" s="49"/>
      <x:c r="E36" s="49"/>
      <x:c r="F36" s="49"/>
      <x:c r="G36" s="49"/>
      <x:c r="H36" s="49"/>
      <x:c r="I36" s="49"/>
      <x:c r="J36" s="49"/>
      <x:c r="K36" s="49"/>
      <x:c r="L36" s="49"/>
      <x:c r="M36" s="49"/>
      <x:c r="N36" s="49"/>
      <x:c r="O36" s="49"/>
      <x:c r="P36" s="49"/>
      <x:c r="Q36" s="49"/>
      <x:c r="R36" s="49"/>
      <x:c r="S36" s="49"/>
      <x:c r="T36" s="49"/>
      <x:c r="U36" s="49"/>
      <x:c r="V36" s="49"/>
      <x:c r="W36" s="49"/>
      <x:c r="X36" s="49"/>
      <x:c r="Y36" s="49"/>
      <x:c r="Z36" s="49"/>
      <x:c r="AA36" s="49"/>
      <x:c r="AB36" s="49"/>
      <x:c r="AC36" s="49"/>
      <x:c r="AD36" s="49"/>
      <x:c r="AE36" s="49"/>
      <x:c r="AF36" s="49"/>
      <x:c r="AG36" s="49"/>
      <x:c r="AH36" s="49"/>
      <x:c r="AI36" s="49"/>
      <x:c r="AJ36" s="49"/>
      <x:c r="AK36" s="49"/>
      <x:c r="AL36" s="49"/>
      <x:c r="AM36" s="49"/>
      <x:c r="AN36" s="49"/>
      <x:c r="AO36" s="49"/>
      <x:c r="AP36" s="49"/>
      <x:c r="AQ36" s="49"/>
      <x:c r="AR36" s="49"/>
      <x:c r="AS36" s="49"/>
      <x:c r="AT36" s="49"/>
      <x:c r="AU36" s="49"/>
      <x:c r="AV36" s="49"/>
      <x:c r="AW36" s="49"/>
      <x:c r="AX36" s="49"/>
      <x:c r="AY36" s="49"/>
      <x:c r="AZ36" s="49"/>
    </x:row>
    <x:row r="37">
      <x:c r="A37" s="49"/>
      <x:c r="B37" s="49"/>
      <x:c r="C37" s="49"/>
      <x:c r="D37" s="49"/>
      <x:c r="E37" s="49"/>
      <x:c r="F37" s="49"/>
      <x:c r="G37" s="49"/>
      <x:c r="H37" s="49"/>
      <x:c r="I37" s="49"/>
      <x:c r="J37" s="49"/>
      <x:c r="K37" s="49"/>
      <x:c r="L37" s="49"/>
      <x:c r="M37" s="49"/>
      <x:c r="N37" s="49"/>
      <x:c r="O37" s="49"/>
      <x:c r="P37" s="49"/>
      <x:c r="Q37" s="49"/>
      <x:c r="R37" s="49"/>
      <x:c r="S37" s="49"/>
      <x:c r="T37" s="49"/>
      <x:c r="U37" s="49"/>
      <x:c r="V37" s="49"/>
      <x:c r="W37" s="49"/>
      <x:c r="X37" s="49"/>
      <x:c r="Y37" s="49"/>
      <x:c r="Z37" s="49"/>
      <x:c r="AA37" s="49"/>
      <x:c r="AB37" s="49"/>
      <x:c r="AC37" s="49"/>
      <x:c r="AD37" s="49"/>
      <x:c r="AE37" s="49"/>
      <x:c r="AF37" s="49"/>
      <x:c r="AG37" s="49"/>
      <x:c r="AH37" s="49"/>
      <x:c r="AI37" s="49"/>
      <x:c r="AJ37" s="49"/>
      <x:c r="AK37" s="49"/>
      <x:c r="AL37" s="49"/>
      <x:c r="AM37" s="49"/>
      <x:c r="AN37" s="49"/>
      <x:c r="AO37" s="49"/>
      <x:c r="AP37" s="49"/>
      <x:c r="AQ37" s="49"/>
      <x:c r="AR37" s="49"/>
      <x:c r="AS37" s="49"/>
      <x:c r="AT37" s="49"/>
      <x:c r="AU37" s="49"/>
      <x:c r="AV37" s="49"/>
      <x:c r="AW37" s="49"/>
      <x:c r="AX37" s="49"/>
      <x:c r="AY37" s="49"/>
      <x:c r="AZ37" s="49"/>
    </x:row>
    <x:row r="38">
      <x:c r="A38" s="49"/>
      <x:c r="B38" s="49"/>
      <x:c r="C38" s="49"/>
      <x:c r="D38" s="49"/>
      <x:c r="E38" s="49"/>
      <x:c r="F38" s="49"/>
      <x:c r="G38" s="49"/>
      <x:c r="H38" s="49"/>
      <x:c r="I38" s="49"/>
      <x:c r="J38" s="49"/>
      <x:c r="K38" s="49"/>
      <x:c r="L38" s="49"/>
      <x:c r="M38" s="49"/>
      <x:c r="N38" s="49"/>
      <x:c r="O38" s="49"/>
      <x:c r="P38" s="49"/>
      <x:c r="Q38" s="49"/>
      <x:c r="R38" s="49"/>
      <x:c r="S38" s="49"/>
      <x:c r="T38" s="49"/>
      <x:c r="U38" s="49"/>
      <x:c r="V38" s="49"/>
      <x:c r="W38" s="49"/>
      <x:c r="X38" s="49"/>
      <x:c r="Y38" s="49"/>
      <x:c r="Z38" s="49"/>
      <x:c r="AA38" s="49"/>
      <x:c r="AB38" s="49"/>
      <x:c r="AC38" s="49"/>
      <x:c r="AD38" s="49"/>
      <x:c r="AE38" s="49"/>
      <x:c r="AF38" s="49"/>
      <x:c r="AG38" s="49"/>
      <x:c r="AH38" s="49"/>
      <x:c r="AI38" s="49"/>
      <x:c r="AJ38" s="49"/>
      <x:c r="AK38" s="49"/>
      <x:c r="AL38" s="49"/>
      <x:c r="AM38" s="49"/>
      <x:c r="AN38" s="49"/>
      <x:c r="AO38" s="49"/>
      <x:c r="AP38" s="49"/>
      <x:c r="AQ38" s="49"/>
      <x:c r="AR38" s="49"/>
      <x:c r="AS38" s="49"/>
      <x:c r="AT38" s="49"/>
      <x:c r="AU38" s="49"/>
      <x:c r="AV38" s="49"/>
      <x:c r="AW38" s="49"/>
      <x:c r="AX38" s="49"/>
      <x:c r="AY38" s="49"/>
      <x:c r="AZ38" s="49"/>
    </x:row>
    <x:row r="39">
      <x:c r="A39" s="49"/>
      <x:c r="B39" s="49"/>
      <x:c r="C39" s="49"/>
      <x:c r="D39" s="49"/>
      <x:c r="E39" s="49"/>
      <x:c r="F39" s="49"/>
      <x:c r="G39" s="49"/>
      <x:c r="H39" s="49"/>
      <x:c r="I39" s="49"/>
      <x:c r="J39" s="49"/>
      <x:c r="K39" s="49"/>
      <x:c r="L39" s="49"/>
      <x:c r="M39" s="49"/>
      <x:c r="N39" s="49"/>
      <x:c r="O39" s="49"/>
      <x:c r="P39" s="49"/>
      <x:c r="Q39" s="49"/>
      <x:c r="R39" s="49"/>
      <x:c r="S39" s="49"/>
      <x:c r="T39" s="49"/>
      <x:c r="U39" s="49"/>
      <x:c r="V39" s="49"/>
      <x:c r="W39" s="49"/>
      <x:c r="X39" s="49"/>
      <x:c r="Y39" s="49"/>
      <x:c r="Z39" s="49"/>
      <x:c r="AA39" s="49"/>
      <x:c r="AB39" s="49"/>
      <x:c r="AC39" s="49"/>
      <x:c r="AD39" s="49"/>
      <x:c r="AE39" s="49"/>
      <x:c r="AF39" s="49"/>
      <x:c r="AG39" s="49"/>
      <x:c r="AH39" s="49"/>
      <x:c r="AI39" s="49"/>
      <x:c r="AJ39" s="49"/>
      <x:c r="AK39" s="49"/>
      <x:c r="AL39" s="49"/>
      <x:c r="AM39" s="49"/>
      <x:c r="AN39" s="49"/>
      <x:c r="AO39" s="49"/>
      <x:c r="AP39" s="49"/>
      <x:c r="AQ39" s="49"/>
      <x:c r="AR39" s="49"/>
      <x:c r="AS39" s="49"/>
      <x:c r="AT39" s="49"/>
      <x:c r="AU39" s="49"/>
      <x:c r="AV39" s="49"/>
      <x:c r="AW39" s="49"/>
      <x:c r="AX39" s="49"/>
      <x:c r="AY39" s="49"/>
      <x:c r="AZ39" s="49"/>
    </x:row>
    <x:row r="40">
      <x:c r="A40" s="49"/>
      <x:c r="B40" s="49"/>
      <x:c r="C40" s="49"/>
      <x:c r="D40" s="49"/>
      <x:c r="E40" s="49"/>
      <x:c r="F40" s="49"/>
      <x:c r="G40" s="49"/>
      <x:c r="H40" s="49"/>
      <x:c r="I40" s="49"/>
      <x:c r="J40" s="49"/>
      <x:c r="K40" s="49"/>
      <x:c r="L40" s="49"/>
      <x:c r="M40" s="49"/>
      <x:c r="N40" s="49"/>
      <x:c r="O40" s="49"/>
      <x:c r="P40" s="49"/>
      <x:c r="Q40" s="49"/>
      <x:c r="R40" s="49"/>
      <x:c r="S40" s="49"/>
      <x:c r="T40" s="49"/>
      <x:c r="U40" s="49"/>
      <x:c r="V40" s="49"/>
      <x:c r="W40" s="49"/>
      <x:c r="X40" s="49"/>
      <x:c r="Y40" s="49"/>
      <x:c r="Z40" s="49"/>
      <x:c r="AA40" s="49"/>
      <x:c r="AB40" s="49"/>
      <x:c r="AC40" s="49"/>
      <x:c r="AD40" s="49"/>
      <x:c r="AE40" s="49"/>
      <x:c r="AF40" s="49"/>
      <x:c r="AG40" s="49"/>
      <x:c r="AH40" s="49"/>
      <x:c r="AI40" s="49"/>
      <x:c r="AJ40" s="49"/>
      <x:c r="AK40" s="49"/>
      <x:c r="AL40" s="49"/>
      <x:c r="AM40" s="49"/>
      <x:c r="AN40" s="49"/>
      <x:c r="AO40" s="49"/>
      <x:c r="AP40" s="49"/>
      <x:c r="AQ40" s="49"/>
      <x:c r="AR40" s="49"/>
      <x:c r="AS40" s="49"/>
      <x:c r="AT40" s="49"/>
      <x:c r="AU40" s="49"/>
      <x:c r="AV40" s="49"/>
      <x:c r="AW40" s="49"/>
      <x:c r="AX40" s="49"/>
      <x:c r="AY40" s="49"/>
      <x:c r="AZ40" s="49"/>
    </x:row>
    <x:row r="41">
      <x:c r="A41" s="49"/>
      <x:c r="B41" s="49"/>
      <x:c r="C41" s="49"/>
      <x:c r="D41" s="49"/>
      <x:c r="E41" s="49"/>
      <x:c r="F41" s="49"/>
      <x:c r="G41" s="49"/>
      <x:c r="H41" s="49"/>
      <x:c r="I41" s="49"/>
      <x:c r="J41" s="49"/>
      <x:c r="K41" s="49"/>
      <x:c r="L41" s="49"/>
      <x:c r="M41" s="49"/>
      <x:c r="N41" s="49"/>
      <x:c r="O41" s="49"/>
      <x:c r="P41" s="49"/>
      <x:c r="Q41" s="49"/>
      <x:c r="R41" s="49"/>
      <x:c r="S41" s="49"/>
      <x:c r="T41" s="49"/>
      <x:c r="U41" s="49"/>
      <x:c r="V41" s="49"/>
      <x:c r="W41" s="49"/>
      <x:c r="X41" s="49"/>
      <x:c r="Y41" s="49"/>
      <x:c r="Z41" s="49"/>
      <x:c r="AA41" s="49"/>
      <x:c r="AB41" s="49"/>
      <x:c r="AC41" s="49"/>
      <x:c r="AD41" s="49"/>
      <x:c r="AE41" s="49"/>
      <x:c r="AF41" s="49"/>
      <x:c r="AG41" s="49"/>
      <x:c r="AH41" s="49"/>
      <x:c r="AI41" s="49"/>
      <x:c r="AJ41" s="49"/>
      <x:c r="AK41" s="49"/>
      <x:c r="AL41" s="49"/>
      <x:c r="AM41" s="49"/>
      <x:c r="AN41" s="49"/>
      <x:c r="AO41" s="49"/>
      <x:c r="AP41" s="49"/>
      <x:c r="AQ41" s="49"/>
      <x:c r="AR41" s="49"/>
      <x:c r="AS41" s="49"/>
      <x:c r="AT41" s="49"/>
      <x:c r="AU41" s="49"/>
      <x:c r="AV41" s="49"/>
      <x:c r="AW41" s="49"/>
      <x:c r="AX41" s="49"/>
      <x:c r="AY41" s="49"/>
      <x:c r="AZ41" s="49"/>
    </x:row>
    <x:row r="42">
      <x:c r="A42" s="49"/>
      <x:c r="B42" s="49"/>
      <x:c r="C42" s="49"/>
      <x:c r="D42" s="49"/>
      <x:c r="E42" s="49"/>
      <x:c r="F42" s="49"/>
      <x:c r="G42" s="49"/>
      <x:c r="H42" s="49"/>
      <x:c r="I42" s="49"/>
      <x:c r="J42" s="49"/>
      <x:c r="K42" s="49"/>
      <x:c r="L42" s="49"/>
      <x:c r="M42" s="49"/>
      <x:c r="N42" s="49"/>
      <x:c r="O42" s="49"/>
      <x:c r="P42" s="49"/>
      <x:c r="Q42" s="49"/>
      <x:c r="R42" s="49"/>
      <x:c r="S42" s="49"/>
      <x:c r="T42" s="49"/>
      <x:c r="U42" s="49"/>
      <x:c r="V42" s="49"/>
      <x:c r="W42" s="49"/>
      <x:c r="X42" s="49"/>
      <x:c r="Y42" s="49"/>
      <x:c r="Z42" s="49"/>
      <x:c r="AA42" s="49"/>
      <x:c r="AB42" s="49"/>
      <x:c r="AC42" s="49"/>
      <x:c r="AD42" s="49"/>
      <x:c r="AE42" s="49"/>
      <x:c r="AF42" s="49"/>
      <x:c r="AG42" s="49"/>
      <x:c r="AH42" s="49"/>
      <x:c r="AI42" s="49"/>
      <x:c r="AJ42" s="49"/>
      <x:c r="AK42" s="49"/>
      <x:c r="AL42" s="49"/>
      <x:c r="AM42" s="49"/>
      <x:c r="AN42" s="49"/>
      <x:c r="AO42" s="49"/>
      <x:c r="AP42" s="49"/>
      <x:c r="AQ42" s="49"/>
      <x:c r="AR42" s="49"/>
      <x:c r="AS42" s="49"/>
      <x:c r="AT42" s="49"/>
      <x:c r="AU42" s="49"/>
      <x:c r="AV42" s="49"/>
      <x:c r="AW42" s="49"/>
      <x:c r="AX42" s="49"/>
      <x:c r="AY42" s="49"/>
      <x:c r="AZ42" s="49"/>
    </x:row>
    <x:row r="43">
      <x:c r="A43" s="49"/>
      <x:c r="B43" s="49"/>
      <x:c r="C43" s="49"/>
      <x:c r="D43" s="49"/>
      <x:c r="E43" s="49"/>
      <x:c r="F43" s="49"/>
      <x:c r="G43" s="49"/>
      <x:c r="H43" s="49"/>
      <x:c r="I43" s="49"/>
      <x:c r="J43" s="49"/>
      <x:c r="K43" s="49"/>
      <x:c r="L43" s="49"/>
      <x:c r="M43" s="49"/>
      <x:c r="N43" s="49"/>
      <x:c r="O43" s="49"/>
      <x:c r="P43" s="49"/>
      <x:c r="Q43" s="49"/>
      <x:c r="R43" s="49"/>
      <x:c r="S43" s="49"/>
      <x:c r="T43" s="49"/>
      <x:c r="U43" s="49"/>
      <x:c r="V43" s="49"/>
      <x:c r="W43" s="49"/>
      <x:c r="X43" s="49"/>
      <x:c r="Y43" s="49"/>
      <x:c r="Z43" s="49"/>
      <x:c r="AA43" s="49"/>
      <x:c r="AB43" s="49"/>
      <x:c r="AC43" s="49"/>
      <x:c r="AD43" s="49"/>
      <x:c r="AE43" s="49"/>
      <x:c r="AF43" s="49"/>
      <x:c r="AG43" s="49"/>
      <x:c r="AH43" s="49"/>
      <x:c r="AI43" s="49"/>
      <x:c r="AJ43" s="49"/>
      <x:c r="AK43" s="49"/>
      <x:c r="AL43" s="49"/>
      <x:c r="AM43" s="49"/>
      <x:c r="AN43" s="49"/>
      <x:c r="AO43" s="49"/>
      <x:c r="AP43" s="49"/>
      <x:c r="AQ43" s="49"/>
      <x:c r="AR43" s="49"/>
      <x:c r="AS43" s="49"/>
      <x:c r="AT43" s="49"/>
      <x:c r="AU43" s="49"/>
      <x:c r="AV43" s="49"/>
      <x:c r="AW43" s="49"/>
      <x:c r="AX43" s="49"/>
      <x:c r="AY43" s="49"/>
      <x:c r="AZ43" s="49"/>
    </x:row>
    <x:row r="44">
      <x:c r="A44" s="49"/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49"/>
      <x:c r="N44" s="49"/>
      <x:c r="O44" s="49"/>
      <x:c r="P44" s="49"/>
      <x:c r="Q44" s="49"/>
      <x:c r="R44" s="49"/>
      <x:c r="S44" s="49"/>
      <x:c r="T44" s="49"/>
      <x:c r="U44" s="49"/>
      <x:c r="V44" s="49"/>
      <x:c r="W44" s="49"/>
      <x:c r="X44" s="49"/>
      <x:c r="Y44" s="49"/>
      <x:c r="Z44" s="49"/>
      <x:c r="AA44" s="49"/>
      <x:c r="AB44" s="49"/>
      <x:c r="AC44" s="49"/>
      <x:c r="AD44" s="49"/>
      <x:c r="AE44" s="49"/>
      <x:c r="AF44" s="49"/>
      <x:c r="AG44" s="49"/>
      <x:c r="AH44" s="49"/>
      <x:c r="AI44" s="49"/>
      <x:c r="AJ44" s="49"/>
      <x:c r="AK44" s="49"/>
      <x:c r="AL44" s="49"/>
      <x:c r="AM44" s="49"/>
      <x:c r="AN44" s="49"/>
      <x:c r="AO44" s="49"/>
      <x:c r="AP44" s="49"/>
      <x:c r="AQ44" s="49"/>
      <x:c r="AR44" s="49"/>
      <x:c r="AS44" s="49"/>
      <x:c r="AT44" s="49"/>
      <x:c r="AU44" s="49"/>
      <x:c r="AV44" s="49"/>
      <x:c r="AW44" s="49"/>
      <x:c r="AX44" s="49"/>
      <x:c r="AY44" s="49"/>
      <x:c r="AZ44" s="49"/>
    </x:row>
    <x:row r="45">
      <x:c r="A45" s="49"/>
      <x:c r="B45" s="49"/>
      <x:c r="C45" s="49"/>
      <x:c r="D45" s="49"/>
      <x:c r="E45" s="49"/>
      <x:c r="F45" s="49"/>
      <x:c r="G45" s="49"/>
      <x:c r="H45" s="49"/>
      <x:c r="I45" s="49"/>
      <x:c r="J45" s="49"/>
      <x:c r="K45" s="49"/>
      <x:c r="L45" s="49"/>
      <x:c r="M45" s="49"/>
      <x:c r="N45" s="49"/>
      <x:c r="O45" s="49"/>
      <x:c r="P45" s="49"/>
      <x:c r="Q45" s="49"/>
      <x:c r="R45" s="49"/>
      <x:c r="S45" s="49"/>
      <x:c r="T45" s="49"/>
      <x:c r="U45" s="49"/>
      <x:c r="V45" s="49"/>
      <x:c r="W45" s="49"/>
      <x:c r="X45" s="49"/>
      <x:c r="Y45" s="49"/>
      <x:c r="Z45" s="49"/>
      <x:c r="AA45" s="49"/>
      <x:c r="AB45" s="49"/>
      <x:c r="AC45" s="49"/>
      <x:c r="AD45" s="49"/>
      <x:c r="AE45" s="49"/>
      <x:c r="AF45" s="49"/>
      <x:c r="AG45" s="49"/>
      <x:c r="AH45" s="49"/>
      <x:c r="AI45" s="49"/>
      <x:c r="AJ45" s="49"/>
      <x:c r="AK45" s="49"/>
      <x:c r="AL45" s="49"/>
      <x:c r="AM45" s="49"/>
      <x:c r="AN45" s="49"/>
      <x:c r="AO45" s="49"/>
      <x:c r="AP45" s="49"/>
      <x:c r="AQ45" s="49"/>
      <x:c r="AR45" s="49"/>
      <x:c r="AS45" s="49"/>
      <x:c r="AT45" s="49"/>
      <x:c r="AU45" s="49"/>
      <x:c r="AV45" s="49"/>
      <x:c r="AW45" s="49"/>
      <x:c r="AX45" s="49"/>
      <x:c r="AY45" s="49"/>
      <x:c r="AZ45" s="49"/>
    </x:row>
    <x:row r="46">
      <x:c r="A46" s="49"/>
      <x:c r="B46" s="49"/>
      <x:c r="C46" s="49"/>
      <x:c r="D46" s="49"/>
      <x:c r="E46" s="49"/>
      <x:c r="F46" s="49"/>
      <x:c r="G46" s="49"/>
      <x:c r="H46" s="49"/>
      <x:c r="I46" s="49"/>
      <x:c r="J46" s="49"/>
      <x:c r="K46" s="49"/>
      <x:c r="L46" s="49"/>
      <x:c r="M46" s="49"/>
      <x:c r="N46" s="49"/>
      <x:c r="O46" s="49"/>
      <x:c r="P46" s="49"/>
      <x:c r="Q46" s="49"/>
      <x:c r="R46" s="49"/>
      <x:c r="S46" s="49"/>
      <x:c r="T46" s="49"/>
      <x:c r="U46" s="49"/>
      <x:c r="V46" s="49"/>
      <x:c r="W46" s="49"/>
      <x:c r="X46" s="49"/>
      <x:c r="Y46" s="49"/>
      <x:c r="Z46" s="49"/>
      <x:c r="AA46" s="49"/>
      <x:c r="AB46" s="49"/>
      <x:c r="AC46" s="49"/>
      <x:c r="AD46" s="49"/>
      <x:c r="AE46" s="49"/>
      <x:c r="AF46" s="49"/>
      <x:c r="AG46" s="49"/>
      <x:c r="AH46" s="49"/>
      <x:c r="AI46" s="49"/>
      <x:c r="AJ46" s="49"/>
      <x:c r="AK46" s="49"/>
      <x:c r="AL46" s="49"/>
      <x:c r="AM46" s="49"/>
      <x:c r="AN46" s="49"/>
      <x:c r="AO46" s="49"/>
      <x:c r="AP46" s="49"/>
      <x:c r="AQ46" s="49"/>
      <x:c r="AR46" s="49"/>
      <x:c r="AS46" s="49"/>
      <x:c r="AT46" s="49"/>
      <x:c r="AU46" s="49"/>
      <x:c r="AV46" s="49"/>
      <x:c r="AW46" s="49"/>
      <x:c r="AX46" s="49"/>
      <x:c r="AY46" s="49"/>
      <x:c r="AZ46" s="49"/>
    </x:row>
    <x:row r="47">
      <x:c r="A47" s="49"/>
      <x:c r="B47" s="49"/>
      <x:c r="C47" s="49"/>
      <x:c r="D47" s="49"/>
      <x:c r="E47" s="49"/>
      <x:c r="F47" s="49"/>
      <x:c r="G47" s="49"/>
      <x:c r="H47" s="49"/>
      <x:c r="I47" s="49"/>
      <x:c r="J47" s="49"/>
      <x:c r="K47" s="49"/>
      <x:c r="L47" s="49"/>
      <x:c r="M47" s="49"/>
      <x:c r="N47" s="49"/>
      <x:c r="O47" s="49"/>
      <x:c r="P47" s="49"/>
      <x:c r="Q47" s="49"/>
      <x:c r="R47" s="49"/>
      <x:c r="S47" s="49"/>
      <x:c r="T47" s="49"/>
      <x:c r="U47" s="49"/>
      <x:c r="V47" s="49"/>
      <x:c r="W47" s="49"/>
      <x:c r="X47" s="49"/>
      <x:c r="Y47" s="49"/>
      <x:c r="Z47" s="49"/>
      <x:c r="AA47" s="49"/>
      <x:c r="AB47" s="49"/>
      <x:c r="AC47" s="49"/>
      <x:c r="AD47" s="49"/>
      <x:c r="AE47" s="49"/>
      <x:c r="AF47" s="49"/>
      <x:c r="AG47" s="49"/>
      <x:c r="AH47" s="49"/>
      <x:c r="AI47" s="49"/>
      <x:c r="AJ47" s="49"/>
      <x:c r="AK47" s="49"/>
      <x:c r="AL47" s="49"/>
      <x:c r="AM47" s="49"/>
      <x:c r="AN47" s="49"/>
      <x:c r="AO47" s="49"/>
      <x:c r="AP47" s="49"/>
      <x:c r="AQ47" s="49"/>
      <x:c r="AR47" s="49"/>
      <x:c r="AS47" s="49"/>
      <x:c r="AT47" s="49"/>
      <x:c r="AU47" s="49"/>
      <x:c r="AV47" s="49"/>
      <x:c r="AW47" s="49"/>
      <x:c r="AX47" s="49"/>
      <x:c r="AY47" s="49"/>
      <x:c r="AZ47" s="49"/>
    </x:row>
    <x:row r="48">
      <x:c r="A48" s="49"/>
      <x:c r="B48" s="49"/>
      <x:c r="C48" s="49"/>
      <x:c r="D48" s="49"/>
      <x:c r="E48" s="49"/>
      <x:c r="F48" s="49"/>
      <x:c r="G48" s="49"/>
      <x:c r="H48" s="49"/>
      <x:c r="I48" s="49"/>
      <x:c r="J48" s="49"/>
      <x:c r="K48" s="49"/>
      <x:c r="L48" s="49"/>
      <x:c r="M48" s="49"/>
      <x:c r="N48" s="49"/>
      <x:c r="O48" s="49"/>
      <x:c r="P48" s="49"/>
      <x:c r="Q48" s="49"/>
      <x:c r="R48" s="49"/>
      <x:c r="S48" s="49"/>
      <x:c r="T48" s="49"/>
      <x:c r="U48" s="49"/>
      <x:c r="V48" s="49"/>
      <x:c r="W48" s="49"/>
      <x:c r="X48" s="49"/>
      <x:c r="Y48" s="49"/>
      <x:c r="Z48" s="49"/>
      <x:c r="AA48" s="49"/>
      <x:c r="AB48" s="49"/>
      <x:c r="AC48" s="49"/>
      <x:c r="AD48" s="49"/>
      <x:c r="AE48" s="49"/>
      <x:c r="AF48" s="49"/>
      <x:c r="AG48" s="49"/>
      <x:c r="AH48" s="49"/>
      <x:c r="AI48" s="49"/>
      <x:c r="AJ48" s="49"/>
      <x:c r="AK48" s="49"/>
      <x:c r="AL48" s="49"/>
      <x:c r="AM48" s="49"/>
      <x:c r="AN48" s="49"/>
      <x:c r="AO48" s="49"/>
      <x:c r="AP48" s="49"/>
      <x:c r="AQ48" s="49"/>
      <x:c r="AR48" s="49"/>
      <x:c r="AS48" s="49"/>
      <x:c r="AT48" s="49"/>
      <x:c r="AU48" s="49"/>
      <x:c r="AV48" s="49"/>
      <x:c r="AW48" s="49"/>
      <x:c r="AX48" s="49"/>
      <x:c r="AY48" s="49"/>
      <x:c r="AZ48" s="49"/>
    </x:row>
    <x:row r="49">
      <x:c r="A49" s="49"/>
      <x:c r="B49" s="49"/>
      <x:c r="C49" s="49"/>
      <x:c r="D49" s="49"/>
      <x:c r="E49" s="49"/>
      <x:c r="F49" s="49"/>
      <x:c r="G49" s="49"/>
      <x:c r="H49" s="49"/>
      <x:c r="I49" s="49"/>
      <x:c r="J49" s="49"/>
      <x:c r="K49" s="49"/>
      <x:c r="L49" s="49"/>
      <x:c r="M49" s="49"/>
      <x:c r="N49" s="49"/>
      <x:c r="O49" s="49"/>
      <x:c r="P49" s="49"/>
      <x:c r="Q49" s="49"/>
      <x:c r="R49" s="49"/>
      <x:c r="S49" s="49"/>
      <x:c r="T49" s="49"/>
      <x:c r="U49" s="49"/>
      <x:c r="V49" s="49"/>
      <x:c r="W49" s="49"/>
      <x:c r="X49" s="49"/>
      <x:c r="Y49" s="49"/>
      <x:c r="Z49" s="49"/>
      <x:c r="AA49" s="49"/>
      <x:c r="AB49" s="49"/>
      <x:c r="AC49" s="49"/>
      <x:c r="AD49" s="49"/>
      <x:c r="AE49" s="49"/>
      <x:c r="AF49" s="49"/>
      <x:c r="AG49" s="49"/>
      <x:c r="AH49" s="49"/>
      <x:c r="AI49" s="49"/>
      <x:c r="AJ49" s="49"/>
      <x:c r="AK49" s="49"/>
      <x:c r="AL49" s="49"/>
      <x:c r="AM49" s="49"/>
      <x:c r="AN49" s="49"/>
      <x:c r="AO49" s="49"/>
      <x:c r="AP49" s="49"/>
      <x:c r="AQ49" s="49"/>
      <x:c r="AR49" s="49"/>
      <x:c r="AS49" s="49"/>
      <x:c r="AT49" s="49"/>
      <x:c r="AU49" s="49"/>
      <x:c r="AV49" s="49"/>
      <x:c r="AW49" s="49"/>
      <x:c r="AX49" s="49"/>
      <x:c r="AY49" s="49"/>
      <x:c r="AZ49" s="49"/>
    </x:row>
    <x:row r="50">
      <x:c r="A50" s="49"/>
      <x:c r="B50" s="49"/>
      <x:c r="C50" s="49"/>
      <x:c r="D50" s="49"/>
      <x:c r="E50" s="49"/>
      <x:c r="F50" s="49"/>
      <x:c r="G50" s="49"/>
      <x:c r="H50" s="49"/>
      <x:c r="I50" s="49"/>
      <x:c r="J50" s="49"/>
      <x:c r="K50" s="49"/>
      <x:c r="L50" s="49"/>
      <x:c r="M50" s="49"/>
      <x:c r="N50" s="49"/>
      <x:c r="O50" s="49"/>
      <x:c r="P50" s="49"/>
      <x:c r="Q50" s="49"/>
      <x:c r="R50" s="49"/>
      <x:c r="S50" s="49"/>
      <x:c r="T50" s="49"/>
      <x:c r="U50" s="49"/>
      <x:c r="V50" s="49"/>
      <x:c r="W50" s="49"/>
      <x:c r="X50" s="49"/>
      <x:c r="Y50" s="49"/>
      <x:c r="Z50" s="49"/>
      <x:c r="AA50" s="49"/>
      <x:c r="AB50" s="49"/>
      <x:c r="AC50" s="49"/>
      <x:c r="AD50" s="49"/>
      <x:c r="AE50" s="49"/>
      <x:c r="AF50" s="49"/>
      <x:c r="AG50" s="49"/>
      <x:c r="AH50" s="49"/>
      <x:c r="AI50" s="49"/>
      <x:c r="AJ50" s="49"/>
      <x:c r="AK50" s="49"/>
      <x:c r="AL50" s="49"/>
      <x:c r="AM50" s="49"/>
      <x:c r="AN50" s="49"/>
      <x:c r="AO50" s="49"/>
      <x:c r="AP50" s="49"/>
      <x:c r="AQ50" s="49"/>
      <x:c r="AR50" s="49"/>
      <x:c r="AS50" s="49"/>
      <x:c r="AT50" s="49"/>
      <x:c r="AU50" s="49"/>
      <x:c r="AV50" s="49"/>
      <x:c r="AW50" s="49"/>
      <x:c r="AX50" s="49"/>
      <x:c r="AY50" s="49"/>
      <x:c r="AZ50" s="49"/>
    </x:row>
    <x:row r="51">
      <x:c r="A51" s="49"/>
      <x:c r="B51" s="49"/>
      <x:c r="C51" s="49"/>
      <x:c r="D51" s="49"/>
      <x:c r="E51" s="49"/>
      <x:c r="F51" s="49"/>
      <x:c r="G51" s="49"/>
      <x:c r="H51" s="49"/>
      <x:c r="I51" s="49"/>
      <x:c r="J51" s="49"/>
      <x:c r="K51" s="49"/>
      <x:c r="L51" s="49"/>
      <x:c r="M51" s="49"/>
      <x:c r="N51" s="49"/>
      <x:c r="O51" s="49"/>
      <x:c r="P51" s="49"/>
      <x:c r="Q51" s="49"/>
      <x:c r="R51" s="49"/>
      <x:c r="S51" s="49"/>
      <x:c r="T51" s="49"/>
      <x:c r="U51" s="49"/>
      <x:c r="V51" s="49"/>
      <x:c r="W51" s="49"/>
      <x:c r="X51" s="49"/>
      <x:c r="Y51" s="49"/>
      <x:c r="Z51" s="49"/>
      <x:c r="AA51" s="49"/>
      <x:c r="AB51" s="49"/>
      <x:c r="AC51" s="49"/>
      <x:c r="AD51" s="49"/>
      <x:c r="AE51" s="49"/>
      <x:c r="AF51" s="49"/>
      <x:c r="AG51" s="49"/>
      <x:c r="AH51" s="49"/>
      <x:c r="AI51" s="49"/>
      <x:c r="AJ51" s="49"/>
      <x:c r="AK51" s="49"/>
      <x:c r="AL51" s="49"/>
      <x:c r="AM51" s="49"/>
      <x:c r="AN51" s="49"/>
      <x:c r="AO51" s="49"/>
      <x:c r="AP51" s="49"/>
      <x:c r="AQ51" s="49"/>
      <x:c r="AR51" s="49"/>
      <x:c r="AS51" s="49"/>
      <x:c r="AT51" s="49"/>
      <x:c r="AU51" s="49"/>
      <x:c r="AV51" s="49"/>
      <x:c r="AW51" s="49"/>
      <x:c r="AX51" s="49"/>
      <x:c r="AY51" s="49"/>
      <x:c r="AZ51" s="49"/>
    </x:row>
    <x:row r="52">
      <x:c r="A52" s="49"/>
      <x:c r="B52" s="49"/>
      <x:c r="C52" s="49"/>
      <x:c r="D52" s="49"/>
      <x:c r="E52" s="49"/>
      <x:c r="F52" s="49"/>
      <x:c r="G52" s="49"/>
      <x:c r="H52" s="49"/>
      <x:c r="I52" s="49"/>
      <x:c r="J52" s="49"/>
      <x:c r="K52" s="49"/>
      <x:c r="L52" s="49"/>
      <x:c r="M52" s="49"/>
      <x:c r="N52" s="49"/>
      <x:c r="O52" s="49"/>
      <x:c r="P52" s="49"/>
      <x:c r="Q52" s="49"/>
      <x:c r="R52" s="49"/>
      <x:c r="S52" s="49"/>
      <x:c r="T52" s="49"/>
      <x:c r="U52" s="49"/>
      <x:c r="V52" s="49"/>
      <x:c r="W52" s="49"/>
      <x:c r="X52" s="49"/>
      <x:c r="Y52" s="49"/>
      <x:c r="Z52" s="49"/>
      <x:c r="AA52" s="49"/>
      <x:c r="AB52" s="49"/>
      <x:c r="AC52" s="49"/>
      <x:c r="AD52" s="49"/>
      <x:c r="AE52" s="49"/>
      <x:c r="AF52" s="49"/>
      <x:c r="AG52" s="49"/>
      <x:c r="AH52" s="49"/>
      <x:c r="AI52" s="49"/>
      <x:c r="AJ52" s="49"/>
      <x:c r="AK52" s="49"/>
      <x:c r="AL52" s="49"/>
      <x:c r="AM52" s="49"/>
      <x:c r="AN52" s="49"/>
      <x:c r="AO52" s="49"/>
      <x:c r="AP52" s="49"/>
      <x:c r="AQ52" s="49"/>
      <x:c r="AR52" s="49"/>
      <x:c r="AS52" s="49"/>
      <x:c r="AT52" s="49"/>
      <x:c r="AU52" s="49"/>
      <x:c r="AV52" s="49"/>
      <x:c r="AW52" s="49"/>
      <x:c r="AX52" s="49"/>
      <x:c r="AY52" s="49"/>
      <x:c r="AZ52" s="49"/>
    </x:row>
    <x:row r="53">
      <x:c r="A53" s="49"/>
      <x:c r="B53" s="49"/>
      <x:c r="C53" s="49"/>
      <x:c r="D53" s="49"/>
      <x:c r="E53" s="49"/>
      <x:c r="F53" s="49"/>
      <x:c r="G53" s="49"/>
      <x:c r="H53" s="49"/>
      <x:c r="I53" s="49"/>
      <x:c r="J53" s="49"/>
      <x:c r="K53" s="49"/>
      <x:c r="L53" s="49"/>
      <x:c r="M53" s="49"/>
      <x:c r="N53" s="49"/>
      <x:c r="O53" s="49"/>
      <x:c r="P53" s="49"/>
      <x:c r="Q53" s="49"/>
      <x:c r="R53" s="49"/>
      <x:c r="S53" s="49"/>
      <x:c r="T53" s="49"/>
      <x:c r="U53" s="49"/>
      <x:c r="V53" s="49"/>
      <x:c r="W53" s="49"/>
      <x:c r="X53" s="49"/>
      <x:c r="Y53" s="49"/>
      <x:c r="Z53" s="49"/>
      <x:c r="AA53" s="49"/>
      <x:c r="AB53" s="49"/>
      <x:c r="AC53" s="49"/>
      <x:c r="AD53" s="49"/>
      <x:c r="AE53" s="49"/>
      <x:c r="AF53" s="49"/>
      <x:c r="AG53" s="49"/>
      <x:c r="AH53" s="49"/>
      <x:c r="AI53" s="49"/>
      <x:c r="AJ53" s="49"/>
      <x:c r="AK53" s="49"/>
      <x:c r="AL53" s="49"/>
      <x:c r="AM53" s="49"/>
      <x:c r="AN53" s="49"/>
      <x:c r="AO53" s="49"/>
      <x:c r="AP53" s="49"/>
      <x:c r="AQ53" s="49"/>
      <x:c r="AR53" s="49"/>
      <x:c r="AS53" s="49"/>
      <x:c r="AT53" s="49"/>
      <x:c r="AU53" s="49"/>
      <x:c r="AV53" s="49"/>
      <x:c r="AW53" s="49"/>
      <x:c r="AX53" s="49"/>
      <x:c r="AY53" s="49"/>
      <x:c r="AZ53" s="49"/>
    </x:row>
    <x:row r="54">
      <x:c r="A54" s="49"/>
      <x:c r="B54" s="49"/>
      <x:c r="C54" s="49"/>
      <x:c r="D54" s="49"/>
      <x:c r="E54" s="49"/>
      <x:c r="F54" s="49"/>
      <x:c r="G54" s="49"/>
      <x:c r="H54" s="49"/>
      <x:c r="I54" s="49"/>
      <x:c r="J54" s="49"/>
      <x:c r="K54" s="49"/>
      <x:c r="L54" s="49"/>
      <x:c r="M54" s="49"/>
      <x:c r="N54" s="49"/>
      <x:c r="O54" s="49"/>
      <x:c r="P54" s="49"/>
      <x:c r="Q54" s="49"/>
      <x:c r="R54" s="49"/>
      <x:c r="S54" s="49"/>
      <x:c r="T54" s="49"/>
      <x:c r="U54" s="49"/>
      <x:c r="V54" s="49"/>
      <x:c r="W54" s="49"/>
      <x:c r="X54" s="49"/>
      <x:c r="Y54" s="49"/>
      <x:c r="Z54" s="49"/>
      <x:c r="AA54" s="49"/>
      <x:c r="AB54" s="49"/>
      <x:c r="AC54" s="49"/>
      <x:c r="AD54" s="49"/>
      <x:c r="AE54" s="49"/>
      <x:c r="AF54" s="49"/>
      <x:c r="AG54" s="49"/>
      <x:c r="AH54" s="49"/>
      <x:c r="AI54" s="49"/>
      <x:c r="AJ54" s="49"/>
      <x:c r="AK54" s="49"/>
      <x:c r="AL54" s="49"/>
      <x:c r="AM54" s="49"/>
      <x:c r="AN54" s="49"/>
      <x:c r="AO54" s="49"/>
      <x:c r="AP54" s="49"/>
      <x:c r="AQ54" s="49"/>
      <x:c r="AR54" s="49"/>
      <x:c r="AS54" s="49"/>
      <x:c r="AT54" s="49"/>
      <x:c r="AU54" s="49"/>
      <x:c r="AV54" s="49"/>
      <x:c r="AW54" s="49"/>
      <x:c r="AX54" s="49"/>
      <x:c r="AY54" s="49"/>
      <x:c r="AZ54" s="49"/>
    </x:row>
    <x:row r="55">
      <x:c r="A55" s="49"/>
      <x:c r="B55" s="49"/>
      <x:c r="C55" s="49"/>
      <x:c r="D55" s="49"/>
      <x:c r="E55" s="49"/>
      <x:c r="F55" s="49"/>
      <x:c r="G55" s="49"/>
      <x:c r="H55" s="49"/>
      <x:c r="I55" s="49"/>
      <x:c r="J55" s="49"/>
      <x:c r="K55" s="49"/>
      <x:c r="L55" s="49"/>
      <x:c r="M55" s="49"/>
      <x:c r="N55" s="49"/>
      <x:c r="O55" s="49"/>
      <x:c r="P55" s="49"/>
      <x:c r="Q55" s="49"/>
      <x:c r="R55" s="49"/>
      <x:c r="S55" s="49"/>
      <x:c r="T55" s="49"/>
      <x:c r="U55" s="49"/>
      <x:c r="V55" s="49"/>
      <x:c r="W55" s="49"/>
      <x:c r="X55" s="49"/>
      <x:c r="Y55" s="49"/>
      <x:c r="Z55" s="49"/>
      <x:c r="AA55" s="49"/>
      <x:c r="AB55" s="49"/>
      <x:c r="AC55" s="49"/>
      <x:c r="AD55" s="49"/>
      <x:c r="AE55" s="49"/>
      <x:c r="AF55" s="49"/>
      <x:c r="AG55" s="49"/>
      <x:c r="AH55" s="49"/>
      <x:c r="AI55" s="49"/>
      <x:c r="AJ55" s="49"/>
      <x:c r="AK55" s="49"/>
      <x:c r="AL55" s="49"/>
      <x:c r="AM55" s="49"/>
      <x:c r="AN55" s="49"/>
      <x:c r="AO55" s="49"/>
      <x:c r="AP55" s="49"/>
      <x:c r="AQ55" s="49"/>
      <x:c r="AR55" s="49"/>
      <x:c r="AS55" s="49"/>
      <x:c r="AT55" s="49"/>
      <x:c r="AU55" s="49"/>
      <x:c r="AV55" s="49"/>
      <x:c r="AW55" s="49"/>
      <x:c r="AX55" s="49"/>
      <x:c r="AY55" s="49"/>
      <x:c r="AZ55" s="49"/>
    </x:row>
    <x:row r="56">
      <x:c r="A56" s="49"/>
      <x:c r="B56" s="49"/>
      <x:c r="C56" s="49"/>
      <x:c r="D56" s="49"/>
      <x:c r="E56" s="49"/>
      <x:c r="F56" s="49"/>
      <x:c r="G56" s="49"/>
      <x:c r="H56" s="49"/>
      <x:c r="I56" s="49"/>
      <x:c r="J56" s="49"/>
      <x:c r="K56" s="49"/>
      <x:c r="L56" s="49"/>
      <x:c r="M56" s="49"/>
      <x:c r="N56" s="49"/>
      <x:c r="O56" s="49"/>
      <x:c r="P56" s="49"/>
      <x:c r="Q56" s="49"/>
      <x:c r="R56" s="49"/>
      <x:c r="S56" s="49"/>
      <x:c r="T56" s="49"/>
      <x:c r="U56" s="49"/>
      <x:c r="V56" s="49"/>
      <x:c r="W56" s="49"/>
      <x:c r="X56" s="49"/>
      <x:c r="Y56" s="49"/>
      <x:c r="Z56" s="49"/>
      <x:c r="AA56" s="49"/>
      <x:c r="AB56" s="49"/>
      <x:c r="AC56" s="49"/>
      <x:c r="AD56" s="49"/>
      <x:c r="AE56" s="49"/>
      <x:c r="AF56" s="49"/>
      <x:c r="AG56" s="49"/>
      <x:c r="AH56" s="49"/>
      <x:c r="AI56" s="49"/>
      <x:c r="AJ56" s="49"/>
      <x:c r="AK56" s="49"/>
      <x:c r="AL56" s="49"/>
      <x:c r="AM56" s="49"/>
      <x:c r="AN56" s="49"/>
      <x:c r="AO56" s="49"/>
      <x:c r="AP56" s="49"/>
      <x:c r="AQ56" s="49"/>
      <x:c r="AR56" s="49"/>
      <x:c r="AS56" s="49"/>
      <x:c r="AT56" s="49"/>
      <x:c r="AU56" s="49"/>
      <x:c r="AV56" s="49"/>
      <x:c r="AW56" s="49"/>
      <x:c r="AX56" s="49"/>
      <x:c r="AY56" s="49"/>
      <x:c r="AZ56" s="49"/>
    </x:row>
    <x:row r="57">
      <x:c r="A57" s="49"/>
      <x:c r="B57" s="49"/>
      <x:c r="C57" s="49"/>
      <x:c r="D57" s="49"/>
      <x:c r="E57" s="49"/>
      <x:c r="F57" s="49"/>
      <x:c r="G57" s="49"/>
      <x:c r="H57" s="49"/>
      <x:c r="I57" s="49"/>
      <x:c r="J57" s="49"/>
      <x:c r="K57" s="49"/>
      <x:c r="L57" s="49"/>
      <x:c r="M57" s="49"/>
      <x:c r="N57" s="49"/>
      <x:c r="O57" s="49"/>
      <x:c r="P57" s="49"/>
      <x:c r="Q57" s="49"/>
      <x:c r="R57" s="49"/>
      <x:c r="S57" s="49"/>
      <x:c r="T57" s="49"/>
      <x:c r="U57" s="49"/>
      <x:c r="V57" s="49"/>
      <x:c r="W57" s="49"/>
      <x:c r="X57" s="49"/>
      <x:c r="Y57" s="49"/>
      <x:c r="Z57" s="49"/>
      <x:c r="AA57" s="49"/>
      <x:c r="AB57" s="49"/>
      <x:c r="AC57" s="49"/>
      <x:c r="AD57" s="49"/>
      <x:c r="AE57" s="49"/>
      <x:c r="AF57" s="49"/>
      <x:c r="AG57" s="49"/>
      <x:c r="AH57" s="49"/>
      <x:c r="AI57" s="49"/>
      <x:c r="AJ57" s="49"/>
      <x:c r="AK57" s="49"/>
      <x:c r="AL57" s="49"/>
      <x:c r="AM57" s="49"/>
      <x:c r="AN57" s="49"/>
      <x:c r="AO57" s="49"/>
      <x:c r="AP57" s="49"/>
      <x:c r="AQ57" s="49"/>
      <x:c r="AR57" s="49"/>
      <x:c r="AS57" s="49"/>
      <x:c r="AT57" s="49"/>
      <x:c r="AU57" s="49"/>
      <x:c r="AV57" s="49"/>
      <x:c r="AW57" s="49"/>
      <x:c r="AX57" s="49"/>
      <x:c r="AY57" s="49"/>
      <x:c r="AZ57" s="49"/>
    </x:row>
    <x:row r="58">
      <x:c r="A58" s="49"/>
      <x:c r="B58" s="49"/>
      <x:c r="C58" s="49"/>
      <x:c r="D58" s="49"/>
      <x:c r="E58" s="49"/>
      <x:c r="F58" s="49"/>
      <x:c r="G58" s="49"/>
      <x:c r="H58" s="49"/>
      <x:c r="I58" s="49"/>
      <x:c r="J58" s="49"/>
      <x:c r="K58" s="49"/>
      <x:c r="L58" s="49"/>
      <x:c r="M58" s="49"/>
      <x:c r="N58" s="49"/>
      <x:c r="O58" s="49"/>
      <x:c r="P58" s="49"/>
      <x:c r="Q58" s="49"/>
      <x:c r="R58" s="49"/>
      <x:c r="S58" s="49"/>
      <x:c r="T58" s="49"/>
      <x:c r="U58" s="49"/>
      <x:c r="V58" s="49"/>
      <x:c r="W58" s="49"/>
      <x:c r="X58" s="49"/>
      <x:c r="Y58" s="49"/>
      <x:c r="Z58" s="49"/>
      <x:c r="AA58" s="49"/>
      <x:c r="AB58" s="49"/>
      <x:c r="AC58" s="49"/>
      <x:c r="AD58" s="49"/>
      <x:c r="AE58" s="49"/>
      <x:c r="AF58" s="49"/>
      <x:c r="AG58" s="49"/>
      <x:c r="AH58" s="49"/>
      <x:c r="AI58" s="49"/>
      <x:c r="AJ58" s="49"/>
      <x:c r="AK58" s="49"/>
      <x:c r="AL58" s="49"/>
      <x:c r="AM58" s="49"/>
      <x:c r="AN58" s="49"/>
      <x:c r="AO58" s="49"/>
      <x:c r="AP58" s="49"/>
      <x:c r="AQ58" s="49"/>
      <x:c r="AR58" s="49"/>
      <x:c r="AS58" s="49"/>
      <x:c r="AT58" s="49"/>
      <x:c r="AU58" s="49"/>
      <x:c r="AV58" s="49"/>
      <x:c r="AW58" s="49"/>
      <x:c r="AX58" s="49"/>
      <x:c r="AY58" s="49"/>
      <x:c r="AZ58" s="49"/>
    </x:row>
    <x:row r="59">
      <x:c r="A59" s="49"/>
      <x:c r="B59" s="49"/>
      <x:c r="C59" s="49"/>
      <x:c r="D59" s="49"/>
      <x:c r="E59" s="49"/>
      <x:c r="F59" s="49"/>
      <x:c r="G59" s="49"/>
      <x:c r="H59" s="49"/>
      <x:c r="I59" s="49"/>
      <x:c r="J59" s="49"/>
      <x:c r="K59" s="49"/>
      <x:c r="L59" s="49"/>
      <x:c r="M59" s="49"/>
      <x:c r="N59" s="49"/>
      <x:c r="O59" s="49"/>
      <x:c r="P59" s="49"/>
      <x:c r="Q59" s="49"/>
      <x:c r="R59" s="49"/>
      <x:c r="S59" s="49"/>
      <x:c r="T59" s="49"/>
      <x:c r="U59" s="49"/>
      <x:c r="V59" s="49"/>
      <x:c r="W59" s="49"/>
      <x:c r="X59" s="49"/>
      <x:c r="Y59" s="49"/>
      <x:c r="Z59" s="49"/>
      <x:c r="AA59" s="49"/>
      <x:c r="AB59" s="49"/>
      <x:c r="AC59" s="49"/>
      <x:c r="AD59" s="49"/>
      <x:c r="AE59" s="49"/>
      <x:c r="AF59" s="49"/>
      <x:c r="AG59" s="49"/>
      <x:c r="AH59" s="49"/>
      <x:c r="AI59" s="49"/>
      <x:c r="AJ59" s="49"/>
      <x:c r="AK59" s="49"/>
      <x:c r="AL59" s="49"/>
      <x:c r="AM59" s="49"/>
      <x:c r="AN59" s="49"/>
      <x:c r="AO59" s="49"/>
      <x:c r="AP59" s="49"/>
      <x:c r="AQ59" s="49"/>
      <x:c r="AR59" s="49"/>
      <x:c r="AS59" s="49"/>
      <x:c r="AT59" s="49"/>
      <x:c r="AU59" s="49"/>
      <x:c r="AV59" s="49"/>
      <x:c r="AW59" s="49"/>
      <x:c r="AX59" s="49"/>
      <x:c r="AY59" s="49"/>
      <x:c r="AZ59" s="49"/>
    </x:row>
    <x:row r="60">
      <x:c r="A60" s="49"/>
      <x:c r="B60" s="49"/>
      <x:c r="C60" s="49"/>
      <x:c r="D60" s="49"/>
      <x:c r="E60" s="49"/>
      <x:c r="F60" s="49"/>
      <x:c r="G60" s="49"/>
      <x:c r="H60" s="49"/>
      <x:c r="I60" s="49"/>
      <x:c r="J60" s="49"/>
      <x:c r="K60" s="49"/>
      <x:c r="L60" s="49"/>
      <x:c r="M60" s="49"/>
      <x:c r="N60" s="49"/>
      <x:c r="O60" s="49"/>
      <x:c r="P60" s="49"/>
      <x:c r="Q60" s="49"/>
      <x:c r="R60" s="49"/>
      <x:c r="S60" s="49"/>
      <x:c r="T60" s="49"/>
      <x:c r="U60" s="49"/>
      <x:c r="V60" s="49"/>
      <x:c r="W60" s="49"/>
      <x:c r="X60" s="49"/>
      <x:c r="Y60" s="49"/>
      <x:c r="Z60" s="49"/>
      <x:c r="AA60" s="49"/>
      <x:c r="AB60" s="49"/>
      <x:c r="AC60" s="49"/>
      <x:c r="AD60" s="49"/>
      <x:c r="AE60" s="49"/>
      <x:c r="AF60" s="49"/>
      <x:c r="AG60" s="49"/>
      <x:c r="AH60" s="49"/>
      <x:c r="AI60" s="49"/>
      <x:c r="AJ60" s="49"/>
      <x:c r="AK60" s="49"/>
      <x:c r="AL60" s="49"/>
      <x:c r="AM60" s="49"/>
      <x:c r="AN60" s="49"/>
      <x:c r="AO60" s="49"/>
      <x:c r="AP60" s="49"/>
      <x:c r="AQ60" s="49"/>
      <x:c r="AR60" s="49"/>
      <x:c r="AS60" s="49"/>
      <x:c r="AT60" s="49"/>
      <x:c r="AU60" s="49"/>
      <x:c r="AV60" s="49"/>
      <x:c r="AW60" s="49"/>
      <x:c r="AX60" s="49"/>
      <x:c r="AY60" s="49"/>
      <x:c r="AZ60" s="49"/>
    </x:row>
    <x:row r="61">
      <x:c r="A61" s="49"/>
      <x:c r="B61" s="49"/>
      <x:c r="C61" s="49"/>
      <x:c r="D61" s="49"/>
      <x:c r="E61" s="49"/>
      <x:c r="F61" s="49"/>
      <x:c r="G61" s="49"/>
      <x:c r="H61" s="49"/>
      <x:c r="I61" s="49"/>
      <x:c r="J61" s="49"/>
      <x:c r="K61" s="49"/>
      <x:c r="L61" s="49"/>
      <x:c r="M61" s="49"/>
      <x:c r="N61" s="49"/>
      <x:c r="O61" s="49"/>
      <x:c r="P61" s="49"/>
      <x:c r="Q61" s="49"/>
      <x:c r="R61" s="49"/>
      <x:c r="S61" s="49"/>
      <x:c r="T61" s="49"/>
      <x:c r="U61" s="49"/>
      <x:c r="V61" s="49"/>
      <x:c r="W61" s="49"/>
      <x:c r="X61" s="49"/>
      <x:c r="Y61" s="49"/>
      <x:c r="Z61" s="49"/>
      <x:c r="AA61" s="49"/>
      <x:c r="AB61" s="49"/>
      <x:c r="AC61" s="49"/>
      <x:c r="AD61" s="49"/>
      <x:c r="AE61" s="49"/>
      <x:c r="AF61" s="49"/>
      <x:c r="AG61" s="49"/>
      <x:c r="AH61" s="49"/>
      <x:c r="AI61" s="49"/>
      <x:c r="AJ61" s="49"/>
      <x:c r="AK61" s="49"/>
      <x:c r="AL61" s="49"/>
      <x:c r="AM61" s="49"/>
      <x:c r="AN61" s="49"/>
      <x:c r="AO61" s="49"/>
      <x:c r="AP61" s="49"/>
      <x:c r="AQ61" s="49"/>
      <x:c r="AR61" s="49"/>
      <x:c r="AS61" s="49"/>
      <x:c r="AT61" s="49"/>
      <x:c r="AU61" s="49"/>
      <x:c r="AV61" s="49"/>
      <x:c r="AW61" s="49"/>
      <x:c r="AX61" s="49"/>
      <x:c r="AY61" s="49"/>
      <x:c r="AZ61" s="49"/>
    </x:row>
    <x:row r="62">
      <x:c r="A62" s="49"/>
      <x:c r="B62" s="49"/>
      <x:c r="C62" s="49"/>
      <x:c r="D62" s="49"/>
      <x:c r="E62" s="49"/>
      <x:c r="F62" s="49"/>
      <x:c r="G62" s="49"/>
      <x:c r="H62" s="49"/>
      <x:c r="I62" s="49"/>
      <x:c r="J62" s="49"/>
      <x:c r="K62" s="49"/>
      <x:c r="L62" s="49"/>
      <x:c r="M62" s="49"/>
      <x:c r="N62" s="49"/>
      <x:c r="O62" s="49"/>
      <x:c r="P62" s="49"/>
      <x:c r="Q62" s="49"/>
      <x:c r="R62" s="49"/>
      <x:c r="S62" s="49"/>
      <x:c r="T62" s="49"/>
      <x:c r="U62" s="49"/>
      <x:c r="V62" s="49"/>
      <x:c r="W62" s="49"/>
      <x:c r="X62" s="49"/>
      <x:c r="Y62" s="49"/>
      <x:c r="Z62" s="49"/>
      <x:c r="AA62" s="49"/>
      <x:c r="AB62" s="49"/>
      <x:c r="AC62" s="49"/>
      <x:c r="AD62" s="49"/>
      <x:c r="AE62" s="49"/>
      <x:c r="AF62" s="49"/>
      <x:c r="AG62" s="49"/>
      <x:c r="AH62" s="49"/>
      <x:c r="AI62" s="49"/>
      <x:c r="AJ62" s="49"/>
      <x:c r="AK62" s="49"/>
      <x:c r="AL62" s="49"/>
      <x:c r="AM62" s="49"/>
      <x:c r="AN62" s="49"/>
      <x:c r="AO62" s="49"/>
      <x:c r="AP62" s="49"/>
      <x:c r="AQ62" s="49"/>
      <x:c r="AR62" s="49"/>
      <x:c r="AS62" s="49"/>
      <x:c r="AT62" s="49"/>
      <x:c r="AU62" s="49"/>
      <x:c r="AV62" s="49"/>
      <x:c r="AW62" s="49"/>
      <x:c r="AX62" s="49"/>
      <x:c r="AY62" s="49"/>
      <x:c r="AZ62" s="49"/>
    </x:row>
    <x:row r="63">
      <x:c r="A63" s="49"/>
      <x:c r="B63" s="49"/>
      <x:c r="C63" s="49"/>
      <x:c r="D63" s="49"/>
      <x:c r="E63" s="49"/>
      <x:c r="F63" s="49"/>
      <x:c r="G63" s="49"/>
      <x:c r="H63" s="49"/>
      <x:c r="I63" s="49"/>
      <x:c r="J63" s="49"/>
      <x:c r="K63" s="49"/>
      <x:c r="L63" s="49"/>
      <x:c r="M63" s="49"/>
      <x:c r="N63" s="49"/>
      <x:c r="O63" s="49"/>
      <x:c r="P63" s="49"/>
      <x:c r="Q63" s="49"/>
      <x:c r="R63" s="49"/>
      <x:c r="S63" s="49"/>
      <x:c r="T63" s="49"/>
      <x:c r="U63" s="49"/>
      <x:c r="V63" s="49"/>
      <x:c r="W63" s="49"/>
      <x:c r="X63" s="49"/>
      <x:c r="Y63" s="49"/>
      <x:c r="Z63" s="49"/>
      <x:c r="AA63" s="49"/>
      <x:c r="AB63" s="49"/>
      <x:c r="AC63" s="49"/>
      <x:c r="AD63" s="49"/>
      <x:c r="AE63" s="49"/>
      <x:c r="AF63" s="49"/>
      <x:c r="AG63" s="49"/>
      <x:c r="AH63" s="49"/>
      <x:c r="AI63" s="49"/>
      <x:c r="AJ63" s="49"/>
      <x:c r="AK63" s="49"/>
      <x:c r="AL63" s="49"/>
      <x:c r="AM63" s="49"/>
      <x:c r="AN63" s="49"/>
      <x:c r="AO63" s="49"/>
      <x:c r="AP63" s="49"/>
      <x:c r="AQ63" s="49"/>
      <x:c r="AR63" s="49"/>
      <x:c r="AS63" s="49"/>
      <x:c r="AT63" s="49"/>
      <x:c r="AU63" s="49"/>
      <x:c r="AV63" s="49"/>
      <x:c r="AW63" s="49"/>
      <x:c r="AX63" s="49"/>
      <x:c r="AY63" s="49"/>
      <x:c r="AZ63" s="49"/>
    </x:row>
    <x:row r="64">
      <x:c r="A64" s="49"/>
      <x:c r="B64" s="49"/>
      <x:c r="C64" s="49"/>
      <x:c r="D64" s="49"/>
      <x:c r="E64" s="49"/>
      <x:c r="F64" s="49"/>
      <x:c r="G64" s="49"/>
      <x:c r="H64" s="49"/>
      <x:c r="I64" s="49"/>
      <x:c r="J64" s="49"/>
      <x:c r="K64" s="49"/>
      <x:c r="L64" s="49"/>
      <x:c r="M64" s="49"/>
      <x:c r="N64" s="49"/>
      <x:c r="O64" s="49"/>
      <x:c r="P64" s="49"/>
      <x:c r="Q64" s="49"/>
      <x:c r="R64" s="49"/>
      <x:c r="S64" s="49"/>
      <x:c r="T64" s="49"/>
      <x:c r="U64" s="49"/>
      <x:c r="V64" s="49"/>
      <x:c r="W64" s="49"/>
      <x:c r="X64" s="49"/>
      <x:c r="Y64" s="49"/>
      <x:c r="Z64" s="49"/>
      <x:c r="AA64" s="49"/>
      <x:c r="AB64" s="49"/>
      <x:c r="AC64" s="49"/>
      <x:c r="AD64" s="49"/>
      <x:c r="AE64" s="49"/>
      <x:c r="AF64" s="49"/>
      <x:c r="AG64" s="49"/>
      <x:c r="AH64" s="49"/>
      <x:c r="AI64" s="49"/>
      <x:c r="AJ64" s="49"/>
      <x:c r="AK64" s="49"/>
      <x:c r="AL64" s="49"/>
      <x:c r="AM64" s="49"/>
      <x:c r="AN64" s="49"/>
      <x:c r="AO64" s="49"/>
      <x:c r="AP64" s="49"/>
      <x:c r="AQ64" s="49"/>
      <x:c r="AR64" s="49"/>
      <x:c r="AS64" s="49"/>
      <x:c r="AT64" s="49"/>
      <x:c r="AU64" s="49"/>
      <x:c r="AV64" s="49"/>
      <x:c r="AW64" s="49"/>
      <x:c r="AX64" s="49"/>
      <x:c r="AY64" s="49"/>
      <x:c r="AZ64" s="49"/>
    </x:row>
    <x:row r="65">
      <x:c r="A65" s="49"/>
      <x:c r="B65" s="49"/>
      <x:c r="C65" s="49"/>
      <x:c r="D65" s="49"/>
      <x:c r="E65" s="49"/>
      <x:c r="F65" s="49"/>
      <x:c r="G65" s="49"/>
      <x:c r="H65" s="49"/>
      <x:c r="I65" s="49"/>
      <x:c r="J65" s="49"/>
      <x:c r="K65" s="49"/>
      <x:c r="L65" s="49"/>
      <x:c r="M65" s="49"/>
      <x:c r="N65" s="49"/>
      <x:c r="O65" s="49"/>
      <x:c r="P65" s="49"/>
      <x:c r="Q65" s="49"/>
      <x:c r="R65" s="49"/>
      <x:c r="S65" s="49"/>
      <x:c r="T65" s="49"/>
      <x:c r="U65" s="49"/>
      <x:c r="V65" s="49"/>
      <x:c r="W65" s="49"/>
      <x:c r="X65" s="49"/>
      <x:c r="Y65" s="49"/>
      <x:c r="Z65" s="49"/>
      <x:c r="AA65" s="49"/>
      <x:c r="AB65" s="49"/>
      <x:c r="AC65" s="49"/>
      <x:c r="AD65" s="49"/>
      <x:c r="AE65" s="49"/>
      <x:c r="AF65" s="49"/>
      <x:c r="AG65" s="49"/>
      <x:c r="AH65" s="49"/>
      <x:c r="AI65" s="49"/>
      <x:c r="AJ65" s="49"/>
      <x:c r="AK65" s="49"/>
      <x:c r="AL65" s="49"/>
      <x:c r="AM65" s="49"/>
      <x:c r="AN65" s="49"/>
      <x:c r="AO65" s="49"/>
      <x:c r="AP65" s="49"/>
      <x:c r="AQ65" s="49"/>
      <x:c r="AR65" s="49"/>
      <x:c r="AS65" s="49"/>
      <x:c r="AT65" s="49"/>
      <x:c r="AU65" s="49"/>
      <x:c r="AV65" s="49"/>
      <x:c r="AW65" s="49"/>
      <x:c r="AX65" s="49"/>
      <x:c r="AY65" s="49"/>
      <x:c r="AZ65" s="49"/>
    </x:row>
    <x:row r="66">
      <x:c r="A66" s="49"/>
      <x:c r="B66" s="49"/>
      <x:c r="C66" s="49"/>
      <x:c r="D66" s="49"/>
      <x:c r="E66" s="49"/>
      <x:c r="F66" s="49"/>
      <x:c r="G66" s="49"/>
      <x:c r="H66" s="49"/>
      <x:c r="I66" s="49"/>
      <x:c r="J66" s="49"/>
      <x:c r="K66" s="49"/>
      <x:c r="L66" s="49"/>
      <x:c r="M66" s="49"/>
      <x:c r="N66" s="49"/>
      <x:c r="O66" s="49"/>
      <x:c r="P66" s="49"/>
      <x:c r="Q66" s="49"/>
      <x:c r="R66" s="49"/>
      <x:c r="S66" s="49"/>
      <x:c r="T66" s="49"/>
      <x:c r="U66" s="49"/>
      <x:c r="V66" s="49"/>
      <x:c r="W66" s="49"/>
      <x:c r="X66" s="49"/>
      <x:c r="Y66" s="49"/>
      <x:c r="Z66" s="49"/>
      <x:c r="AA66" s="49"/>
      <x:c r="AB66" s="49"/>
      <x:c r="AC66" s="49"/>
      <x:c r="AD66" s="49"/>
      <x:c r="AE66" s="49"/>
      <x:c r="AF66" s="49"/>
      <x:c r="AG66" s="49"/>
      <x:c r="AH66" s="49"/>
      <x:c r="AI66" s="49"/>
      <x:c r="AJ66" s="49"/>
      <x:c r="AK66" s="49"/>
      <x:c r="AL66" s="49"/>
      <x:c r="AM66" s="49"/>
      <x:c r="AN66" s="49"/>
      <x:c r="AO66" s="49"/>
      <x:c r="AP66" s="49"/>
      <x:c r="AQ66" s="49"/>
      <x:c r="AR66" s="49"/>
      <x:c r="AS66" s="49"/>
      <x:c r="AT66" s="49"/>
      <x:c r="AU66" s="49"/>
      <x:c r="AV66" s="49"/>
      <x:c r="AW66" s="49"/>
      <x:c r="AX66" s="49"/>
      <x:c r="AY66" s="49"/>
      <x:c r="AZ66" s="49"/>
    </x:row>
    <x:row r="67">
      <x:c r="A67" s="49"/>
      <x:c r="B67" s="49"/>
      <x:c r="C67" s="49"/>
      <x:c r="D67" s="49"/>
      <x:c r="E67" s="49"/>
      <x:c r="F67" s="49"/>
      <x:c r="G67" s="49"/>
      <x:c r="H67" s="49"/>
      <x:c r="I67" s="49"/>
      <x:c r="J67" s="49"/>
      <x:c r="K67" s="49"/>
      <x:c r="L67" s="49"/>
      <x:c r="M67" s="49"/>
      <x:c r="N67" s="49"/>
      <x:c r="O67" s="49"/>
      <x:c r="P67" s="49"/>
      <x:c r="Q67" s="49"/>
      <x:c r="R67" s="49"/>
      <x:c r="S67" s="49"/>
      <x:c r="T67" s="49"/>
      <x:c r="U67" s="49"/>
      <x:c r="V67" s="49"/>
      <x:c r="W67" s="49"/>
      <x:c r="X67" s="49"/>
      <x:c r="Y67" s="49"/>
      <x:c r="Z67" s="49"/>
      <x:c r="AA67" s="49"/>
      <x:c r="AB67" s="49"/>
      <x:c r="AC67" s="49"/>
      <x:c r="AD67" s="49"/>
      <x:c r="AE67" s="49"/>
      <x:c r="AF67" s="49"/>
      <x:c r="AG67" s="49"/>
      <x:c r="AH67" s="49"/>
      <x:c r="AI67" s="49"/>
      <x:c r="AJ67" s="49"/>
      <x:c r="AK67" s="49"/>
      <x:c r="AL67" s="49"/>
      <x:c r="AM67" s="49"/>
      <x:c r="AN67" s="49"/>
      <x:c r="AO67" s="49"/>
      <x:c r="AP67" s="49"/>
      <x:c r="AQ67" s="49"/>
      <x:c r="AR67" s="49"/>
      <x:c r="AS67" s="49"/>
      <x:c r="AT67" s="49"/>
      <x:c r="AU67" s="49"/>
      <x:c r="AV67" s="49"/>
      <x:c r="AW67" s="49"/>
      <x:c r="AX67" s="49"/>
      <x:c r="AY67" s="49"/>
      <x:c r="AZ67" s="49"/>
    </x:row>
    <x:row r="68">
      <x:c r="A68" s="49"/>
      <x:c r="B68" s="49"/>
      <x:c r="C68" s="49"/>
      <x:c r="D68" s="49"/>
      <x:c r="E68" s="49"/>
      <x:c r="F68" s="49"/>
      <x:c r="G68" s="49"/>
      <x:c r="H68" s="49"/>
      <x:c r="I68" s="49"/>
      <x:c r="J68" s="49"/>
      <x:c r="K68" s="49"/>
      <x:c r="L68" s="49"/>
      <x:c r="M68" s="49"/>
      <x:c r="N68" s="49"/>
      <x:c r="O68" s="49"/>
      <x:c r="P68" s="49"/>
      <x:c r="Q68" s="49"/>
      <x:c r="R68" s="49"/>
      <x:c r="S68" s="49"/>
      <x:c r="T68" s="49"/>
      <x:c r="U68" s="49"/>
      <x:c r="V68" s="49"/>
      <x:c r="W68" s="49"/>
      <x:c r="X68" s="49"/>
      <x:c r="Y68" s="49"/>
      <x:c r="Z68" s="49"/>
      <x:c r="AA68" s="49"/>
      <x:c r="AB68" s="49"/>
      <x:c r="AC68" s="49"/>
      <x:c r="AD68" s="49"/>
      <x:c r="AE68" s="49"/>
      <x:c r="AF68" s="49"/>
      <x:c r="AG68" s="49"/>
      <x:c r="AH68" s="49"/>
      <x:c r="AI68" s="49"/>
      <x:c r="AJ68" s="49"/>
      <x:c r="AK68" s="49"/>
      <x:c r="AL68" s="49"/>
      <x:c r="AM68" s="49"/>
      <x:c r="AN68" s="49"/>
      <x:c r="AO68" s="49"/>
      <x:c r="AP68" s="49"/>
      <x:c r="AQ68" s="49"/>
      <x:c r="AR68" s="49"/>
      <x:c r="AS68" s="49"/>
      <x:c r="AT68" s="49"/>
      <x:c r="AU68" s="49"/>
      <x:c r="AV68" s="49"/>
      <x:c r="AW68" s="49"/>
      <x:c r="AX68" s="49"/>
      <x:c r="AY68" s="49"/>
      <x:c r="AZ68" s="49"/>
    </x:row>
    <x:row r="69">
      <x:c r="A69" s="49"/>
      <x:c r="B69" s="49"/>
      <x:c r="C69" s="49"/>
      <x:c r="D69" s="49"/>
      <x:c r="E69" s="49"/>
      <x:c r="F69" s="49"/>
      <x:c r="G69" s="49"/>
      <x:c r="H69" s="49"/>
      <x:c r="I69" s="49"/>
      <x:c r="J69" s="49"/>
      <x:c r="K69" s="49"/>
      <x:c r="L69" s="49"/>
      <x:c r="M69" s="49"/>
      <x:c r="N69" s="49"/>
      <x:c r="O69" s="49"/>
      <x:c r="P69" s="49"/>
      <x:c r="Q69" s="49"/>
      <x:c r="R69" s="49"/>
      <x:c r="S69" s="49"/>
      <x:c r="T69" s="49"/>
      <x:c r="U69" s="49"/>
      <x:c r="V69" s="49"/>
      <x:c r="W69" s="49"/>
      <x:c r="X69" s="49"/>
      <x:c r="Y69" s="49"/>
      <x:c r="Z69" s="49"/>
      <x:c r="AA69" s="49"/>
      <x:c r="AB69" s="49"/>
      <x:c r="AC69" s="49"/>
      <x:c r="AD69" s="49"/>
      <x:c r="AE69" s="49"/>
      <x:c r="AF69" s="49"/>
      <x:c r="AG69" s="49"/>
      <x:c r="AH69" s="49"/>
      <x:c r="AI69" s="49"/>
      <x:c r="AJ69" s="49"/>
      <x:c r="AK69" s="49"/>
      <x:c r="AL69" s="49"/>
      <x:c r="AM69" s="49"/>
      <x:c r="AN69" s="49"/>
      <x:c r="AO69" s="49"/>
      <x:c r="AP69" s="49"/>
      <x:c r="AQ69" s="49"/>
      <x:c r="AR69" s="49"/>
      <x:c r="AS69" s="49"/>
      <x:c r="AT69" s="49"/>
      <x:c r="AU69" s="49"/>
      <x:c r="AV69" s="49"/>
      <x:c r="AW69" s="49"/>
      <x:c r="AX69" s="49"/>
      <x:c r="AY69" s="49"/>
      <x:c r="AZ69" s="49"/>
    </x:row>
    <x:row r="70">
      <x:c r="A70" s="49"/>
      <x:c r="B70" s="49"/>
      <x:c r="C70" s="49"/>
      <x:c r="D70" s="49"/>
      <x:c r="E70" s="49"/>
      <x:c r="F70" s="49"/>
      <x:c r="G70" s="49"/>
      <x:c r="H70" s="49"/>
      <x:c r="I70" s="49"/>
      <x:c r="J70" s="49"/>
      <x:c r="K70" s="49"/>
      <x:c r="L70" s="49"/>
      <x:c r="M70" s="49"/>
      <x:c r="N70" s="49"/>
      <x:c r="O70" s="49"/>
      <x:c r="P70" s="49"/>
      <x:c r="Q70" s="49"/>
      <x:c r="R70" s="49"/>
      <x:c r="S70" s="49"/>
      <x:c r="T70" s="49"/>
      <x:c r="U70" s="49"/>
      <x:c r="V70" s="49"/>
      <x:c r="W70" s="49"/>
      <x:c r="X70" s="49"/>
      <x:c r="Y70" s="49"/>
      <x:c r="Z70" s="49"/>
      <x:c r="AA70" s="49"/>
      <x:c r="AB70" s="49"/>
      <x:c r="AC70" s="49"/>
      <x:c r="AD70" s="49"/>
      <x:c r="AE70" s="49"/>
      <x:c r="AF70" s="49"/>
      <x:c r="AG70" s="49"/>
      <x:c r="AH70" s="49"/>
      <x:c r="AI70" s="49"/>
      <x:c r="AJ70" s="49"/>
      <x:c r="AK70" s="49"/>
      <x:c r="AL70" s="49"/>
      <x:c r="AM70" s="49"/>
      <x:c r="AN70" s="49"/>
      <x:c r="AO70" s="49"/>
      <x:c r="AP70" s="49"/>
      <x:c r="AQ70" s="49"/>
      <x:c r="AR70" s="49"/>
      <x:c r="AS70" s="49"/>
      <x:c r="AT70" s="49"/>
      <x:c r="AU70" s="49"/>
      <x:c r="AV70" s="49"/>
      <x:c r="AW70" s="49"/>
      <x:c r="AX70" s="49"/>
      <x:c r="AY70" s="49"/>
      <x:c r="AZ70" s="49"/>
    </x:row>
    <x:row r="71">
      <x:c r="A71" s="49"/>
      <x:c r="B71" s="49"/>
      <x:c r="C71" s="49"/>
      <x:c r="D71" s="49"/>
      <x:c r="E71" s="49"/>
      <x:c r="F71" s="49"/>
      <x:c r="G71" s="49"/>
      <x:c r="H71" s="49"/>
      <x:c r="I71" s="49"/>
      <x:c r="J71" s="49"/>
      <x:c r="K71" s="49"/>
      <x:c r="L71" s="49"/>
      <x:c r="M71" s="49"/>
      <x:c r="N71" s="49"/>
      <x:c r="O71" s="49"/>
      <x:c r="P71" s="49"/>
      <x:c r="Q71" s="49"/>
      <x:c r="R71" s="49"/>
      <x:c r="S71" s="49"/>
      <x:c r="T71" s="49"/>
      <x:c r="U71" s="49"/>
      <x:c r="V71" s="49"/>
      <x:c r="W71" s="49"/>
      <x:c r="X71" s="49"/>
      <x:c r="Y71" s="49"/>
      <x:c r="Z71" s="49"/>
      <x:c r="AA71" s="49"/>
      <x:c r="AB71" s="49"/>
      <x:c r="AC71" s="49"/>
      <x:c r="AD71" s="49"/>
      <x:c r="AE71" s="49"/>
      <x:c r="AF71" s="49"/>
      <x:c r="AG71" s="49"/>
      <x:c r="AH71" s="49"/>
      <x:c r="AI71" s="49"/>
      <x:c r="AJ71" s="49"/>
      <x:c r="AK71" s="49"/>
      <x:c r="AL71" s="49"/>
      <x:c r="AM71" s="49"/>
      <x:c r="AN71" s="49"/>
      <x:c r="AO71" s="49"/>
      <x:c r="AP71" s="49"/>
      <x:c r="AQ71" s="49"/>
      <x:c r="AR71" s="49"/>
      <x:c r="AS71" s="49"/>
      <x:c r="AT71" s="49"/>
      <x:c r="AU71" s="49"/>
      <x:c r="AV71" s="49"/>
      <x:c r="AW71" s="49"/>
      <x:c r="AX71" s="49"/>
      <x:c r="AY71" s="49"/>
      <x:c r="AZ71" s="49"/>
    </x:row>
    <x:row r="72">
      <x:c r="A72" s="49"/>
      <x:c r="B72" s="49"/>
      <x:c r="C72" s="49"/>
      <x:c r="D72" s="49"/>
      <x:c r="E72" s="49"/>
      <x:c r="F72" s="49"/>
      <x:c r="G72" s="49"/>
      <x:c r="H72" s="49"/>
      <x:c r="I72" s="49"/>
      <x:c r="J72" s="49"/>
      <x:c r="K72" s="49"/>
      <x:c r="L72" s="49"/>
      <x:c r="M72" s="49"/>
      <x:c r="N72" s="49"/>
      <x:c r="O72" s="49"/>
      <x:c r="P72" s="49"/>
      <x:c r="Q72" s="49"/>
      <x:c r="R72" s="49"/>
      <x:c r="S72" s="49"/>
      <x:c r="T72" s="49"/>
      <x:c r="U72" s="49"/>
      <x:c r="V72" s="49"/>
      <x:c r="W72" s="49"/>
      <x:c r="X72" s="49"/>
      <x:c r="Y72" s="49"/>
      <x:c r="Z72" s="49"/>
      <x:c r="AA72" s="49"/>
      <x:c r="AB72" s="49"/>
      <x:c r="AC72" s="49"/>
      <x:c r="AD72" s="49"/>
      <x:c r="AE72" s="49"/>
      <x:c r="AF72" s="49"/>
      <x:c r="AG72" s="49"/>
      <x:c r="AH72" s="49"/>
      <x:c r="AI72" s="49"/>
      <x:c r="AJ72" s="49"/>
      <x:c r="AK72" s="49"/>
      <x:c r="AL72" s="49"/>
      <x:c r="AM72" s="49"/>
      <x:c r="AN72" s="49"/>
      <x:c r="AO72" s="49"/>
      <x:c r="AP72" s="49"/>
      <x:c r="AQ72" s="49"/>
      <x:c r="AR72" s="49"/>
      <x:c r="AS72" s="49"/>
      <x:c r="AT72" s="49"/>
      <x:c r="AU72" s="49"/>
      <x:c r="AV72" s="49"/>
      <x:c r="AW72" s="49"/>
      <x:c r="AX72" s="49"/>
      <x:c r="AY72" s="49"/>
      <x:c r="AZ72" s="49"/>
    </x:row>
    <x:row r="73">
      <x:c r="A73" s="49"/>
      <x:c r="B73" s="49"/>
      <x:c r="C73" s="49"/>
      <x:c r="D73" s="49"/>
      <x:c r="E73" s="49"/>
      <x:c r="F73" s="49"/>
      <x:c r="G73" s="49"/>
      <x:c r="H73" s="49"/>
      <x:c r="I73" s="49"/>
      <x:c r="J73" s="49"/>
      <x:c r="K73" s="49"/>
      <x:c r="L73" s="49"/>
      <x:c r="M73" s="49"/>
      <x:c r="N73" s="49"/>
      <x:c r="O73" s="49"/>
      <x:c r="P73" s="49"/>
      <x:c r="Q73" s="49"/>
      <x:c r="R73" s="49"/>
      <x:c r="S73" s="49"/>
      <x:c r="T73" s="49"/>
      <x:c r="U73" s="49"/>
      <x:c r="V73" s="49"/>
      <x:c r="W73" s="49"/>
      <x:c r="X73" s="49"/>
      <x:c r="Y73" s="49"/>
      <x:c r="Z73" s="49"/>
      <x:c r="AA73" s="49"/>
      <x:c r="AB73" s="49"/>
      <x:c r="AC73" s="49"/>
      <x:c r="AD73" s="49"/>
      <x:c r="AE73" s="49"/>
      <x:c r="AF73" s="49"/>
      <x:c r="AG73" s="49"/>
      <x:c r="AH73" s="49"/>
      <x:c r="AI73" s="49"/>
      <x:c r="AJ73" s="49"/>
      <x:c r="AK73" s="49"/>
      <x:c r="AL73" s="49"/>
      <x:c r="AM73" s="49"/>
      <x:c r="AN73" s="49"/>
      <x:c r="AO73" s="49"/>
      <x:c r="AP73" s="49"/>
      <x:c r="AQ73" s="49"/>
      <x:c r="AR73" s="49"/>
      <x:c r="AS73" s="49"/>
      <x:c r="AT73" s="49"/>
      <x:c r="AU73" s="49"/>
      <x:c r="AV73" s="49"/>
      <x:c r="AW73" s="49"/>
      <x:c r="AX73" s="49"/>
      <x:c r="AY73" s="49"/>
      <x:c r="AZ73" s="49"/>
    </x:row>
    <x:row r="74">
      <x:c r="A74" s="49"/>
      <x:c r="B74" s="49"/>
      <x:c r="C74" s="49"/>
      <x:c r="D74" s="49"/>
      <x:c r="E74" s="49"/>
      <x:c r="F74" s="49"/>
      <x:c r="G74" s="49"/>
      <x:c r="H74" s="49"/>
      <x:c r="I74" s="49"/>
      <x:c r="J74" s="49"/>
      <x:c r="K74" s="49"/>
      <x:c r="L74" s="49"/>
      <x:c r="M74" s="49"/>
      <x:c r="N74" s="49"/>
      <x:c r="O74" s="49"/>
      <x:c r="P74" s="49"/>
      <x:c r="Q74" s="49"/>
      <x:c r="R74" s="49"/>
      <x:c r="S74" s="49"/>
      <x:c r="T74" s="49"/>
      <x:c r="U74" s="49"/>
      <x:c r="V74" s="49"/>
      <x:c r="W74" s="49"/>
      <x:c r="X74" s="49"/>
      <x:c r="Y74" s="49"/>
      <x:c r="Z74" s="49"/>
      <x:c r="AA74" s="49"/>
      <x:c r="AB74" s="49"/>
      <x:c r="AC74" s="49"/>
      <x:c r="AD74" s="49"/>
      <x:c r="AE74" s="49"/>
      <x:c r="AF74" s="49"/>
      <x:c r="AG74" s="49"/>
      <x:c r="AH74" s="49"/>
      <x:c r="AI74" s="49"/>
      <x:c r="AJ74" s="49"/>
      <x:c r="AK74" s="49"/>
      <x:c r="AL74" s="49"/>
      <x:c r="AM74" s="49"/>
      <x:c r="AN74" s="49"/>
      <x:c r="AO74" s="49"/>
      <x:c r="AP74" s="49"/>
      <x:c r="AQ74" s="49"/>
      <x:c r="AR74" s="49"/>
      <x:c r="AS74" s="49"/>
      <x:c r="AT74" s="49"/>
      <x:c r="AU74" s="49"/>
      <x:c r="AV74" s="49"/>
      <x:c r="AW74" s="49"/>
      <x:c r="AX74" s="49"/>
      <x:c r="AY74" s="49"/>
      <x:c r="AZ74" s="49"/>
    </x:row>
    <x:row r="75">
      <x:c r="A75" s="49"/>
      <x:c r="B75" s="49"/>
      <x:c r="C75" s="49"/>
      <x:c r="D75" s="49"/>
      <x:c r="E75" s="49"/>
      <x:c r="F75" s="49"/>
      <x:c r="G75" s="49"/>
      <x:c r="H75" s="49"/>
      <x:c r="I75" s="49"/>
      <x:c r="J75" s="49"/>
      <x:c r="K75" s="49"/>
      <x:c r="L75" s="49"/>
      <x:c r="M75" s="49"/>
      <x:c r="N75" s="49"/>
      <x:c r="O75" s="49"/>
      <x:c r="P75" s="49"/>
      <x:c r="Q75" s="49"/>
      <x:c r="R75" s="49"/>
      <x:c r="S75" s="49"/>
      <x:c r="T75" s="49"/>
      <x:c r="U75" s="49"/>
      <x:c r="V75" s="49"/>
      <x:c r="W75" s="49"/>
      <x:c r="X75" s="49"/>
      <x:c r="Y75" s="49"/>
      <x:c r="Z75" s="49"/>
      <x:c r="AA75" s="49"/>
      <x:c r="AB75" s="49"/>
      <x:c r="AC75" s="49"/>
      <x:c r="AD75" s="49"/>
      <x:c r="AE75" s="49"/>
      <x:c r="AF75" s="49"/>
      <x:c r="AG75" s="49"/>
      <x:c r="AH75" s="49"/>
      <x:c r="AI75" s="49"/>
      <x:c r="AJ75" s="49"/>
      <x:c r="AK75" s="49"/>
      <x:c r="AL75" s="49"/>
      <x:c r="AM75" s="49"/>
      <x:c r="AN75" s="49"/>
      <x:c r="AO75" s="49"/>
      <x:c r="AP75" s="49"/>
      <x:c r="AQ75" s="49"/>
      <x:c r="AR75" s="49"/>
      <x:c r="AS75" s="49"/>
      <x:c r="AT75" s="49"/>
      <x:c r="AU75" s="49"/>
      <x:c r="AV75" s="49"/>
      <x:c r="AW75" s="49"/>
      <x:c r="AX75" s="49"/>
      <x:c r="AY75" s="49"/>
      <x:c r="AZ75" s="49"/>
    </x:row>
    <x:row r="76">
      <x:c r="A76" s="49"/>
      <x:c r="B76" s="49"/>
      <x:c r="C76" s="49"/>
      <x:c r="D76" s="49"/>
      <x:c r="E76" s="49"/>
      <x:c r="F76" s="49"/>
      <x:c r="G76" s="49"/>
      <x:c r="H76" s="49"/>
      <x:c r="I76" s="49"/>
      <x:c r="J76" s="49"/>
      <x:c r="K76" s="49"/>
      <x:c r="L76" s="49"/>
      <x:c r="M76" s="49"/>
      <x:c r="N76" s="49"/>
      <x:c r="O76" s="49"/>
      <x:c r="P76" s="49"/>
      <x:c r="Q76" s="49"/>
      <x:c r="R76" s="49"/>
      <x:c r="S76" s="49"/>
      <x:c r="T76" s="49"/>
      <x:c r="U76" s="49"/>
      <x:c r="V76" s="49"/>
      <x:c r="W76" s="49"/>
      <x:c r="X76" s="49"/>
      <x:c r="Y76" s="49"/>
      <x:c r="Z76" s="49"/>
      <x:c r="AA76" s="49"/>
      <x:c r="AB76" s="49"/>
      <x:c r="AC76" s="49"/>
      <x:c r="AD76" s="49"/>
      <x:c r="AE76" s="49"/>
      <x:c r="AF76" s="49"/>
      <x:c r="AG76" s="49"/>
      <x:c r="AH76" s="49"/>
      <x:c r="AI76" s="49"/>
      <x:c r="AJ76" s="49"/>
      <x:c r="AK76" s="49"/>
      <x:c r="AL76" s="49"/>
      <x:c r="AM76" s="49"/>
      <x:c r="AN76" s="49"/>
      <x:c r="AO76" s="49"/>
      <x:c r="AP76" s="49"/>
      <x:c r="AQ76" s="49"/>
      <x:c r="AR76" s="49"/>
      <x:c r="AS76" s="49"/>
      <x:c r="AT76" s="49"/>
      <x:c r="AU76" s="49"/>
      <x:c r="AV76" s="49"/>
      <x:c r="AW76" s="49"/>
      <x:c r="AX76" s="49"/>
      <x:c r="AY76" s="49"/>
      <x:c r="AZ76" s="49"/>
    </x:row>
    <x:row r="77">
      <x:c r="A77" s="49"/>
      <x:c r="B77" s="49"/>
      <x:c r="C77" s="49"/>
      <x:c r="D77" s="49"/>
      <x:c r="E77" s="49"/>
      <x:c r="F77" s="49"/>
      <x:c r="G77" s="49"/>
      <x:c r="H77" s="49"/>
      <x:c r="I77" s="49"/>
      <x:c r="J77" s="49"/>
      <x:c r="K77" s="49"/>
      <x:c r="L77" s="49"/>
      <x:c r="M77" s="49"/>
      <x:c r="N77" s="49"/>
      <x:c r="O77" s="49"/>
      <x:c r="P77" s="49"/>
      <x:c r="Q77" s="49"/>
      <x:c r="R77" s="49"/>
      <x:c r="S77" s="49"/>
      <x:c r="T77" s="49"/>
      <x:c r="U77" s="49"/>
      <x:c r="V77" s="49"/>
      <x:c r="W77" s="49"/>
      <x:c r="X77" s="49"/>
      <x:c r="Y77" s="49"/>
      <x:c r="Z77" s="49"/>
      <x:c r="AA77" s="49"/>
      <x:c r="AB77" s="49"/>
      <x:c r="AC77" s="49"/>
      <x:c r="AD77" s="49"/>
      <x:c r="AE77" s="49"/>
      <x:c r="AF77" s="49"/>
      <x:c r="AG77" s="49"/>
      <x:c r="AH77" s="49"/>
      <x:c r="AI77" s="49"/>
      <x:c r="AJ77" s="49"/>
      <x:c r="AK77" s="49"/>
      <x:c r="AL77" s="49"/>
      <x:c r="AM77" s="49"/>
      <x:c r="AN77" s="49"/>
      <x:c r="AO77" s="49"/>
      <x:c r="AP77" s="49"/>
      <x:c r="AQ77" s="49"/>
      <x:c r="AR77" s="49"/>
      <x:c r="AS77" s="49"/>
      <x:c r="AT77" s="49"/>
      <x:c r="AU77" s="49"/>
      <x:c r="AV77" s="49"/>
      <x:c r="AW77" s="49"/>
      <x:c r="AX77" s="49"/>
      <x:c r="AY77" s="49"/>
      <x:c r="AZ77" s="49"/>
    </x:row>
    <x:row r="78">
      <x:c r="A78" s="49"/>
      <x:c r="B78" s="49"/>
      <x:c r="C78" s="49"/>
      <x:c r="D78" s="49"/>
      <x:c r="E78" s="49"/>
      <x:c r="F78" s="49"/>
      <x:c r="G78" s="49"/>
      <x:c r="H78" s="49"/>
      <x:c r="I78" s="49"/>
      <x:c r="J78" s="49"/>
      <x:c r="K78" s="49"/>
      <x:c r="L78" s="49"/>
      <x:c r="M78" s="49"/>
      <x:c r="N78" s="49"/>
      <x:c r="O78" s="49"/>
      <x:c r="P78" s="49"/>
      <x:c r="Q78" s="49"/>
      <x:c r="R78" s="49"/>
      <x:c r="S78" s="49"/>
      <x:c r="T78" s="49"/>
      <x:c r="U78" s="49"/>
      <x:c r="V78" s="49"/>
      <x:c r="W78" s="49"/>
      <x:c r="X78" s="49"/>
      <x:c r="Y78" s="49"/>
      <x:c r="Z78" s="49"/>
      <x:c r="AA78" s="49"/>
      <x:c r="AB78" s="49"/>
      <x:c r="AC78" s="49"/>
      <x:c r="AD78" s="49"/>
      <x:c r="AE78" s="49"/>
      <x:c r="AF78" s="49"/>
      <x:c r="AG78" s="49"/>
      <x:c r="AH78" s="49"/>
      <x:c r="AI78" s="49"/>
      <x:c r="AJ78" s="49"/>
      <x:c r="AK78" s="49"/>
      <x:c r="AL78" s="49"/>
      <x:c r="AM78" s="49"/>
      <x:c r="AN78" s="49"/>
      <x:c r="AO78" s="49"/>
      <x:c r="AP78" s="49"/>
      <x:c r="AQ78" s="49"/>
      <x:c r="AR78" s="49"/>
      <x:c r="AS78" s="49"/>
      <x:c r="AT78" s="49"/>
      <x:c r="AU78" s="49"/>
      <x:c r="AV78" s="49"/>
      <x:c r="AW78" s="49"/>
      <x:c r="AX78" s="49"/>
      <x:c r="AY78" s="49"/>
      <x:c r="AZ78" s="49"/>
    </x:row>
    <x:row r="79">
      <x:c r="A79" s="49"/>
      <x:c r="B79" s="49"/>
      <x:c r="C79" s="49"/>
      <x:c r="D79" s="49"/>
      <x:c r="E79" s="49"/>
      <x:c r="F79" s="49"/>
      <x:c r="G79" s="49"/>
      <x:c r="H79" s="49"/>
      <x:c r="I79" s="49"/>
      <x:c r="J79" s="49"/>
      <x:c r="K79" s="49"/>
      <x:c r="L79" s="49"/>
      <x:c r="M79" s="49"/>
      <x:c r="N79" s="49"/>
      <x:c r="O79" s="49"/>
      <x:c r="P79" s="49"/>
      <x:c r="Q79" s="49"/>
      <x:c r="R79" s="49"/>
      <x:c r="S79" s="49"/>
      <x:c r="T79" s="49"/>
      <x:c r="U79" s="49"/>
      <x:c r="V79" s="49"/>
      <x:c r="W79" s="49"/>
      <x:c r="X79" s="49"/>
      <x:c r="Y79" s="49"/>
      <x:c r="Z79" s="49"/>
      <x:c r="AA79" s="49"/>
      <x:c r="AB79" s="49"/>
      <x:c r="AC79" s="49"/>
      <x:c r="AD79" s="49"/>
      <x:c r="AE79" s="49"/>
      <x:c r="AF79" s="49"/>
      <x:c r="AG79" s="49"/>
      <x:c r="AH79" s="49"/>
      <x:c r="AI79" s="49"/>
      <x:c r="AJ79" s="49"/>
      <x:c r="AK79" s="49"/>
      <x:c r="AL79" s="49"/>
      <x:c r="AM79" s="49"/>
      <x:c r="AN79" s="49"/>
      <x:c r="AO79" s="49"/>
      <x:c r="AP79" s="49"/>
      <x:c r="AQ79" s="49"/>
      <x:c r="AR79" s="49"/>
      <x:c r="AS79" s="49"/>
      <x:c r="AT79" s="49"/>
      <x:c r="AU79" s="49"/>
      <x:c r="AV79" s="49"/>
      <x:c r="AW79" s="49"/>
      <x:c r="AX79" s="49"/>
      <x:c r="AY79" s="49"/>
      <x:c r="AZ79" s="49"/>
    </x:row>
    <x:row r="80">
      <x:c r="A80" s="49"/>
      <x:c r="B80" s="49"/>
      <x:c r="C80" s="49"/>
      <x:c r="D80" s="49"/>
      <x:c r="E80" s="49"/>
      <x:c r="F80" s="49"/>
      <x:c r="G80" s="49"/>
      <x:c r="H80" s="49"/>
      <x:c r="I80" s="49"/>
      <x:c r="J80" s="49"/>
      <x:c r="K80" s="49"/>
      <x:c r="L80" s="49"/>
      <x:c r="M80" s="49"/>
      <x:c r="N80" s="49"/>
      <x:c r="O80" s="49"/>
      <x:c r="P80" s="49"/>
      <x:c r="Q80" s="49"/>
      <x:c r="R80" s="49"/>
      <x:c r="S80" s="49"/>
      <x:c r="T80" s="49"/>
      <x:c r="U80" s="49"/>
      <x:c r="V80" s="49"/>
      <x:c r="W80" s="49"/>
      <x:c r="X80" s="49"/>
      <x:c r="Y80" s="49"/>
      <x:c r="Z80" s="49"/>
      <x:c r="AA80" s="49"/>
      <x:c r="AB80" s="49"/>
      <x:c r="AC80" s="49"/>
      <x:c r="AD80" s="49"/>
      <x:c r="AE80" s="49"/>
      <x:c r="AF80" s="49"/>
      <x:c r="AG80" s="49"/>
      <x:c r="AH80" s="49"/>
      <x:c r="AI80" s="49"/>
      <x:c r="AJ80" s="49"/>
      <x:c r="AK80" s="49"/>
      <x:c r="AL80" s="49"/>
      <x:c r="AM80" s="49"/>
      <x:c r="AN80" s="49"/>
      <x:c r="AO80" s="49"/>
      <x:c r="AP80" s="49"/>
      <x:c r="AQ80" s="49"/>
      <x:c r="AR80" s="49"/>
      <x:c r="AS80" s="49"/>
      <x:c r="AT80" s="49"/>
      <x:c r="AU80" s="49"/>
      <x:c r="AV80" s="49"/>
      <x:c r="AW80" s="49"/>
      <x:c r="AX80" s="49"/>
      <x:c r="AY80" s="49"/>
      <x:c r="AZ80" s="49"/>
    </x:row>
    <x:row r="81">
      <x:c r="A81" s="49"/>
      <x:c r="B81" s="49"/>
      <x:c r="C81" s="49"/>
      <x:c r="D81" s="49"/>
      <x:c r="E81" s="49"/>
      <x:c r="F81" s="49"/>
      <x:c r="G81" s="49"/>
      <x:c r="H81" s="49"/>
      <x:c r="I81" s="49"/>
      <x:c r="J81" s="49"/>
      <x:c r="K81" s="49"/>
      <x:c r="L81" s="49"/>
      <x:c r="M81" s="49"/>
      <x:c r="N81" s="49"/>
      <x:c r="O81" s="49"/>
      <x:c r="P81" s="49"/>
      <x:c r="Q81" s="49"/>
      <x:c r="R81" s="49"/>
      <x:c r="S81" s="49"/>
      <x:c r="T81" s="49"/>
      <x:c r="U81" s="49"/>
      <x:c r="V81" s="49"/>
      <x:c r="W81" s="49"/>
      <x:c r="X81" s="49"/>
      <x:c r="Y81" s="49"/>
      <x:c r="Z81" s="49"/>
      <x:c r="AA81" s="49"/>
      <x:c r="AB81" s="49"/>
      <x:c r="AC81" s="49"/>
      <x:c r="AD81" s="49"/>
      <x:c r="AE81" s="49"/>
      <x:c r="AF81" s="49"/>
      <x:c r="AG81" s="49"/>
      <x:c r="AH81" s="49"/>
      <x:c r="AI81" s="49"/>
      <x:c r="AJ81" s="49"/>
      <x:c r="AK81" s="49"/>
      <x:c r="AL81" s="49"/>
      <x:c r="AM81" s="49"/>
      <x:c r="AN81" s="49"/>
      <x:c r="AO81" s="49"/>
      <x:c r="AP81" s="49"/>
      <x:c r="AQ81" s="49"/>
      <x:c r="AR81" s="49"/>
      <x:c r="AS81" s="49"/>
      <x:c r="AT81" s="49"/>
      <x:c r="AU81" s="49"/>
      <x:c r="AV81" s="49"/>
      <x:c r="AW81" s="49"/>
      <x:c r="AX81" s="49"/>
      <x:c r="AY81" s="49"/>
      <x:c r="AZ81" s="49"/>
    </x:row>
    <x:row r="82">
      <x:c r="A82" s="49"/>
      <x:c r="B82" s="49"/>
      <x:c r="C82" s="49"/>
      <x:c r="D82" s="49"/>
      <x:c r="E82" s="49"/>
      <x:c r="F82" s="49"/>
      <x:c r="G82" s="49"/>
      <x:c r="H82" s="49"/>
      <x:c r="I82" s="49"/>
      <x:c r="J82" s="49"/>
      <x:c r="K82" s="49"/>
      <x:c r="L82" s="49"/>
      <x:c r="M82" s="49"/>
      <x:c r="N82" s="49"/>
      <x:c r="O82" s="49"/>
      <x:c r="P82" s="49"/>
      <x:c r="Q82" s="49"/>
      <x:c r="R82" s="49"/>
      <x:c r="S82" s="49"/>
      <x:c r="T82" s="49"/>
      <x:c r="U82" s="49"/>
      <x:c r="V82" s="49"/>
      <x:c r="W82" s="49"/>
      <x:c r="X82" s="49"/>
      <x:c r="Y82" s="49"/>
      <x:c r="Z82" s="49"/>
      <x:c r="AA82" s="49"/>
      <x:c r="AB82" s="49"/>
      <x:c r="AC82" s="49"/>
      <x:c r="AD82" s="49"/>
      <x:c r="AE82" s="49"/>
      <x:c r="AF82" s="49"/>
      <x:c r="AG82" s="49"/>
      <x:c r="AH82" s="49"/>
      <x:c r="AI82" s="49"/>
      <x:c r="AJ82" s="49"/>
      <x:c r="AK82" s="49"/>
      <x:c r="AL82" s="49"/>
      <x:c r="AM82" s="49"/>
      <x:c r="AN82" s="49"/>
      <x:c r="AO82" s="49"/>
      <x:c r="AP82" s="49"/>
      <x:c r="AQ82" s="49"/>
      <x:c r="AR82" s="49"/>
      <x:c r="AS82" s="49"/>
      <x:c r="AT82" s="49"/>
      <x:c r="AU82" s="49"/>
      <x:c r="AV82" s="49"/>
      <x:c r="AW82" s="49"/>
      <x:c r="AX82" s="49"/>
      <x:c r="AY82" s="49"/>
      <x:c r="AZ82" s="49"/>
    </x:row>
    <x:row r="83">
      <x:c r="A83" s="49"/>
      <x:c r="B83" s="49"/>
      <x:c r="C83" s="49"/>
      <x:c r="D83" s="49"/>
      <x:c r="E83" s="49"/>
      <x:c r="F83" s="49"/>
      <x:c r="G83" s="49"/>
      <x:c r="H83" s="49"/>
      <x:c r="I83" s="49"/>
      <x:c r="J83" s="49"/>
      <x:c r="K83" s="49"/>
      <x:c r="L83" s="49"/>
      <x:c r="M83" s="49"/>
      <x:c r="N83" s="49"/>
      <x:c r="O83" s="49"/>
      <x:c r="P83" s="49"/>
      <x:c r="Q83" s="49"/>
      <x:c r="R83" s="49"/>
      <x:c r="S83" s="49"/>
      <x:c r="T83" s="49"/>
      <x:c r="U83" s="49"/>
      <x:c r="V83" s="49"/>
      <x:c r="W83" s="49"/>
      <x:c r="X83" s="49"/>
      <x:c r="Y83" s="49"/>
      <x:c r="Z83" s="49"/>
      <x:c r="AA83" s="49"/>
      <x:c r="AB83" s="49"/>
      <x:c r="AC83" s="49"/>
      <x:c r="AD83" s="49"/>
      <x:c r="AE83" s="49"/>
      <x:c r="AF83" s="49"/>
      <x:c r="AG83" s="49"/>
      <x:c r="AH83" s="49"/>
      <x:c r="AI83" s="49"/>
      <x:c r="AJ83" s="49"/>
      <x:c r="AK83" s="49"/>
      <x:c r="AL83" s="49"/>
      <x:c r="AM83" s="49"/>
      <x:c r="AN83" s="49"/>
      <x:c r="AO83" s="49"/>
      <x:c r="AP83" s="49"/>
      <x:c r="AQ83" s="49"/>
      <x:c r="AR83" s="49"/>
      <x:c r="AS83" s="49"/>
      <x:c r="AT83" s="49"/>
      <x:c r="AU83" s="49"/>
      <x:c r="AV83" s="49"/>
      <x:c r="AW83" s="49"/>
      <x:c r="AX83" s="49"/>
      <x:c r="AY83" s="49"/>
      <x:c r="AZ83" s="49"/>
    </x:row>
    <x:row r="84">
      <x:c r="A84" s="49"/>
      <x:c r="B84" s="49"/>
      <x:c r="C84" s="49"/>
      <x:c r="D84" s="49"/>
      <x:c r="E84" s="49"/>
      <x:c r="F84" s="49"/>
      <x:c r="G84" s="49"/>
      <x:c r="H84" s="49"/>
      <x:c r="I84" s="49"/>
      <x:c r="J84" s="49"/>
      <x:c r="K84" s="49"/>
      <x:c r="L84" s="49"/>
      <x:c r="M84" s="49"/>
      <x:c r="N84" s="49"/>
      <x:c r="O84" s="49"/>
      <x:c r="P84" s="49"/>
      <x:c r="Q84" s="49"/>
      <x:c r="R84" s="49"/>
      <x:c r="S84" s="49"/>
      <x:c r="T84" s="49"/>
      <x:c r="U84" s="49"/>
      <x:c r="V84" s="49"/>
      <x:c r="W84" s="49"/>
      <x:c r="X84" s="49"/>
      <x:c r="Y84" s="49"/>
      <x:c r="Z84" s="49"/>
      <x:c r="AA84" s="49"/>
      <x:c r="AB84" s="49"/>
      <x:c r="AC84" s="49"/>
      <x:c r="AD84" s="49"/>
      <x:c r="AE84" s="49"/>
      <x:c r="AF84" s="49"/>
      <x:c r="AG84" s="49"/>
      <x:c r="AH84" s="49"/>
      <x:c r="AI84" s="49"/>
      <x:c r="AJ84" s="49"/>
      <x:c r="AK84" s="49"/>
      <x:c r="AL84" s="49"/>
      <x:c r="AM84" s="49"/>
      <x:c r="AN84" s="49"/>
      <x:c r="AO84" s="49"/>
      <x:c r="AP84" s="49"/>
      <x:c r="AQ84" s="49"/>
      <x:c r="AR84" s="49"/>
      <x:c r="AS84" s="49"/>
      <x:c r="AT84" s="49"/>
      <x:c r="AU84" s="49"/>
      <x:c r="AV84" s="49"/>
      <x:c r="AW84" s="49"/>
      <x:c r="AX84" s="49"/>
      <x:c r="AY84" s="49"/>
      <x:c r="AZ84" s="49"/>
    </x:row>
    <x:row r="85">
      <x:c r="A85" s="49"/>
      <x:c r="B85" s="49"/>
      <x:c r="C85" s="49"/>
      <x:c r="D85" s="49"/>
      <x:c r="E85" s="49"/>
      <x:c r="F85" s="49"/>
      <x:c r="G85" s="49"/>
      <x:c r="H85" s="49"/>
      <x:c r="I85" s="49"/>
      <x:c r="J85" s="49"/>
      <x:c r="K85" s="49"/>
      <x:c r="L85" s="49"/>
      <x:c r="M85" s="49"/>
      <x:c r="N85" s="49"/>
      <x:c r="O85" s="49"/>
      <x:c r="P85" s="49"/>
      <x:c r="Q85" s="49"/>
      <x:c r="R85" s="49"/>
      <x:c r="S85" s="49"/>
      <x:c r="T85" s="49"/>
      <x:c r="U85" s="49"/>
      <x:c r="V85" s="49"/>
      <x:c r="W85" s="49"/>
      <x:c r="X85" s="49"/>
      <x:c r="Y85" s="49"/>
      <x:c r="Z85" s="49"/>
      <x:c r="AA85" s="49"/>
      <x:c r="AB85" s="49"/>
      <x:c r="AC85" s="49"/>
      <x:c r="AD85" s="49"/>
      <x:c r="AE85" s="49"/>
      <x:c r="AF85" s="49"/>
      <x:c r="AG85" s="49"/>
      <x:c r="AH85" s="49"/>
      <x:c r="AI85" s="49"/>
      <x:c r="AJ85" s="49"/>
      <x:c r="AK85" s="49"/>
      <x:c r="AL85" s="49"/>
      <x:c r="AM85" s="49"/>
      <x:c r="AN85" s="49"/>
      <x:c r="AO85" s="49"/>
      <x:c r="AP85" s="49"/>
      <x:c r="AQ85" s="49"/>
      <x:c r="AR85" s="49"/>
      <x:c r="AS85" s="49"/>
      <x:c r="AT85" s="49"/>
      <x:c r="AU85" s="49"/>
      <x:c r="AV85" s="49"/>
      <x:c r="AW85" s="49"/>
      <x:c r="AX85" s="49"/>
      <x:c r="AY85" s="49"/>
      <x:c r="AZ85" s="49"/>
    </x:row>
    <x:row r="86">
      <x:c r="A86" s="49"/>
      <x:c r="B86" s="49"/>
      <x:c r="C86" s="49"/>
      <x:c r="D86" s="49"/>
      <x:c r="E86" s="49"/>
      <x:c r="F86" s="49"/>
      <x:c r="G86" s="49"/>
      <x:c r="H86" s="49"/>
      <x:c r="I86" s="49"/>
      <x:c r="J86" s="49"/>
      <x:c r="K86" s="49"/>
      <x:c r="L86" s="49"/>
      <x:c r="M86" s="49"/>
      <x:c r="N86" s="49"/>
      <x:c r="O86" s="49"/>
      <x:c r="P86" s="49"/>
      <x:c r="Q86" s="49"/>
      <x:c r="R86" s="49"/>
      <x:c r="S86" s="49"/>
      <x:c r="T86" s="49"/>
      <x:c r="U86" s="49"/>
      <x:c r="V86" s="49"/>
      <x:c r="W86" s="49"/>
      <x:c r="X86" s="49"/>
      <x:c r="Y86" s="49"/>
      <x:c r="Z86" s="49"/>
      <x:c r="AA86" s="49"/>
      <x:c r="AB86" s="49"/>
      <x:c r="AC86" s="49"/>
      <x:c r="AD86" s="49"/>
      <x:c r="AE86" s="49"/>
      <x:c r="AF86" s="49"/>
      <x:c r="AG86" s="49"/>
      <x:c r="AH86" s="49"/>
      <x:c r="AI86" s="49"/>
      <x:c r="AJ86" s="49"/>
      <x:c r="AK86" s="49"/>
      <x:c r="AL86" s="49"/>
      <x:c r="AM86" s="49"/>
      <x:c r="AN86" s="49"/>
      <x:c r="AO86" s="49"/>
      <x:c r="AP86" s="49"/>
      <x:c r="AQ86" s="49"/>
      <x:c r="AR86" s="49"/>
      <x:c r="AS86" s="49"/>
      <x:c r="AT86" s="49"/>
      <x:c r="AU86" s="49"/>
      <x:c r="AV86" s="49"/>
      <x:c r="AW86" s="49"/>
      <x:c r="AX86" s="49"/>
      <x:c r="AY86" s="49"/>
      <x:c r="AZ86" s="49"/>
    </x:row>
    <x:row r="87">
      <x:c r="A87" s="49"/>
      <x:c r="B87" s="49"/>
      <x:c r="C87" s="49"/>
      <x:c r="D87" s="49"/>
      <x:c r="E87" s="49"/>
      <x:c r="F87" s="49"/>
      <x:c r="G87" s="49"/>
      <x:c r="H87" s="49"/>
      <x:c r="I87" s="49"/>
      <x:c r="J87" s="49"/>
      <x:c r="K87" s="49"/>
      <x:c r="L87" s="49"/>
      <x:c r="M87" s="49"/>
      <x:c r="N87" s="49"/>
      <x:c r="O87" s="49"/>
      <x:c r="P87" s="49"/>
      <x:c r="Q87" s="49"/>
      <x:c r="R87" s="49"/>
      <x:c r="S87" s="49"/>
      <x:c r="T87" s="49"/>
      <x:c r="U87" s="49"/>
      <x:c r="V87" s="49"/>
      <x:c r="W87" s="49"/>
      <x:c r="X87" s="49"/>
      <x:c r="Y87" s="49"/>
      <x:c r="Z87" s="49"/>
      <x:c r="AA87" s="49"/>
      <x:c r="AB87" s="49"/>
      <x:c r="AC87" s="49"/>
      <x:c r="AD87" s="49"/>
      <x:c r="AE87" s="49"/>
      <x:c r="AF87" s="49"/>
      <x:c r="AG87" s="49"/>
      <x:c r="AH87" s="49"/>
      <x:c r="AI87" s="49"/>
      <x:c r="AJ87" s="49"/>
      <x:c r="AK87" s="49"/>
      <x:c r="AL87" s="49"/>
      <x:c r="AM87" s="49"/>
      <x:c r="AN87" s="49"/>
      <x:c r="AO87" s="49"/>
      <x:c r="AP87" s="49"/>
      <x:c r="AQ87" s="49"/>
      <x:c r="AR87" s="49"/>
      <x:c r="AS87" s="49"/>
      <x:c r="AT87" s="49"/>
      <x:c r="AU87" s="49"/>
      <x:c r="AV87" s="49"/>
      <x:c r="AW87" s="49"/>
      <x:c r="AX87" s="49"/>
      <x:c r="AY87" s="49"/>
      <x:c r="AZ87" s="49"/>
    </x:row>
    <x:row r="88">
      <x:c r="A88" s="49"/>
      <x:c r="B88" s="49"/>
      <x:c r="C88" s="49"/>
      <x:c r="D88" s="49"/>
      <x:c r="E88" s="49"/>
      <x:c r="F88" s="49"/>
      <x:c r="G88" s="49"/>
      <x:c r="H88" s="49"/>
      <x:c r="I88" s="49"/>
      <x:c r="J88" s="49"/>
      <x:c r="K88" s="49"/>
      <x:c r="L88" s="49"/>
      <x:c r="M88" s="49"/>
      <x:c r="N88" s="49"/>
      <x:c r="O88" s="49"/>
      <x:c r="P88" s="49"/>
      <x:c r="Q88" s="49"/>
      <x:c r="R88" s="49"/>
      <x:c r="S88" s="49"/>
      <x:c r="T88" s="49"/>
      <x:c r="U88" s="49"/>
      <x:c r="V88" s="49"/>
      <x:c r="W88" s="49"/>
      <x:c r="X88" s="49"/>
      <x:c r="Y88" s="49"/>
      <x:c r="Z88" s="49"/>
      <x:c r="AA88" s="49"/>
      <x:c r="AB88" s="49"/>
      <x:c r="AC88" s="49"/>
      <x:c r="AD88" s="49"/>
      <x:c r="AE88" s="49"/>
      <x:c r="AF88" s="49"/>
      <x:c r="AG88" s="49"/>
      <x:c r="AH88" s="49"/>
      <x:c r="AI88" s="49"/>
      <x:c r="AJ88" s="49"/>
      <x:c r="AK88" s="49"/>
      <x:c r="AL88" s="49"/>
      <x:c r="AM88" s="49"/>
      <x:c r="AN88" s="49"/>
      <x:c r="AO88" s="49"/>
      <x:c r="AP88" s="49"/>
      <x:c r="AQ88" s="49"/>
      <x:c r="AR88" s="49"/>
      <x:c r="AS88" s="49"/>
      <x:c r="AT88" s="49"/>
      <x:c r="AU88" s="49"/>
      <x:c r="AV88" s="49"/>
      <x:c r="AW88" s="49"/>
      <x:c r="AX88" s="49"/>
      <x:c r="AY88" s="49"/>
      <x:c r="AZ88" s="49"/>
    </x:row>
    <x:row r="89">
      <x:c r="A89" s="49"/>
      <x:c r="B89" s="49"/>
      <x:c r="C89" s="49"/>
      <x:c r="D89" s="49"/>
      <x:c r="E89" s="49"/>
      <x:c r="F89" s="49"/>
      <x:c r="G89" s="49"/>
      <x:c r="H89" s="49"/>
      <x:c r="I89" s="49"/>
      <x:c r="J89" s="49"/>
      <x:c r="K89" s="49"/>
      <x:c r="L89" s="49"/>
      <x:c r="M89" s="49"/>
      <x:c r="N89" s="49"/>
      <x:c r="O89" s="49"/>
      <x:c r="P89" s="49"/>
      <x:c r="Q89" s="49"/>
      <x:c r="R89" s="49"/>
      <x:c r="S89" s="49"/>
      <x:c r="T89" s="49"/>
      <x:c r="U89" s="49"/>
      <x:c r="V89" s="49"/>
      <x:c r="W89" s="49"/>
      <x:c r="X89" s="49"/>
      <x:c r="Y89" s="49"/>
      <x:c r="Z89" s="49"/>
      <x:c r="AA89" s="49"/>
      <x:c r="AB89" s="49"/>
      <x:c r="AC89" s="49"/>
      <x:c r="AD89" s="49"/>
      <x:c r="AE89" s="49"/>
      <x:c r="AF89" s="49"/>
      <x:c r="AG89" s="49"/>
      <x:c r="AH89" s="49"/>
      <x:c r="AI89" s="49"/>
      <x:c r="AJ89" s="49"/>
      <x:c r="AK89" s="49"/>
      <x:c r="AL89" s="49"/>
      <x:c r="AM89" s="49"/>
      <x:c r="AN89" s="49"/>
      <x:c r="AO89" s="49"/>
      <x:c r="AP89" s="49"/>
      <x:c r="AQ89" s="49"/>
      <x:c r="AR89" s="49"/>
      <x:c r="AS89" s="49"/>
      <x:c r="AT89" s="49"/>
      <x:c r="AU89" s="49"/>
      <x:c r="AV89" s="49"/>
      <x:c r="AW89" s="49"/>
      <x:c r="AX89" s="49"/>
      <x:c r="AY89" s="49"/>
      <x:c r="AZ89" s="49"/>
    </x:row>
    <x:row r="90">
      <x:c r="A90" s="49"/>
      <x:c r="B90" s="49"/>
      <x:c r="C90" s="49"/>
      <x:c r="D90" s="49"/>
      <x:c r="E90" s="49"/>
      <x:c r="F90" s="49"/>
      <x:c r="G90" s="49"/>
      <x:c r="H90" s="49"/>
      <x:c r="I90" s="49"/>
      <x:c r="J90" s="49"/>
      <x:c r="K90" s="49"/>
      <x:c r="L90" s="49"/>
      <x:c r="M90" s="49"/>
      <x:c r="N90" s="49"/>
      <x:c r="O90" s="49"/>
      <x:c r="P90" s="49"/>
      <x:c r="Q90" s="49"/>
      <x:c r="R90" s="49"/>
      <x:c r="S90" s="49"/>
      <x:c r="T90" s="49"/>
      <x:c r="U90" s="49"/>
      <x:c r="V90" s="49"/>
      <x:c r="W90" s="49"/>
      <x:c r="X90" s="49"/>
      <x:c r="Y90" s="49"/>
      <x:c r="Z90" s="49"/>
      <x:c r="AA90" s="49"/>
      <x:c r="AB90" s="49"/>
      <x:c r="AC90" s="49"/>
      <x:c r="AD90" s="49"/>
      <x:c r="AE90" s="49"/>
      <x:c r="AF90" s="49"/>
      <x:c r="AG90" s="49"/>
      <x:c r="AH90" s="49"/>
      <x:c r="AI90" s="49"/>
      <x:c r="AJ90" s="49"/>
      <x:c r="AK90" s="49"/>
      <x:c r="AL90" s="49"/>
      <x:c r="AM90" s="49"/>
      <x:c r="AN90" s="49"/>
      <x:c r="AO90" s="49"/>
      <x:c r="AP90" s="49"/>
      <x:c r="AQ90" s="49"/>
      <x:c r="AR90" s="49"/>
      <x:c r="AS90" s="49"/>
      <x:c r="AT90" s="49"/>
      <x:c r="AU90" s="49"/>
      <x:c r="AV90" s="49"/>
      <x:c r="AW90" s="49"/>
      <x:c r="AX90" s="49"/>
      <x:c r="AY90" s="49"/>
      <x:c r="AZ90" s="49"/>
    </x:row>
    <x:row r="91">
      <x:c r="A91" s="49"/>
      <x:c r="B91" s="49"/>
      <x:c r="C91" s="49"/>
      <x:c r="D91" s="49"/>
      <x:c r="E91" s="49"/>
      <x:c r="F91" s="49"/>
      <x:c r="G91" s="49"/>
      <x:c r="H91" s="49"/>
      <x:c r="I91" s="49"/>
      <x:c r="J91" s="49"/>
      <x:c r="K91" s="49"/>
      <x:c r="L91" s="49"/>
      <x:c r="M91" s="49"/>
      <x:c r="N91" s="49"/>
      <x:c r="O91" s="49"/>
      <x:c r="P91" s="49"/>
      <x:c r="Q91" s="49"/>
      <x:c r="R91" s="49"/>
      <x:c r="S91" s="49"/>
      <x:c r="T91" s="49"/>
      <x:c r="U91" s="49"/>
      <x:c r="V91" s="49"/>
      <x:c r="W91" s="49"/>
      <x:c r="X91" s="49"/>
      <x:c r="Y91" s="49"/>
      <x:c r="Z91" s="49"/>
      <x:c r="AA91" s="49"/>
      <x:c r="AB91" s="49"/>
      <x:c r="AC91" s="49"/>
      <x:c r="AD91" s="49"/>
      <x:c r="AE91" s="49"/>
      <x:c r="AF91" s="49"/>
      <x:c r="AG91" s="49"/>
      <x:c r="AH91" s="49"/>
      <x:c r="AI91" s="49"/>
      <x:c r="AJ91" s="49"/>
      <x:c r="AK91" s="49"/>
      <x:c r="AL91" s="49"/>
      <x:c r="AM91" s="49"/>
      <x:c r="AN91" s="49"/>
      <x:c r="AO91" s="49"/>
      <x:c r="AP91" s="49"/>
      <x:c r="AQ91" s="49"/>
      <x:c r="AR91" s="49"/>
      <x:c r="AS91" s="49"/>
      <x:c r="AT91" s="49"/>
      <x:c r="AU91" s="49"/>
      <x:c r="AV91" s="49"/>
      <x:c r="AW91" s="49"/>
      <x:c r="AX91" s="49"/>
      <x:c r="AY91" s="49"/>
      <x:c r="AZ91" s="49"/>
    </x:row>
    <x:row r="92">
      <x:c r="A92" s="49"/>
      <x:c r="B92" s="49"/>
      <x:c r="C92" s="49"/>
      <x:c r="D92" s="49"/>
      <x:c r="E92" s="49"/>
      <x:c r="F92" s="49"/>
      <x:c r="G92" s="49"/>
      <x:c r="H92" s="49"/>
      <x:c r="I92" s="49"/>
      <x:c r="J92" s="49"/>
      <x:c r="K92" s="49"/>
      <x:c r="L92" s="49"/>
      <x:c r="M92" s="49"/>
      <x:c r="N92" s="49"/>
      <x:c r="O92" s="49"/>
      <x:c r="P92" s="49"/>
      <x:c r="Q92" s="49"/>
      <x:c r="R92" s="49"/>
      <x:c r="S92" s="49"/>
      <x:c r="T92" s="49"/>
      <x:c r="U92" s="49"/>
      <x:c r="V92" s="49"/>
      <x:c r="W92" s="49"/>
      <x:c r="X92" s="49"/>
      <x:c r="Y92" s="49"/>
      <x:c r="Z92" s="49"/>
      <x:c r="AA92" s="49"/>
      <x:c r="AB92" s="49"/>
      <x:c r="AC92" s="49"/>
      <x:c r="AD92" s="49"/>
      <x:c r="AE92" s="49"/>
      <x:c r="AF92" s="49"/>
      <x:c r="AG92" s="49"/>
      <x:c r="AH92" s="49"/>
      <x:c r="AI92" s="49"/>
      <x:c r="AJ92" s="49"/>
      <x:c r="AK92" s="49"/>
      <x:c r="AL92" s="49"/>
      <x:c r="AM92" s="49"/>
      <x:c r="AN92" s="49"/>
      <x:c r="AO92" s="49"/>
      <x:c r="AP92" s="49"/>
      <x:c r="AQ92" s="49"/>
      <x:c r="AR92" s="49"/>
      <x:c r="AS92" s="49"/>
      <x:c r="AT92" s="49"/>
      <x:c r="AU92" s="49"/>
      <x:c r="AV92" s="49"/>
      <x:c r="AW92" s="49"/>
      <x:c r="AX92" s="49"/>
      <x:c r="AY92" s="49"/>
      <x:c r="AZ92" s="49"/>
    </x:row>
    <x:row r="93">
      <x:c r="A93" s="49"/>
      <x:c r="B93" s="49"/>
      <x:c r="C93" s="49"/>
      <x:c r="D93" s="49"/>
      <x:c r="E93" s="49"/>
      <x:c r="F93" s="49"/>
      <x:c r="G93" s="49"/>
      <x:c r="H93" s="49"/>
      <x:c r="I93" s="49"/>
      <x:c r="J93" s="49"/>
      <x:c r="K93" s="49"/>
      <x:c r="L93" s="49"/>
      <x:c r="M93" s="49"/>
      <x:c r="N93" s="49"/>
      <x:c r="O93" s="49"/>
      <x:c r="P93" s="49"/>
      <x:c r="Q93" s="49"/>
      <x:c r="R93" s="49"/>
      <x:c r="S93" s="49"/>
      <x:c r="T93" s="49"/>
      <x:c r="U93" s="49"/>
      <x:c r="V93" s="49"/>
      <x:c r="W93" s="49"/>
      <x:c r="X93" s="49"/>
      <x:c r="Y93" s="49"/>
      <x:c r="Z93" s="49"/>
      <x:c r="AA93" s="49"/>
      <x:c r="AB93" s="49"/>
      <x:c r="AC93" s="49"/>
      <x:c r="AD93" s="49"/>
      <x:c r="AE93" s="49"/>
      <x:c r="AF93" s="49"/>
      <x:c r="AG93" s="49"/>
      <x:c r="AH93" s="49"/>
      <x:c r="AI93" s="49"/>
      <x:c r="AJ93" s="49"/>
      <x:c r="AK93" s="49"/>
      <x:c r="AL93" s="49"/>
      <x:c r="AM93" s="49"/>
      <x:c r="AN93" s="49"/>
      <x:c r="AO93" s="49"/>
      <x:c r="AP93" s="49"/>
      <x:c r="AQ93" s="49"/>
      <x:c r="AR93" s="49"/>
      <x:c r="AS93" s="49"/>
      <x:c r="AT93" s="49"/>
      <x:c r="AU93" s="49"/>
      <x:c r="AV93" s="49"/>
      <x:c r="AW93" s="49"/>
      <x:c r="AX93" s="49"/>
      <x:c r="AY93" s="49"/>
      <x:c r="AZ93" s="49"/>
    </x:row>
    <x:row r="94">
      <x:c r="A94" s="49"/>
      <x:c r="B94" s="49"/>
      <x:c r="C94" s="49"/>
      <x:c r="D94" s="49"/>
      <x:c r="E94" s="49"/>
      <x:c r="F94" s="49"/>
      <x:c r="G94" s="49"/>
      <x:c r="H94" s="49"/>
      <x:c r="I94" s="49"/>
      <x:c r="J94" s="49"/>
      <x:c r="K94" s="49"/>
      <x:c r="L94" s="49"/>
      <x:c r="M94" s="49"/>
      <x:c r="N94" s="49"/>
      <x:c r="O94" s="49"/>
      <x:c r="P94" s="49"/>
      <x:c r="Q94" s="49"/>
      <x:c r="R94" s="49"/>
      <x:c r="S94" s="49"/>
      <x:c r="T94" s="49"/>
      <x:c r="U94" s="49"/>
      <x:c r="V94" s="49"/>
      <x:c r="W94" s="49"/>
      <x:c r="X94" s="49"/>
      <x:c r="Y94" s="49"/>
      <x:c r="Z94" s="49"/>
      <x:c r="AA94" s="49"/>
      <x:c r="AB94" s="49"/>
      <x:c r="AC94" s="49"/>
      <x:c r="AD94" s="49"/>
      <x:c r="AE94" s="49"/>
      <x:c r="AF94" s="49"/>
      <x:c r="AG94" s="49"/>
      <x:c r="AH94" s="49"/>
      <x:c r="AI94" s="49"/>
      <x:c r="AJ94" s="49"/>
      <x:c r="AK94" s="49"/>
      <x:c r="AL94" s="49"/>
      <x:c r="AM94" s="49"/>
      <x:c r="AN94" s="49"/>
      <x:c r="AO94" s="49"/>
      <x:c r="AP94" s="49"/>
      <x:c r="AQ94" s="49"/>
      <x:c r="AR94" s="49"/>
      <x:c r="AS94" s="49"/>
      <x:c r="AT94" s="49"/>
      <x:c r="AU94" s="49"/>
      <x:c r="AV94" s="49"/>
      <x:c r="AW94" s="49"/>
      <x:c r="AX94" s="49"/>
      <x:c r="AY94" s="49"/>
      <x:c r="AZ94" s="49"/>
    </x:row>
    <x:row r="95">
      <x:c r="A95" s="49"/>
      <x:c r="B95" s="49"/>
      <x:c r="C95" s="49"/>
      <x:c r="D95" s="49"/>
      <x:c r="E95" s="49"/>
      <x:c r="F95" s="49"/>
      <x:c r="G95" s="49"/>
      <x:c r="H95" s="49"/>
      <x:c r="I95" s="49"/>
      <x:c r="J95" s="49"/>
      <x:c r="K95" s="49"/>
      <x:c r="L95" s="49"/>
      <x:c r="M95" s="49"/>
      <x:c r="N95" s="49"/>
      <x:c r="O95" s="49"/>
      <x:c r="P95" s="49"/>
      <x:c r="Q95" s="49"/>
      <x:c r="R95" s="49"/>
      <x:c r="S95" s="49"/>
      <x:c r="T95" s="49"/>
      <x:c r="U95" s="49"/>
      <x:c r="V95" s="49"/>
      <x:c r="W95" s="49"/>
      <x:c r="X95" s="49"/>
      <x:c r="Y95" s="49"/>
      <x:c r="Z95" s="49"/>
      <x:c r="AA95" s="49"/>
      <x:c r="AB95" s="49"/>
      <x:c r="AC95" s="49"/>
      <x:c r="AD95" s="49"/>
      <x:c r="AE95" s="49"/>
      <x:c r="AF95" s="49"/>
      <x:c r="AG95" s="49"/>
      <x:c r="AH95" s="49"/>
      <x:c r="AI95" s="49"/>
      <x:c r="AJ95" s="49"/>
      <x:c r="AK95" s="49"/>
      <x:c r="AL95" s="49"/>
      <x:c r="AM95" s="49"/>
      <x:c r="AN95" s="49"/>
      <x:c r="AO95" s="49"/>
      <x:c r="AP95" s="49"/>
      <x:c r="AQ95" s="49"/>
      <x:c r="AR95" s="49"/>
      <x:c r="AS95" s="49"/>
      <x:c r="AT95" s="49"/>
      <x:c r="AU95" s="49"/>
      <x:c r="AV95" s="49"/>
      <x:c r="AW95" s="49"/>
      <x:c r="AX95" s="49"/>
      <x:c r="AY95" s="49"/>
      <x:c r="AZ95" s="49"/>
    </x:row>
    <x:row r="96">
      <x:c r="A96" s="49"/>
      <x:c r="B96" s="49"/>
      <x:c r="C96" s="49"/>
      <x:c r="D96" s="49"/>
      <x:c r="E96" s="49"/>
      <x:c r="F96" s="49"/>
      <x:c r="G96" s="49"/>
      <x:c r="H96" s="49"/>
      <x:c r="I96" s="49"/>
      <x:c r="J96" s="49"/>
      <x:c r="K96" s="49"/>
      <x:c r="L96" s="49"/>
      <x:c r="M96" s="49"/>
      <x:c r="N96" s="49"/>
      <x:c r="O96" s="49"/>
      <x:c r="P96" s="49"/>
      <x:c r="Q96" s="49"/>
      <x:c r="R96" s="49"/>
      <x:c r="S96" s="49"/>
      <x:c r="T96" s="49"/>
      <x:c r="U96" s="49"/>
      <x:c r="V96" s="49"/>
      <x:c r="W96" s="49"/>
      <x:c r="X96" s="49"/>
      <x:c r="Y96" s="49"/>
      <x:c r="Z96" s="49"/>
      <x:c r="AA96" s="49"/>
      <x:c r="AB96" s="49"/>
      <x:c r="AC96" s="49"/>
      <x:c r="AD96" s="49"/>
      <x:c r="AE96" s="49"/>
      <x:c r="AF96" s="49"/>
      <x:c r="AG96" s="49"/>
      <x:c r="AH96" s="49"/>
      <x:c r="AI96" s="49"/>
      <x:c r="AJ96" s="49"/>
      <x:c r="AK96" s="49"/>
      <x:c r="AL96" s="49"/>
      <x:c r="AM96" s="49"/>
      <x:c r="AN96" s="49"/>
      <x:c r="AO96" s="49"/>
      <x:c r="AP96" s="49"/>
      <x:c r="AQ96" s="49"/>
      <x:c r="AR96" s="49"/>
      <x:c r="AS96" s="49"/>
      <x:c r="AT96" s="49"/>
      <x:c r="AU96" s="49"/>
      <x:c r="AV96" s="49"/>
      <x:c r="AW96" s="49"/>
      <x:c r="AX96" s="49"/>
      <x:c r="AY96" s="49"/>
      <x:c r="AZ96" s="49"/>
    </x:row>
    <x:row r="97">
      <x:c r="A97" s="49"/>
      <x:c r="B97" s="49"/>
      <x:c r="C97" s="49"/>
      <x:c r="D97" s="49"/>
      <x:c r="E97" s="49"/>
      <x:c r="F97" s="49"/>
      <x:c r="G97" s="49"/>
      <x:c r="H97" s="49"/>
      <x:c r="I97" s="49"/>
      <x:c r="J97" s="49"/>
      <x:c r="K97" s="49"/>
      <x:c r="L97" s="49"/>
      <x:c r="M97" s="49"/>
      <x:c r="N97" s="49"/>
      <x:c r="O97" s="49"/>
      <x:c r="P97" s="49"/>
      <x:c r="Q97" s="49"/>
      <x:c r="R97" s="49"/>
      <x:c r="S97" s="49"/>
      <x:c r="T97" s="49"/>
      <x:c r="U97" s="49"/>
      <x:c r="V97" s="49"/>
      <x:c r="W97" s="49"/>
      <x:c r="X97" s="49"/>
      <x:c r="Y97" s="49"/>
      <x:c r="Z97" s="49"/>
      <x:c r="AA97" s="49"/>
      <x:c r="AB97" s="49"/>
      <x:c r="AC97" s="49"/>
      <x:c r="AD97" s="49"/>
      <x:c r="AE97" s="49"/>
      <x:c r="AF97" s="49"/>
      <x:c r="AG97" s="49"/>
      <x:c r="AH97" s="49"/>
      <x:c r="AI97" s="49"/>
      <x:c r="AJ97" s="49"/>
      <x:c r="AK97" s="49"/>
      <x:c r="AL97" s="49"/>
      <x:c r="AM97" s="49"/>
      <x:c r="AN97" s="49"/>
      <x:c r="AO97" s="49"/>
      <x:c r="AP97" s="49"/>
      <x:c r="AQ97" s="49"/>
      <x:c r="AR97" s="49"/>
      <x:c r="AS97" s="49"/>
      <x:c r="AT97" s="49"/>
      <x:c r="AU97" s="49"/>
      <x:c r="AV97" s="49"/>
      <x:c r="AW97" s="49"/>
      <x:c r="AX97" s="49"/>
      <x:c r="AY97" s="49"/>
      <x:c r="AZ97" s="49"/>
    </x:row>
    <x:row r="98">
      <x:c r="A98" s="49"/>
      <x:c r="B98" s="49"/>
      <x:c r="C98" s="49"/>
      <x:c r="D98" s="49"/>
      <x:c r="E98" s="49"/>
      <x:c r="F98" s="49"/>
      <x:c r="G98" s="49"/>
      <x:c r="H98" s="49"/>
      <x:c r="I98" s="49"/>
      <x:c r="J98" s="49"/>
      <x:c r="K98" s="49"/>
      <x:c r="L98" s="49"/>
      <x:c r="M98" s="49"/>
      <x:c r="N98" s="49"/>
      <x:c r="O98" s="49"/>
      <x:c r="P98" s="49"/>
      <x:c r="Q98" s="49"/>
      <x:c r="R98" s="49"/>
      <x:c r="S98" s="49"/>
      <x:c r="T98" s="49"/>
      <x:c r="U98" s="49"/>
      <x:c r="V98" s="49"/>
      <x:c r="W98" s="49"/>
      <x:c r="X98" s="49"/>
      <x:c r="Y98" s="49"/>
      <x:c r="Z98" s="49"/>
      <x:c r="AA98" s="49"/>
      <x:c r="AB98" s="49"/>
      <x:c r="AC98" s="49"/>
      <x:c r="AD98" s="49"/>
      <x:c r="AE98" s="49"/>
      <x:c r="AF98" s="49"/>
      <x:c r="AG98" s="49"/>
      <x:c r="AH98" s="49"/>
      <x:c r="AI98" s="49"/>
      <x:c r="AJ98" s="49"/>
      <x:c r="AK98" s="49"/>
      <x:c r="AL98" s="49"/>
      <x:c r="AM98" s="49"/>
      <x:c r="AN98" s="49"/>
      <x:c r="AO98" s="49"/>
      <x:c r="AP98" s="49"/>
      <x:c r="AQ98" s="49"/>
      <x:c r="AR98" s="49"/>
      <x:c r="AS98" s="49"/>
      <x:c r="AT98" s="49"/>
      <x:c r="AU98" s="49"/>
      <x:c r="AV98" s="49"/>
      <x:c r="AW98" s="49"/>
      <x:c r="AX98" s="49"/>
      <x:c r="AY98" s="49"/>
      <x:c r="AZ98" s="49"/>
    </x:row>
    <x:row r="99">
      <x:c r="A99" s="49"/>
      <x:c r="B99" s="49"/>
      <x:c r="C99" s="49"/>
      <x:c r="D99" s="49"/>
      <x:c r="E99" s="49"/>
      <x:c r="F99" s="49"/>
      <x:c r="G99" s="49"/>
      <x:c r="H99" s="49"/>
      <x:c r="I99" s="49"/>
      <x:c r="J99" s="49"/>
      <x:c r="K99" s="49"/>
      <x:c r="L99" s="49"/>
      <x:c r="M99" s="49"/>
      <x:c r="N99" s="49"/>
      <x:c r="O99" s="49"/>
      <x:c r="P99" s="49"/>
      <x:c r="Q99" s="49"/>
      <x:c r="R99" s="49"/>
      <x:c r="S99" s="49"/>
      <x:c r="T99" s="49"/>
      <x:c r="U99" s="49"/>
      <x:c r="V99" s="49"/>
      <x:c r="W99" s="49"/>
      <x:c r="X99" s="49"/>
      <x:c r="Y99" s="49"/>
      <x:c r="Z99" s="49"/>
      <x:c r="AA99" s="49"/>
      <x:c r="AB99" s="49"/>
      <x:c r="AC99" s="49"/>
      <x:c r="AD99" s="49"/>
      <x:c r="AE99" s="49"/>
      <x:c r="AF99" s="49"/>
      <x:c r="AG99" s="49"/>
      <x:c r="AH99" s="49"/>
      <x:c r="AI99" s="49"/>
      <x:c r="AJ99" s="49"/>
      <x:c r="AK99" s="49"/>
      <x:c r="AL99" s="49"/>
      <x:c r="AM99" s="49"/>
      <x:c r="AN99" s="49"/>
      <x:c r="AO99" s="49"/>
      <x:c r="AP99" s="49"/>
      <x:c r="AQ99" s="49"/>
      <x:c r="AR99" s="49"/>
      <x:c r="AS99" s="49"/>
      <x:c r="AT99" s="49"/>
      <x:c r="AU99" s="49"/>
      <x:c r="AV99" s="49"/>
      <x:c r="AW99" s="49"/>
      <x:c r="AX99" s="49"/>
      <x:c r="AY99" s="49"/>
      <x:c r="AZ99" s="49"/>
    </x:row>
    <x:row r="100">
      <x:c r="A100" s="49"/>
      <x:c r="B100" s="49"/>
      <x:c r="C100" s="49"/>
      <x:c r="D100" s="49"/>
      <x:c r="E100" s="49"/>
      <x:c r="F100" s="49"/>
      <x:c r="G100" s="49"/>
      <x:c r="H100" s="49"/>
      <x:c r="I100" s="49"/>
      <x:c r="J100" s="49"/>
      <x:c r="K100" s="49"/>
      <x:c r="L100" s="49"/>
      <x:c r="M100" s="49"/>
      <x:c r="N100" s="49"/>
      <x:c r="O100" s="49"/>
      <x:c r="P100" s="49"/>
      <x:c r="Q100" s="49"/>
      <x:c r="R100" s="49"/>
      <x:c r="S100" s="49"/>
      <x:c r="T100" s="49"/>
      <x:c r="U100" s="49"/>
      <x:c r="V100" s="49"/>
      <x:c r="W100" s="49"/>
      <x:c r="X100" s="49"/>
      <x:c r="Y100" s="49"/>
      <x:c r="Z100" s="49"/>
      <x:c r="AA100" s="49"/>
      <x:c r="AB100" s="49"/>
      <x:c r="AC100" s="49"/>
      <x:c r="AD100" s="49"/>
      <x:c r="AE100" s="49"/>
      <x:c r="AF100" s="49"/>
      <x:c r="AG100" s="49"/>
      <x:c r="AH100" s="49"/>
      <x:c r="AI100" s="49"/>
      <x:c r="AJ100" s="49"/>
      <x:c r="AK100" s="49"/>
      <x:c r="AL100" s="49"/>
      <x:c r="AM100" s="49"/>
      <x:c r="AN100" s="49"/>
      <x:c r="AO100" s="49"/>
      <x:c r="AP100" s="49"/>
      <x:c r="AQ100" s="49"/>
      <x:c r="AR100" s="49"/>
      <x:c r="AS100" s="49"/>
      <x:c r="AT100" s="49"/>
      <x:c r="AU100" s="49"/>
      <x:c r="AV100" s="49"/>
      <x:c r="AW100" s="49"/>
      <x:c r="AX100" s="49"/>
      <x:c r="AY100" s="49"/>
      <x:c r="AZ100" s="49"/>
    </x:row>
    <x:row r="101">
      <x:c r="A101" s="49"/>
      <x:c r="B101" s="49"/>
      <x:c r="C101" s="49"/>
      <x:c r="D101" s="49"/>
      <x:c r="E101" s="49"/>
      <x:c r="F101" s="49"/>
      <x:c r="G101" s="49"/>
      <x:c r="H101" s="49"/>
      <x:c r="I101" s="49"/>
      <x:c r="J101" s="49"/>
      <x:c r="K101" s="49"/>
      <x:c r="L101" s="49"/>
      <x:c r="M101" s="49"/>
      <x:c r="N101" s="49"/>
      <x:c r="O101" s="49"/>
      <x:c r="P101" s="49"/>
      <x:c r="Q101" s="49"/>
      <x:c r="R101" s="49"/>
      <x:c r="S101" s="49"/>
      <x:c r="T101" s="49"/>
      <x:c r="U101" s="49"/>
      <x:c r="V101" s="49"/>
      <x:c r="W101" s="49"/>
      <x:c r="X101" s="49"/>
      <x:c r="Y101" s="49"/>
      <x:c r="Z101" s="49"/>
      <x:c r="AA101" s="49"/>
      <x:c r="AB101" s="49"/>
      <x:c r="AC101" s="49"/>
      <x:c r="AD101" s="49"/>
      <x:c r="AE101" s="49"/>
      <x:c r="AF101" s="49"/>
      <x:c r="AG101" s="49"/>
      <x:c r="AH101" s="49"/>
      <x:c r="AI101" s="49"/>
      <x:c r="AJ101" s="49"/>
      <x:c r="AK101" s="49"/>
      <x:c r="AL101" s="49"/>
      <x:c r="AM101" s="49"/>
      <x:c r="AN101" s="49"/>
      <x:c r="AO101" s="49"/>
      <x:c r="AP101" s="49"/>
      <x:c r="AQ101" s="49"/>
      <x:c r="AR101" s="49"/>
      <x:c r="AS101" s="49"/>
      <x:c r="AT101" s="49"/>
      <x:c r="AU101" s="49"/>
      <x:c r="AV101" s="49"/>
      <x:c r="AW101" s="49"/>
      <x:c r="AX101" s="49"/>
      <x:c r="AY101" s="49"/>
      <x:c r="AZ101" s="49"/>
    </x:row>
    <x:row r="102">
      <x:c r="A102" s="49"/>
      <x:c r="B102" s="49"/>
      <x:c r="C102" s="49"/>
      <x:c r="D102" s="49"/>
      <x:c r="E102" s="49"/>
      <x:c r="F102" s="49"/>
      <x:c r="G102" s="49"/>
      <x:c r="H102" s="49"/>
      <x:c r="I102" s="49"/>
      <x:c r="J102" s="49"/>
      <x:c r="K102" s="49"/>
      <x:c r="L102" s="49"/>
      <x:c r="M102" s="49"/>
      <x:c r="N102" s="49"/>
      <x:c r="O102" s="49"/>
      <x:c r="P102" s="49"/>
      <x:c r="Q102" s="49"/>
      <x:c r="R102" s="49"/>
      <x:c r="S102" s="49"/>
      <x:c r="T102" s="49"/>
      <x:c r="U102" s="49"/>
      <x:c r="V102" s="49"/>
      <x:c r="W102" s="49"/>
      <x:c r="X102" s="49"/>
      <x:c r="Y102" s="49"/>
      <x:c r="Z102" s="49"/>
      <x:c r="AA102" s="49"/>
      <x:c r="AB102" s="49"/>
      <x:c r="AC102" s="49"/>
      <x:c r="AD102" s="49"/>
      <x:c r="AE102" s="49"/>
      <x:c r="AF102" s="49"/>
      <x:c r="AG102" s="49"/>
      <x:c r="AH102" s="49"/>
      <x:c r="AI102" s="49"/>
      <x:c r="AJ102" s="49"/>
      <x:c r="AK102" s="49"/>
      <x:c r="AL102" s="49"/>
      <x:c r="AM102" s="49"/>
      <x:c r="AN102" s="49"/>
      <x:c r="AO102" s="49"/>
      <x:c r="AP102" s="49"/>
      <x:c r="AQ102" s="49"/>
      <x:c r="AR102" s="49"/>
      <x:c r="AS102" s="49"/>
      <x:c r="AT102" s="49"/>
      <x:c r="AU102" s="49"/>
      <x:c r="AV102" s="49"/>
      <x:c r="AW102" s="49"/>
      <x:c r="AX102" s="49"/>
      <x:c r="AY102" s="49"/>
      <x:c r="AZ102" s="49"/>
    </x:row>
    <x:row r="103">
      <x:c r="A103" s="49"/>
      <x:c r="B103" s="49"/>
      <x:c r="C103" s="49"/>
      <x:c r="D103" s="49"/>
      <x:c r="E103" s="49"/>
      <x:c r="F103" s="49"/>
      <x:c r="G103" s="49"/>
      <x:c r="H103" s="49"/>
      <x:c r="I103" s="49"/>
      <x:c r="J103" s="49"/>
      <x:c r="K103" s="49"/>
      <x:c r="L103" s="49"/>
      <x:c r="M103" s="49"/>
      <x:c r="N103" s="49"/>
      <x:c r="O103" s="49"/>
      <x:c r="P103" s="49"/>
      <x:c r="Q103" s="49"/>
      <x:c r="R103" s="49"/>
      <x:c r="S103" s="49"/>
      <x:c r="T103" s="49"/>
      <x:c r="U103" s="49"/>
      <x:c r="V103" s="49"/>
      <x:c r="W103" s="49"/>
      <x:c r="X103" s="49"/>
      <x:c r="Y103" s="49"/>
      <x:c r="Z103" s="49"/>
      <x:c r="AA103" s="49"/>
      <x:c r="AB103" s="49"/>
      <x:c r="AC103" s="49"/>
      <x:c r="AD103" s="49"/>
      <x:c r="AE103" s="49"/>
      <x:c r="AF103" s="49"/>
      <x:c r="AG103" s="49"/>
      <x:c r="AH103" s="49"/>
      <x:c r="AI103" s="49"/>
      <x:c r="AJ103" s="49"/>
      <x:c r="AK103" s="49"/>
      <x:c r="AL103" s="49"/>
      <x:c r="AM103" s="49"/>
      <x:c r="AN103" s="49"/>
      <x:c r="AO103" s="49"/>
      <x:c r="AP103" s="49"/>
      <x:c r="AQ103" s="49"/>
      <x:c r="AR103" s="49"/>
      <x:c r="AS103" s="49"/>
      <x:c r="AT103" s="49"/>
      <x:c r="AU103" s="49"/>
      <x:c r="AV103" s="49"/>
      <x:c r="AW103" s="49"/>
      <x:c r="AX103" s="49"/>
      <x:c r="AY103" s="49"/>
      <x:c r="AZ103" s="49"/>
    </x:row>
    <x:row r="104">
      <x:c r="A104" s="49"/>
      <x:c r="B104" s="49"/>
      <x:c r="C104" s="49"/>
      <x:c r="D104" s="49"/>
      <x:c r="E104" s="49"/>
      <x:c r="F104" s="49"/>
      <x:c r="G104" s="49"/>
      <x:c r="H104" s="49"/>
      <x:c r="I104" s="49"/>
      <x:c r="J104" s="49"/>
      <x:c r="K104" s="49"/>
      <x:c r="L104" s="49"/>
      <x:c r="M104" s="49"/>
      <x:c r="N104" s="49"/>
      <x:c r="O104" s="49"/>
      <x:c r="P104" s="49"/>
      <x:c r="Q104" s="49"/>
      <x:c r="R104" s="49"/>
      <x:c r="S104" s="49"/>
      <x:c r="T104" s="49"/>
      <x:c r="U104" s="49"/>
      <x:c r="V104" s="49"/>
      <x:c r="W104" s="49"/>
      <x:c r="X104" s="49"/>
      <x:c r="Y104" s="49"/>
      <x:c r="Z104" s="49"/>
      <x:c r="AA104" s="49"/>
      <x:c r="AB104" s="49"/>
      <x:c r="AC104" s="49"/>
      <x:c r="AD104" s="49"/>
      <x:c r="AE104" s="49"/>
      <x:c r="AF104" s="49"/>
      <x:c r="AG104" s="49"/>
      <x:c r="AH104" s="49"/>
      <x:c r="AI104" s="49"/>
      <x:c r="AJ104" s="49"/>
      <x:c r="AK104" s="49"/>
      <x:c r="AL104" s="49"/>
      <x:c r="AM104" s="49"/>
      <x:c r="AN104" s="49"/>
      <x:c r="AO104" s="49"/>
      <x:c r="AP104" s="49"/>
      <x:c r="AQ104" s="49"/>
      <x:c r="AR104" s="49"/>
      <x:c r="AS104" s="49"/>
      <x:c r="AT104" s="49"/>
      <x:c r="AU104" s="49"/>
      <x:c r="AV104" s="49"/>
      <x:c r="AW104" s="49"/>
      <x:c r="AX104" s="49"/>
      <x:c r="AY104" s="49"/>
      <x:c r="AZ104" s="49"/>
    </x:row>
    <x:row r="105">
      <x:c r="A105" s="49"/>
      <x:c r="B105" s="49"/>
      <x:c r="C105" s="49"/>
      <x:c r="D105" s="49"/>
      <x:c r="E105" s="49"/>
      <x:c r="F105" s="49"/>
      <x:c r="G105" s="49"/>
      <x:c r="H105" s="49"/>
      <x:c r="I105" s="49"/>
      <x:c r="J105" s="49"/>
      <x:c r="K105" s="49"/>
      <x:c r="L105" s="49"/>
      <x:c r="M105" s="49"/>
      <x:c r="N105" s="49"/>
      <x:c r="O105" s="49"/>
      <x:c r="P105" s="49"/>
      <x:c r="Q105" s="49"/>
      <x:c r="R105" s="49"/>
      <x:c r="S105" s="49"/>
      <x:c r="T105" s="49"/>
      <x:c r="U105" s="49"/>
      <x:c r="V105" s="49"/>
      <x:c r="W105" s="49"/>
      <x:c r="X105" s="49"/>
      <x:c r="Y105" s="49"/>
      <x:c r="Z105" s="49"/>
      <x:c r="AA105" s="49"/>
      <x:c r="AB105" s="49"/>
      <x:c r="AC105" s="49"/>
      <x:c r="AD105" s="49"/>
      <x:c r="AE105" s="49"/>
      <x:c r="AF105" s="49"/>
      <x:c r="AG105" s="49"/>
      <x:c r="AH105" s="49"/>
      <x:c r="AI105" s="49"/>
      <x:c r="AJ105" s="49"/>
      <x:c r="AK105" s="49"/>
      <x:c r="AL105" s="49"/>
      <x:c r="AM105" s="49"/>
      <x:c r="AN105" s="49"/>
      <x:c r="AO105" s="49"/>
      <x:c r="AP105" s="49"/>
      <x:c r="AQ105" s="49"/>
      <x:c r="AR105" s="49"/>
      <x:c r="AS105" s="49"/>
      <x:c r="AT105" s="49"/>
      <x:c r="AU105" s="49"/>
      <x:c r="AV105" s="49"/>
      <x:c r="AW105" s="49"/>
      <x:c r="AX105" s="49"/>
      <x:c r="AY105" s="49"/>
      <x:c r="AZ105" s="49"/>
    </x:row>
    <x:row r="106">
      <x:c r="A106" s="49"/>
      <x:c r="B106" s="49"/>
      <x:c r="C106" s="49"/>
      <x:c r="D106" s="49"/>
      <x:c r="E106" s="49"/>
      <x:c r="F106" s="49"/>
      <x:c r="G106" s="49"/>
      <x:c r="H106" s="49"/>
      <x:c r="I106" s="49"/>
      <x:c r="J106" s="49"/>
      <x:c r="K106" s="49"/>
      <x:c r="L106" s="49"/>
      <x:c r="M106" s="49"/>
      <x:c r="N106" s="49"/>
      <x:c r="O106" s="49"/>
      <x:c r="P106" s="49"/>
      <x:c r="Q106" s="49"/>
      <x:c r="R106" s="49"/>
      <x:c r="S106" s="49"/>
      <x:c r="T106" s="49"/>
      <x:c r="U106" s="49"/>
      <x:c r="V106" s="49"/>
      <x:c r="W106" s="49"/>
      <x:c r="X106" s="49"/>
      <x:c r="Y106" s="49"/>
      <x:c r="Z106" s="49"/>
      <x:c r="AA106" s="49"/>
      <x:c r="AB106" s="49"/>
      <x:c r="AC106" s="49"/>
      <x:c r="AD106" s="49"/>
      <x:c r="AE106" s="49"/>
      <x:c r="AF106" s="49"/>
      <x:c r="AG106" s="49"/>
      <x:c r="AH106" s="49"/>
      <x:c r="AI106" s="49"/>
      <x:c r="AJ106" s="49"/>
      <x:c r="AK106" s="49"/>
      <x:c r="AL106" s="49"/>
      <x:c r="AM106" s="49"/>
      <x:c r="AN106" s="49"/>
      <x:c r="AO106" s="49"/>
      <x:c r="AP106" s="49"/>
      <x:c r="AQ106" s="49"/>
      <x:c r="AR106" s="49"/>
      <x:c r="AS106" s="49"/>
      <x:c r="AT106" s="49"/>
      <x:c r="AU106" s="49"/>
      <x:c r="AV106" s="49"/>
      <x:c r="AW106" s="49"/>
      <x:c r="AX106" s="49"/>
      <x:c r="AY106" s="49"/>
      <x:c r="AZ106" s="49"/>
    </x:row>
    <x:row r="107">
      <x:c r="A107" s="49"/>
      <x:c r="B107" s="49"/>
      <x:c r="C107" s="49"/>
      <x:c r="D107" s="49"/>
      <x:c r="E107" s="49"/>
      <x:c r="F107" s="49"/>
      <x:c r="G107" s="49"/>
      <x:c r="H107" s="49"/>
      <x:c r="I107" s="49"/>
      <x:c r="J107" s="49"/>
      <x:c r="K107" s="49"/>
      <x:c r="L107" s="49"/>
      <x:c r="M107" s="49"/>
      <x:c r="N107" s="49"/>
      <x:c r="O107" s="49"/>
      <x:c r="P107" s="49"/>
      <x:c r="Q107" s="49"/>
      <x:c r="R107" s="49"/>
      <x:c r="S107" s="49"/>
      <x:c r="T107" s="49"/>
      <x:c r="U107" s="49"/>
      <x:c r="V107" s="49"/>
      <x:c r="W107" s="49"/>
      <x:c r="X107" s="49"/>
      <x:c r="Y107" s="49"/>
      <x:c r="Z107" s="49"/>
      <x:c r="AA107" s="49"/>
      <x:c r="AB107" s="49"/>
      <x:c r="AC107" s="49"/>
      <x:c r="AD107" s="49"/>
      <x:c r="AE107" s="49"/>
      <x:c r="AF107" s="49"/>
      <x:c r="AG107" s="49"/>
      <x:c r="AH107" s="49"/>
      <x:c r="AI107" s="49"/>
      <x:c r="AJ107" s="49"/>
      <x:c r="AK107" s="49"/>
      <x:c r="AL107" s="49"/>
      <x:c r="AM107" s="49"/>
      <x:c r="AN107" s="49"/>
      <x:c r="AO107" s="49"/>
      <x:c r="AP107" s="49"/>
      <x:c r="AQ107" s="49"/>
      <x:c r="AR107" s="49"/>
      <x:c r="AS107" s="49"/>
      <x:c r="AT107" s="49"/>
      <x:c r="AU107" s="49"/>
      <x:c r="AV107" s="49"/>
      <x:c r="AW107" s="49"/>
      <x:c r="AX107" s="49"/>
      <x:c r="AY107" s="49"/>
      <x:c r="AZ107" s="49"/>
    </x:row>
    <x:row r="108">
      <x:c r="A108" s="49"/>
      <x:c r="B108" s="49"/>
      <x:c r="C108" s="49"/>
      <x:c r="D108" s="49"/>
      <x:c r="E108" s="49"/>
      <x:c r="F108" s="49"/>
      <x:c r="G108" s="49"/>
      <x:c r="H108" s="49"/>
      <x:c r="I108" s="49"/>
      <x:c r="J108" s="49"/>
      <x:c r="K108" s="49"/>
      <x:c r="L108" s="49"/>
      <x:c r="M108" s="49"/>
      <x:c r="N108" s="49"/>
      <x:c r="O108" s="49"/>
      <x:c r="P108" s="49"/>
      <x:c r="Q108" s="49"/>
      <x:c r="R108" s="49"/>
      <x:c r="S108" s="49"/>
      <x:c r="T108" s="49"/>
      <x:c r="U108" s="49"/>
      <x:c r="V108" s="49"/>
      <x:c r="W108" s="49"/>
      <x:c r="X108" s="49"/>
      <x:c r="Y108" s="49"/>
      <x:c r="Z108" s="49"/>
      <x:c r="AA108" s="49"/>
      <x:c r="AB108" s="49"/>
      <x:c r="AC108" s="49"/>
      <x:c r="AD108" s="49"/>
      <x:c r="AE108" s="49"/>
      <x:c r="AF108" s="49"/>
      <x:c r="AG108" s="49"/>
      <x:c r="AH108" s="49"/>
      <x:c r="AI108" s="49"/>
      <x:c r="AJ108" s="49"/>
      <x:c r="AK108" s="49"/>
      <x:c r="AL108" s="49"/>
      <x:c r="AM108" s="49"/>
      <x:c r="AN108" s="49"/>
      <x:c r="AO108" s="49"/>
      <x:c r="AP108" s="49"/>
      <x:c r="AQ108" s="49"/>
      <x:c r="AR108" s="49"/>
      <x:c r="AS108" s="49"/>
      <x:c r="AT108" s="49"/>
      <x:c r="AU108" s="49"/>
      <x:c r="AV108" s="49"/>
      <x:c r="AW108" s="49"/>
      <x:c r="AX108" s="49"/>
      <x:c r="AY108" s="49"/>
      <x:c r="AZ108" s="49"/>
    </x:row>
    <x:row r="109">
      <x:c r="A109" s="49"/>
      <x:c r="B109" s="49"/>
      <x:c r="C109" s="49"/>
      <x:c r="D109" s="49"/>
      <x:c r="E109" s="49"/>
      <x:c r="F109" s="49"/>
      <x:c r="G109" s="49"/>
      <x:c r="H109" s="49"/>
      <x:c r="I109" s="49"/>
      <x:c r="J109" s="49"/>
      <x:c r="K109" s="49"/>
      <x:c r="L109" s="49"/>
      <x:c r="M109" s="49"/>
      <x:c r="N109" s="49"/>
      <x:c r="O109" s="49"/>
      <x:c r="P109" s="49"/>
      <x:c r="Q109" s="49"/>
      <x:c r="R109" s="49"/>
      <x:c r="S109" s="49"/>
      <x:c r="T109" s="49"/>
      <x:c r="U109" s="49"/>
      <x:c r="V109" s="49"/>
      <x:c r="W109" s="49"/>
      <x:c r="X109" s="49"/>
      <x:c r="Y109" s="49"/>
      <x:c r="Z109" s="49"/>
      <x:c r="AA109" s="49"/>
      <x:c r="AB109" s="49"/>
      <x:c r="AC109" s="49"/>
      <x:c r="AD109" s="49"/>
      <x:c r="AE109" s="49"/>
      <x:c r="AF109" s="49"/>
      <x:c r="AG109" s="49"/>
      <x:c r="AH109" s="49"/>
      <x:c r="AI109" s="49"/>
      <x:c r="AJ109" s="49"/>
      <x:c r="AK109" s="49"/>
      <x:c r="AL109" s="49"/>
      <x:c r="AM109" s="49"/>
      <x:c r="AN109" s="49"/>
      <x:c r="AO109" s="49"/>
      <x:c r="AP109" s="49"/>
      <x:c r="AQ109" s="49"/>
      <x:c r="AR109" s="49"/>
      <x:c r="AS109" s="49"/>
      <x:c r="AT109" s="49"/>
      <x:c r="AU109" s="49"/>
      <x:c r="AV109" s="49"/>
      <x:c r="AW109" s="49"/>
      <x:c r="AX109" s="49"/>
      <x:c r="AY109" s="49"/>
      <x:c r="AZ109" s="49"/>
    </x:row>
    <x:row r="110">
      <x:c r="A110" s="49"/>
      <x:c r="B110" s="49"/>
      <x:c r="C110" s="49"/>
      <x:c r="D110" s="49"/>
      <x:c r="E110" s="49"/>
      <x:c r="F110" s="49"/>
      <x:c r="G110" s="49"/>
      <x:c r="H110" s="49"/>
      <x:c r="I110" s="49"/>
      <x:c r="J110" s="49"/>
      <x:c r="K110" s="49"/>
      <x:c r="L110" s="49"/>
      <x:c r="M110" s="49"/>
      <x:c r="N110" s="49"/>
      <x:c r="O110" s="49"/>
      <x:c r="P110" s="49"/>
      <x:c r="Q110" s="49"/>
      <x:c r="R110" s="49"/>
      <x:c r="S110" s="49"/>
      <x:c r="T110" s="49"/>
      <x:c r="U110" s="49"/>
      <x:c r="V110" s="49"/>
      <x:c r="W110" s="49"/>
      <x:c r="X110" s="49"/>
      <x:c r="Y110" s="49"/>
      <x:c r="Z110" s="49"/>
      <x:c r="AA110" s="49"/>
      <x:c r="AB110" s="49"/>
      <x:c r="AC110" s="49"/>
      <x:c r="AD110" s="49"/>
      <x:c r="AE110" s="49"/>
      <x:c r="AF110" s="49"/>
      <x:c r="AG110" s="49"/>
      <x:c r="AH110" s="49"/>
      <x:c r="AI110" s="49"/>
      <x:c r="AJ110" s="49"/>
      <x:c r="AK110" s="49"/>
      <x:c r="AL110" s="49"/>
      <x:c r="AM110" s="49"/>
      <x:c r="AN110" s="49"/>
      <x:c r="AO110" s="49"/>
      <x:c r="AP110" s="49"/>
      <x:c r="AQ110" s="49"/>
      <x:c r="AR110" s="49"/>
      <x:c r="AS110" s="49"/>
      <x:c r="AT110" s="49"/>
      <x:c r="AU110" s="49"/>
      <x:c r="AV110" s="49"/>
      <x:c r="AW110" s="49"/>
      <x:c r="AX110" s="49"/>
      <x:c r="AY110" s="49"/>
      <x:c r="AZ110" s="49"/>
    </x:row>
    <x:row r="111">
      <x:c r="A111" s="49"/>
      <x:c r="B111" s="49"/>
      <x:c r="C111" s="49"/>
      <x:c r="D111" s="49"/>
      <x:c r="E111" s="49"/>
      <x:c r="F111" s="49"/>
      <x:c r="G111" s="49"/>
      <x:c r="H111" s="49"/>
      <x:c r="I111" s="49"/>
      <x:c r="J111" s="49"/>
      <x:c r="K111" s="49"/>
      <x:c r="L111" s="49"/>
      <x:c r="M111" s="49"/>
      <x:c r="N111" s="49"/>
      <x:c r="O111" s="49"/>
      <x:c r="P111" s="49"/>
      <x:c r="Q111" s="49"/>
      <x:c r="R111" s="49"/>
      <x:c r="S111" s="49"/>
      <x:c r="T111" s="49"/>
      <x:c r="U111" s="49"/>
      <x:c r="V111" s="49"/>
      <x:c r="W111" s="49"/>
      <x:c r="X111" s="49"/>
      <x:c r="Y111" s="49"/>
      <x:c r="Z111" s="49"/>
      <x:c r="AA111" s="49"/>
      <x:c r="AB111" s="49"/>
      <x:c r="AC111" s="49"/>
      <x:c r="AD111" s="49"/>
      <x:c r="AE111" s="49"/>
      <x:c r="AF111" s="49"/>
      <x:c r="AG111" s="49"/>
      <x:c r="AH111" s="49"/>
      <x:c r="AI111" s="49"/>
      <x:c r="AJ111" s="49"/>
      <x:c r="AK111" s="49"/>
      <x:c r="AL111" s="49"/>
      <x:c r="AM111" s="49"/>
      <x:c r="AN111" s="49"/>
      <x:c r="AO111" s="49"/>
      <x:c r="AP111" s="49"/>
      <x:c r="AQ111" s="49"/>
      <x:c r="AR111" s="49"/>
      <x:c r="AS111" s="49"/>
      <x:c r="AT111" s="49"/>
      <x:c r="AU111" s="49"/>
      <x:c r="AV111" s="49"/>
      <x:c r="AW111" s="49"/>
      <x:c r="AX111" s="49"/>
      <x:c r="AY111" s="49"/>
      <x:c r="AZ111" s="49"/>
    </x:row>
    <x:row r="112">
      <x:c r="A112" s="49"/>
      <x:c r="B112" s="49"/>
      <x:c r="C112" s="49"/>
      <x:c r="D112" s="49"/>
      <x:c r="E112" s="49"/>
      <x:c r="F112" s="49"/>
      <x:c r="G112" s="49"/>
      <x:c r="H112" s="49"/>
      <x:c r="I112" s="49"/>
      <x:c r="J112" s="49"/>
      <x:c r="K112" s="49"/>
      <x:c r="L112" s="49"/>
      <x:c r="M112" s="49"/>
      <x:c r="N112" s="49"/>
      <x:c r="O112" s="49"/>
      <x:c r="P112" s="49"/>
      <x:c r="Q112" s="49"/>
      <x:c r="R112" s="49"/>
      <x:c r="S112" s="49"/>
      <x:c r="T112" s="49"/>
      <x:c r="U112" s="49"/>
      <x:c r="V112" s="49"/>
      <x:c r="W112" s="49"/>
      <x:c r="X112" s="49"/>
      <x:c r="Y112" s="49"/>
      <x:c r="Z112" s="49"/>
      <x:c r="AA112" s="49"/>
      <x:c r="AB112" s="49"/>
      <x:c r="AC112" s="49"/>
      <x:c r="AD112" s="49"/>
      <x:c r="AE112" s="49"/>
      <x:c r="AF112" s="49"/>
      <x:c r="AG112" s="49"/>
      <x:c r="AH112" s="49"/>
      <x:c r="AI112" s="49"/>
      <x:c r="AJ112" s="49"/>
      <x:c r="AK112" s="49"/>
      <x:c r="AL112" s="49"/>
      <x:c r="AM112" s="49"/>
      <x:c r="AN112" s="49"/>
      <x:c r="AO112" s="49"/>
      <x:c r="AP112" s="49"/>
      <x:c r="AQ112" s="49"/>
      <x:c r="AR112" s="49"/>
      <x:c r="AS112" s="49"/>
      <x:c r="AT112" s="49"/>
      <x:c r="AU112" s="49"/>
      <x:c r="AV112" s="49"/>
      <x:c r="AW112" s="49"/>
      <x:c r="AX112" s="49"/>
      <x:c r="AY112" s="49"/>
      <x:c r="AZ112" s="49"/>
    </x:row>
    <x:row r="113">
      <x:c r="A113" s="49"/>
      <x:c r="B113" s="49"/>
      <x:c r="C113" s="49"/>
      <x:c r="D113" s="49"/>
      <x:c r="E113" s="49"/>
      <x:c r="F113" s="49"/>
      <x:c r="G113" s="49"/>
      <x:c r="H113" s="49"/>
      <x:c r="I113" s="49"/>
      <x:c r="J113" s="49"/>
      <x:c r="K113" s="49"/>
      <x:c r="L113" s="49"/>
      <x:c r="M113" s="49"/>
      <x:c r="N113" s="49"/>
      <x:c r="O113" s="49"/>
      <x:c r="P113" s="49"/>
      <x:c r="Q113" s="49"/>
      <x:c r="R113" s="49"/>
      <x:c r="S113" s="49"/>
      <x:c r="T113" s="49"/>
      <x:c r="U113" s="49"/>
      <x:c r="V113" s="49"/>
      <x:c r="W113" s="49"/>
      <x:c r="X113" s="49"/>
      <x:c r="Y113" s="49"/>
      <x:c r="Z113" s="49"/>
      <x:c r="AA113" s="49"/>
      <x:c r="AB113" s="49"/>
      <x:c r="AC113" s="49"/>
      <x:c r="AD113" s="49"/>
      <x:c r="AE113" s="49"/>
      <x:c r="AF113" s="49"/>
      <x:c r="AG113" s="49"/>
      <x:c r="AH113" s="49"/>
      <x:c r="AI113" s="49"/>
      <x:c r="AJ113" s="49"/>
      <x:c r="AK113" s="49"/>
      <x:c r="AL113" s="49"/>
      <x:c r="AM113" s="49"/>
      <x:c r="AN113" s="49"/>
      <x:c r="AO113" s="49"/>
      <x:c r="AP113" s="49"/>
      <x:c r="AQ113" s="49"/>
      <x:c r="AR113" s="49"/>
      <x:c r="AS113" s="49"/>
      <x:c r="AT113" s="49"/>
      <x:c r="AU113" s="49"/>
      <x:c r="AV113" s="49"/>
      <x:c r="AW113" s="49"/>
      <x:c r="AX113" s="49"/>
      <x:c r="AY113" s="49"/>
      <x:c r="AZ113" s="49"/>
    </x:row>
    <x:row r="114">
      <x:c r="A114" s="49"/>
      <x:c r="B114" s="49"/>
      <x:c r="C114" s="49"/>
      <x:c r="D114" s="49"/>
      <x:c r="E114" s="49"/>
      <x:c r="F114" s="49"/>
      <x:c r="G114" s="49"/>
      <x:c r="H114" s="49"/>
      <x:c r="I114" s="49"/>
      <x:c r="J114" s="49"/>
      <x:c r="K114" s="49"/>
      <x:c r="L114" s="49"/>
      <x:c r="M114" s="49"/>
      <x:c r="N114" s="49"/>
      <x:c r="O114" s="49"/>
      <x:c r="P114" s="49"/>
      <x:c r="Q114" s="49"/>
      <x:c r="R114" s="49"/>
      <x:c r="S114" s="49"/>
      <x:c r="T114" s="49"/>
      <x:c r="U114" s="49"/>
      <x:c r="V114" s="49"/>
      <x:c r="W114" s="49"/>
      <x:c r="X114" s="49"/>
      <x:c r="Y114" s="49"/>
      <x:c r="Z114" s="49"/>
      <x:c r="AA114" s="49"/>
      <x:c r="AB114" s="49"/>
      <x:c r="AC114" s="49"/>
      <x:c r="AD114" s="49"/>
      <x:c r="AE114" s="49"/>
      <x:c r="AF114" s="49"/>
      <x:c r="AG114" s="49"/>
      <x:c r="AH114" s="49"/>
      <x:c r="AI114" s="49"/>
      <x:c r="AJ114" s="49"/>
      <x:c r="AK114" s="49"/>
      <x:c r="AL114" s="49"/>
      <x:c r="AM114" s="49"/>
      <x:c r="AN114" s="49"/>
      <x:c r="AO114" s="49"/>
      <x:c r="AP114" s="49"/>
      <x:c r="AQ114" s="49"/>
      <x:c r="AR114" s="49"/>
      <x:c r="AS114" s="49"/>
      <x:c r="AT114" s="49"/>
      <x:c r="AU114" s="49"/>
      <x:c r="AV114" s="49"/>
      <x:c r="AW114" s="49"/>
      <x:c r="AX114" s="49"/>
      <x:c r="AY114" s="49"/>
      <x:c r="AZ114" s="49"/>
    </x:row>
    <x:row r="115">
      <x:c r="A115" s="49"/>
      <x:c r="B115" s="49"/>
      <x:c r="C115" s="49"/>
      <x:c r="D115" s="49"/>
      <x:c r="E115" s="49"/>
      <x:c r="F115" s="49"/>
      <x:c r="G115" s="49"/>
      <x:c r="H115" s="49"/>
      <x:c r="I115" s="49"/>
      <x:c r="J115" s="49"/>
      <x:c r="K115" s="49"/>
      <x:c r="L115" s="49"/>
      <x:c r="M115" s="49"/>
      <x:c r="N115" s="49"/>
      <x:c r="O115" s="49"/>
      <x:c r="P115" s="49"/>
      <x:c r="Q115" s="49"/>
      <x:c r="R115" s="49"/>
      <x:c r="S115" s="49"/>
      <x:c r="T115" s="49"/>
      <x:c r="U115" s="49"/>
      <x:c r="V115" s="49"/>
      <x:c r="W115" s="49"/>
      <x:c r="X115" s="49"/>
      <x:c r="Y115" s="49"/>
      <x:c r="Z115" s="49"/>
      <x:c r="AA115" s="49"/>
      <x:c r="AB115" s="49"/>
      <x:c r="AC115" s="49"/>
      <x:c r="AD115" s="49"/>
      <x:c r="AE115" s="49"/>
      <x:c r="AF115" s="49"/>
      <x:c r="AG115" s="49"/>
      <x:c r="AH115" s="49"/>
      <x:c r="AI115" s="49"/>
      <x:c r="AJ115" s="49"/>
      <x:c r="AK115" s="49"/>
      <x:c r="AL115" s="49"/>
      <x:c r="AM115" s="49"/>
      <x:c r="AN115" s="49"/>
      <x:c r="AO115" s="49"/>
      <x:c r="AP115" s="49"/>
      <x:c r="AQ115" s="49"/>
      <x:c r="AR115" s="49"/>
      <x:c r="AS115" s="49"/>
      <x:c r="AT115" s="49"/>
      <x:c r="AU115" s="49"/>
      <x:c r="AV115" s="49"/>
      <x:c r="AW115" s="49"/>
      <x:c r="AX115" s="49"/>
      <x:c r="AY115" s="49"/>
      <x:c r="AZ115" s="49"/>
    </x:row>
    <x:row r="116">
      <x:c r="A116" s="49"/>
      <x:c r="B116" s="49"/>
      <x:c r="C116" s="49"/>
      <x:c r="D116" s="49"/>
      <x:c r="E116" s="49"/>
      <x:c r="F116" s="49"/>
      <x:c r="G116" s="49"/>
      <x:c r="H116" s="49"/>
      <x:c r="I116" s="49"/>
      <x:c r="J116" s="49"/>
      <x:c r="K116" s="49"/>
      <x:c r="L116" s="49"/>
      <x:c r="M116" s="49"/>
      <x:c r="N116" s="49"/>
      <x:c r="O116" s="49"/>
      <x:c r="P116" s="49"/>
      <x:c r="Q116" s="49"/>
      <x:c r="R116" s="49"/>
      <x:c r="S116" s="49"/>
      <x:c r="T116" s="49"/>
      <x:c r="U116" s="49"/>
      <x:c r="V116" s="49"/>
      <x:c r="W116" s="49"/>
      <x:c r="X116" s="49"/>
      <x:c r="Y116" s="49"/>
      <x:c r="Z116" s="49"/>
      <x:c r="AA116" s="49"/>
      <x:c r="AB116" s="49"/>
      <x:c r="AC116" s="49"/>
      <x:c r="AD116" s="49"/>
      <x:c r="AE116" s="49"/>
      <x:c r="AF116" s="49"/>
      <x:c r="AG116" s="49"/>
      <x:c r="AH116" s="49"/>
      <x:c r="AI116" s="49"/>
      <x:c r="AJ116" s="49"/>
      <x:c r="AK116" s="49"/>
      <x:c r="AL116" s="49"/>
      <x:c r="AM116" s="49"/>
      <x:c r="AN116" s="49"/>
      <x:c r="AO116" s="49"/>
      <x:c r="AP116" s="49"/>
      <x:c r="AQ116" s="49"/>
      <x:c r="AR116" s="49"/>
      <x:c r="AS116" s="49"/>
      <x:c r="AT116" s="49"/>
      <x:c r="AU116" s="49"/>
      <x:c r="AV116" s="49"/>
      <x:c r="AW116" s="49"/>
      <x:c r="AX116" s="49"/>
      <x:c r="AY116" s="49"/>
      <x:c r="AZ116" s="49"/>
    </x:row>
    <x:row r="117">
      <x:c r="A117" s="49"/>
      <x:c r="B117" s="49"/>
      <x:c r="C117" s="49"/>
      <x:c r="D117" s="49"/>
      <x:c r="E117" s="49"/>
      <x:c r="F117" s="49"/>
      <x:c r="G117" s="49"/>
      <x:c r="H117" s="49"/>
      <x:c r="I117" s="49"/>
      <x:c r="J117" s="49"/>
      <x:c r="K117" s="49"/>
      <x:c r="L117" s="49"/>
      <x:c r="M117" s="49"/>
      <x:c r="N117" s="49"/>
      <x:c r="O117" s="49"/>
      <x:c r="P117" s="49"/>
      <x:c r="Q117" s="49"/>
      <x:c r="R117" s="49"/>
      <x:c r="S117" s="49"/>
      <x:c r="T117" s="49"/>
      <x:c r="U117" s="49"/>
      <x:c r="V117" s="49"/>
      <x:c r="W117" s="49"/>
      <x:c r="X117" s="49"/>
      <x:c r="Y117" s="49"/>
      <x:c r="Z117" s="49"/>
      <x:c r="AA117" s="49"/>
      <x:c r="AB117" s="49"/>
      <x:c r="AC117" s="49"/>
      <x:c r="AD117" s="49"/>
      <x:c r="AE117" s="49"/>
      <x:c r="AF117" s="49"/>
      <x:c r="AG117" s="49"/>
      <x:c r="AH117" s="49"/>
      <x:c r="AI117" s="49"/>
      <x:c r="AJ117" s="49"/>
      <x:c r="AK117" s="49"/>
      <x:c r="AL117" s="49"/>
      <x:c r="AM117" s="49"/>
      <x:c r="AN117" s="49"/>
      <x:c r="AO117" s="49"/>
      <x:c r="AP117" s="49"/>
      <x:c r="AQ117" s="49"/>
      <x:c r="AR117" s="49"/>
      <x:c r="AS117" s="49"/>
      <x:c r="AT117" s="49"/>
      <x:c r="AU117" s="49"/>
      <x:c r="AV117" s="49"/>
      <x:c r="AW117" s="49"/>
      <x:c r="AX117" s="49"/>
      <x:c r="AY117" s="49"/>
      <x:c r="AZ117" s="49"/>
    </x:row>
    <x:row r="118">
      <x:c r="A118" s="49"/>
      <x:c r="B118" s="49"/>
      <x:c r="C118" s="49"/>
      <x:c r="D118" s="49"/>
      <x:c r="E118" s="49"/>
      <x:c r="F118" s="49"/>
      <x:c r="G118" s="49"/>
      <x:c r="H118" s="49"/>
      <x:c r="I118" s="49"/>
      <x:c r="J118" s="49"/>
      <x:c r="K118" s="49"/>
      <x:c r="L118" s="49"/>
      <x:c r="M118" s="49"/>
      <x:c r="N118" s="49"/>
      <x:c r="O118" s="49"/>
      <x:c r="P118" s="49"/>
      <x:c r="Q118" s="49"/>
      <x:c r="R118" s="49"/>
      <x:c r="S118" s="49"/>
      <x:c r="T118" s="49"/>
      <x:c r="U118" s="49"/>
      <x:c r="V118" s="49"/>
      <x:c r="W118" s="49"/>
      <x:c r="X118" s="49"/>
      <x:c r="Y118" s="49"/>
      <x:c r="Z118" s="49"/>
      <x:c r="AA118" s="49"/>
      <x:c r="AB118" s="49"/>
      <x:c r="AC118" s="49"/>
      <x:c r="AD118" s="49"/>
      <x:c r="AE118" s="49"/>
      <x:c r="AF118" s="49"/>
      <x:c r="AG118" s="49"/>
      <x:c r="AH118" s="49"/>
      <x:c r="AI118" s="49"/>
      <x:c r="AJ118" s="49"/>
      <x:c r="AK118" s="49"/>
      <x:c r="AL118" s="49"/>
      <x:c r="AM118" s="49"/>
      <x:c r="AN118" s="49"/>
      <x:c r="AO118" s="49"/>
      <x:c r="AP118" s="49"/>
      <x:c r="AQ118" s="49"/>
      <x:c r="AR118" s="49"/>
      <x:c r="AS118" s="49"/>
      <x:c r="AT118" s="49"/>
      <x:c r="AU118" s="49"/>
      <x:c r="AV118" s="49"/>
      <x:c r="AW118" s="49"/>
      <x:c r="AX118" s="49"/>
      <x:c r="AY118" s="49"/>
      <x:c r="AZ118" s="49"/>
    </x:row>
    <x:row r="119">
      <x:c r="A119" s="49"/>
      <x:c r="B119" s="49"/>
      <x:c r="C119" s="49"/>
      <x:c r="D119" s="49"/>
      <x:c r="E119" s="49"/>
      <x:c r="F119" s="49"/>
      <x:c r="G119" s="49"/>
      <x:c r="H119" s="49"/>
      <x:c r="I119" s="49"/>
      <x:c r="J119" s="49"/>
      <x:c r="K119" s="49"/>
      <x:c r="L119" s="49"/>
      <x:c r="M119" s="49"/>
      <x:c r="N119" s="49"/>
      <x:c r="O119" s="49"/>
      <x:c r="P119" s="49"/>
      <x:c r="Q119" s="49"/>
      <x:c r="R119" s="49"/>
      <x:c r="S119" s="49"/>
      <x:c r="T119" s="49"/>
      <x:c r="U119" s="49"/>
      <x:c r="V119" s="49"/>
      <x:c r="W119" s="49"/>
      <x:c r="X119" s="49"/>
      <x:c r="Y119" s="49"/>
      <x:c r="Z119" s="49"/>
      <x:c r="AA119" s="49"/>
      <x:c r="AB119" s="49"/>
      <x:c r="AC119" s="49"/>
      <x:c r="AD119" s="49"/>
      <x:c r="AE119" s="49"/>
      <x:c r="AF119" s="49"/>
      <x:c r="AG119" s="49"/>
      <x:c r="AH119" s="49"/>
      <x:c r="AI119" s="49"/>
      <x:c r="AJ119" s="49"/>
      <x:c r="AK119" s="49"/>
      <x:c r="AL119" s="49"/>
      <x:c r="AM119" s="49"/>
      <x:c r="AN119" s="49"/>
      <x:c r="AO119" s="49"/>
      <x:c r="AP119" s="49"/>
      <x:c r="AQ119" s="49"/>
      <x:c r="AR119" s="49"/>
      <x:c r="AS119" s="49"/>
      <x:c r="AT119" s="49"/>
      <x:c r="AU119" s="49"/>
      <x:c r="AV119" s="49"/>
      <x:c r="AW119" s="49"/>
      <x:c r="AX119" s="49"/>
      <x:c r="AY119" s="49"/>
      <x:c r="AZ119" s="49"/>
    </x:row>
    <x:row r="120">
      <x:c r="A120" s="49"/>
      <x:c r="B120" s="49"/>
      <x:c r="C120" s="49"/>
      <x:c r="D120" s="49"/>
      <x:c r="E120" s="49"/>
      <x:c r="F120" s="49"/>
      <x:c r="G120" s="49"/>
      <x:c r="H120" s="49"/>
      <x:c r="I120" s="49"/>
      <x:c r="J120" s="49"/>
      <x:c r="K120" s="49"/>
      <x:c r="L120" s="49"/>
      <x:c r="M120" s="49"/>
      <x:c r="N120" s="49"/>
      <x:c r="O120" s="49"/>
      <x:c r="P120" s="49"/>
      <x:c r="Q120" s="49"/>
      <x:c r="R120" s="49"/>
      <x:c r="S120" s="49"/>
      <x:c r="T120" s="49"/>
      <x:c r="U120" s="49"/>
      <x:c r="V120" s="49"/>
      <x:c r="W120" s="49"/>
      <x:c r="X120" s="49"/>
      <x:c r="Y120" s="49"/>
      <x:c r="Z120" s="49"/>
      <x:c r="AA120" s="49"/>
      <x:c r="AB120" s="49"/>
      <x:c r="AC120" s="49"/>
      <x:c r="AD120" s="49"/>
      <x:c r="AE120" s="49"/>
      <x:c r="AF120" s="49"/>
      <x:c r="AG120" s="49"/>
      <x:c r="AH120" s="49"/>
      <x:c r="AI120" s="49"/>
      <x:c r="AJ120" s="49"/>
      <x:c r="AK120" s="49"/>
      <x:c r="AL120" s="49"/>
      <x:c r="AM120" s="49"/>
      <x:c r="AN120" s="49"/>
      <x:c r="AO120" s="49"/>
      <x:c r="AP120" s="49"/>
      <x:c r="AQ120" s="49"/>
      <x:c r="AR120" s="49"/>
      <x:c r="AS120" s="49"/>
      <x:c r="AT120" s="49"/>
      <x:c r="AU120" s="49"/>
      <x:c r="AV120" s="49"/>
      <x:c r="AW120" s="49"/>
      <x:c r="AX120" s="49"/>
      <x:c r="AY120" s="49"/>
      <x:c r="AZ120" s="49"/>
    </x:row>
    <x:row r="121">
      <x:c r="A121" s="49"/>
      <x:c r="B121" s="49"/>
      <x:c r="C121" s="49"/>
      <x:c r="D121" s="49"/>
      <x:c r="E121" s="49"/>
      <x:c r="F121" s="49"/>
      <x:c r="G121" s="49"/>
      <x:c r="H121" s="49"/>
      <x:c r="I121" s="49"/>
      <x:c r="J121" s="49"/>
      <x:c r="K121" s="49"/>
      <x:c r="L121" s="49"/>
      <x:c r="M121" s="49"/>
      <x:c r="N121" s="49"/>
      <x:c r="O121" s="49"/>
      <x:c r="P121" s="49"/>
      <x:c r="Q121" s="49"/>
      <x:c r="R121" s="49"/>
      <x:c r="S121" s="49"/>
      <x:c r="T121" s="49"/>
      <x:c r="U121" s="49"/>
      <x:c r="V121" s="49"/>
      <x:c r="W121" s="49"/>
      <x:c r="X121" s="49"/>
      <x:c r="Y121" s="49"/>
      <x:c r="Z121" s="49"/>
      <x:c r="AA121" s="49"/>
      <x:c r="AB121" s="49"/>
      <x:c r="AC121" s="49"/>
      <x:c r="AD121" s="49"/>
      <x:c r="AE121" s="49"/>
      <x:c r="AF121" s="49"/>
      <x:c r="AG121" s="49"/>
      <x:c r="AH121" s="49"/>
      <x:c r="AI121" s="49"/>
      <x:c r="AJ121" s="49"/>
      <x:c r="AK121" s="49"/>
      <x:c r="AL121" s="49"/>
      <x:c r="AM121" s="49"/>
      <x:c r="AN121" s="49"/>
      <x:c r="AO121" s="49"/>
      <x:c r="AP121" s="49"/>
      <x:c r="AQ121" s="49"/>
      <x:c r="AR121" s="49"/>
      <x:c r="AS121" s="49"/>
      <x:c r="AT121" s="49"/>
      <x:c r="AU121" s="49"/>
      <x:c r="AV121" s="49"/>
      <x:c r="AW121" s="49"/>
      <x:c r="AX121" s="49"/>
      <x:c r="AY121" s="49"/>
      <x:c r="AZ121" s="49"/>
    </x:row>
    <x:row r="122">
      <x:c r="A122" s="49"/>
      <x:c r="B122" s="49"/>
      <x:c r="C122" s="49"/>
      <x:c r="D122" s="49"/>
      <x:c r="E122" s="49"/>
      <x:c r="F122" s="49"/>
      <x:c r="G122" s="49"/>
      <x:c r="H122" s="49"/>
      <x:c r="I122" s="49"/>
      <x:c r="J122" s="49"/>
      <x:c r="K122" s="49"/>
      <x:c r="L122" s="49"/>
      <x:c r="M122" s="49"/>
      <x:c r="N122" s="49"/>
      <x:c r="O122" s="49"/>
      <x:c r="P122" s="49"/>
      <x:c r="Q122" s="49"/>
      <x:c r="R122" s="49"/>
      <x:c r="S122" s="49"/>
      <x:c r="T122" s="49"/>
      <x:c r="U122" s="49"/>
      <x:c r="V122" s="49"/>
      <x:c r="W122" s="49"/>
      <x:c r="X122" s="49"/>
      <x:c r="Y122" s="49"/>
      <x:c r="Z122" s="49"/>
      <x:c r="AA122" s="49"/>
      <x:c r="AB122" s="49"/>
      <x:c r="AC122" s="49"/>
      <x:c r="AD122" s="49"/>
      <x:c r="AE122" s="49"/>
      <x:c r="AF122" s="49"/>
      <x:c r="AG122" s="49"/>
      <x:c r="AH122" s="49"/>
      <x:c r="AI122" s="49"/>
      <x:c r="AJ122" s="49"/>
      <x:c r="AK122" s="49"/>
      <x:c r="AL122" s="49"/>
      <x:c r="AM122" s="49"/>
      <x:c r="AN122" s="49"/>
      <x:c r="AO122" s="49"/>
      <x:c r="AP122" s="49"/>
      <x:c r="AQ122" s="49"/>
      <x:c r="AR122" s="49"/>
      <x:c r="AS122" s="49"/>
      <x:c r="AT122" s="49"/>
      <x:c r="AU122" s="49"/>
      <x:c r="AV122" s="49"/>
      <x:c r="AW122" s="49"/>
      <x:c r="AX122" s="49"/>
      <x:c r="AY122" s="49"/>
      <x:c r="AZ122" s="49"/>
    </x:row>
    <x:row r="123">
      <x:c r="A123" s="49"/>
      <x:c r="B123" s="49"/>
      <x:c r="C123" s="49"/>
      <x:c r="D123" s="49"/>
      <x:c r="E123" s="49"/>
      <x:c r="F123" s="49"/>
      <x:c r="G123" s="49"/>
      <x:c r="H123" s="49"/>
      <x:c r="I123" s="49"/>
      <x:c r="J123" s="49"/>
      <x:c r="K123" s="49"/>
      <x:c r="L123" s="49"/>
      <x:c r="M123" s="49"/>
      <x:c r="N123" s="49"/>
      <x:c r="O123" s="49"/>
      <x:c r="P123" s="49"/>
      <x:c r="Q123" s="49"/>
      <x:c r="R123" s="49"/>
      <x:c r="S123" s="49"/>
      <x:c r="T123" s="49"/>
      <x:c r="U123" s="49"/>
      <x:c r="V123" s="49"/>
      <x:c r="W123" s="49"/>
      <x:c r="X123" s="49"/>
      <x:c r="Y123" s="49"/>
      <x:c r="Z123" s="49"/>
      <x:c r="AA123" s="49"/>
      <x:c r="AB123" s="49"/>
      <x:c r="AC123" s="49"/>
      <x:c r="AD123" s="49"/>
      <x:c r="AE123" s="49"/>
      <x:c r="AF123" s="49"/>
      <x:c r="AG123" s="49"/>
      <x:c r="AH123" s="49"/>
      <x:c r="AI123" s="49"/>
      <x:c r="AJ123" s="49"/>
      <x:c r="AK123" s="49"/>
      <x:c r="AL123" s="49"/>
      <x:c r="AM123" s="49"/>
      <x:c r="AN123" s="49"/>
      <x:c r="AO123" s="49"/>
      <x:c r="AP123" s="49"/>
      <x:c r="AQ123" s="49"/>
      <x:c r="AR123" s="49"/>
      <x:c r="AS123" s="49"/>
      <x:c r="AT123" s="49"/>
      <x:c r="AU123" s="49"/>
      <x:c r="AV123" s="49"/>
      <x:c r="AW123" s="49"/>
      <x:c r="AX123" s="49"/>
      <x:c r="AY123" s="49"/>
      <x:c r="AZ123" s="49"/>
    </x:row>
    <x:row r="124">
      <x:c r="A124" s="49"/>
      <x:c r="B124" s="49"/>
      <x:c r="C124" s="49"/>
      <x:c r="D124" s="49"/>
      <x:c r="E124" s="49"/>
      <x:c r="F124" s="49"/>
      <x:c r="G124" s="49"/>
      <x:c r="H124" s="49"/>
      <x:c r="I124" s="49"/>
      <x:c r="J124" s="49"/>
      <x:c r="K124" s="49"/>
      <x:c r="L124" s="49"/>
      <x:c r="M124" s="49"/>
      <x:c r="N124" s="49"/>
      <x:c r="O124" s="49"/>
      <x:c r="P124" s="49"/>
      <x:c r="Q124" s="49"/>
      <x:c r="R124" s="49"/>
      <x:c r="S124" s="49"/>
      <x:c r="T124" s="49"/>
      <x:c r="U124" s="49"/>
      <x:c r="V124" s="49"/>
      <x:c r="W124" s="49"/>
      <x:c r="X124" s="49"/>
      <x:c r="Y124" s="49"/>
      <x:c r="Z124" s="49"/>
      <x:c r="AA124" s="49"/>
      <x:c r="AB124" s="49"/>
      <x:c r="AC124" s="49"/>
      <x:c r="AD124" s="49"/>
      <x:c r="AE124" s="49"/>
      <x:c r="AF124" s="49"/>
      <x:c r="AG124" s="49"/>
      <x:c r="AH124" s="49"/>
      <x:c r="AI124" s="49"/>
      <x:c r="AJ124" s="49"/>
      <x:c r="AK124" s="49"/>
      <x:c r="AL124" s="49"/>
      <x:c r="AM124" s="49"/>
      <x:c r="AN124" s="49"/>
      <x:c r="AO124" s="49"/>
      <x:c r="AP124" s="49"/>
      <x:c r="AQ124" s="49"/>
      <x:c r="AR124" s="49"/>
      <x:c r="AS124" s="49"/>
      <x:c r="AT124" s="49"/>
      <x:c r="AU124" s="49"/>
      <x:c r="AV124" s="49"/>
      <x:c r="AW124" s="49"/>
      <x:c r="AX124" s="49"/>
      <x:c r="AY124" s="49"/>
      <x:c r="AZ124" s="49"/>
    </x:row>
    <x:row r="125">
      <x:c r="A125" s="49"/>
      <x:c r="B125" s="49"/>
      <x:c r="C125" s="49"/>
      <x:c r="D125" s="49"/>
      <x:c r="E125" s="49"/>
      <x:c r="F125" s="49"/>
      <x:c r="G125" s="49"/>
      <x:c r="H125" s="49"/>
      <x:c r="I125" s="49"/>
      <x:c r="J125" s="49"/>
      <x:c r="K125" s="49"/>
      <x:c r="L125" s="49"/>
      <x:c r="M125" s="49"/>
      <x:c r="N125" s="49"/>
      <x:c r="O125" s="49"/>
      <x:c r="P125" s="49"/>
      <x:c r="Q125" s="49"/>
      <x:c r="R125" s="49"/>
      <x:c r="S125" s="49"/>
      <x:c r="T125" s="49"/>
      <x:c r="U125" s="49"/>
      <x:c r="V125" s="49"/>
      <x:c r="W125" s="49"/>
      <x:c r="X125" s="49"/>
      <x:c r="Y125" s="49"/>
      <x:c r="Z125" s="49"/>
      <x:c r="AA125" s="49"/>
      <x:c r="AB125" s="49"/>
      <x:c r="AC125" s="49"/>
      <x:c r="AD125" s="49"/>
      <x:c r="AE125" s="49"/>
      <x:c r="AF125" s="49"/>
      <x:c r="AG125" s="49"/>
      <x:c r="AH125" s="49"/>
      <x:c r="AI125" s="49"/>
      <x:c r="AJ125" s="49"/>
      <x:c r="AK125" s="49"/>
      <x:c r="AL125" s="49"/>
      <x:c r="AM125" s="49"/>
      <x:c r="AN125" s="49"/>
      <x:c r="AO125" s="49"/>
      <x:c r="AP125" s="49"/>
      <x:c r="AQ125" s="49"/>
      <x:c r="AR125" s="49"/>
      <x:c r="AS125" s="49"/>
      <x:c r="AT125" s="49"/>
      <x:c r="AU125" s="49"/>
      <x:c r="AV125" s="49"/>
      <x:c r="AW125" s="49"/>
      <x:c r="AX125" s="49"/>
      <x:c r="AY125" s="49"/>
      <x:c r="AZ125" s="49"/>
    </x:row>
    <x:row r="126">
      <x:c r="A126" s="49"/>
      <x:c r="B126" s="49"/>
      <x:c r="C126" s="49"/>
      <x:c r="D126" s="49"/>
      <x:c r="E126" s="49"/>
      <x:c r="F126" s="49"/>
      <x:c r="G126" s="49"/>
      <x:c r="H126" s="49"/>
      <x:c r="I126" s="49"/>
      <x:c r="J126" s="49"/>
      <x:c r="K126" s="49"/>
      <x:c r="L126" s="49"/>
      <x:c r="M126" s="49"/>
      <x:c r="N126" s="49"/>
      <x:c r="O126" s="49"/>
      <x:c r="P126" s="49"/>
      <x:c r="Q126" s="49"/>
      <x:c r="R126" s="49"/>
      <x:c r="S126" s="49"/>
      <x:c r="T126" s="49"/>
      <x:c r="U126" s="49"/>
      <x:c r="V126" s="49"/>
      <x:c r="W126" s="49"/>
      <x:c r="X126" s="49"/>
      <x:c r="Y126" s="49"/>
      <x:c r="Z126" s="49"/>
      <x:c r="AA126" s="49"/>
      <x:c r="AB126" s="49"/>
      <x:c r="AC126" s="49"/>
      <x:c r="AD126" s="49"/>
      <x:c r="AE126" s="49"/>
      <x:c r="AF126" s="49"/>
      <x:c r="AG126" s="49"/>
      <x:c r="AH126" s="49"/>
      <x:c r="AI126" s="49"/>
      <x:c r="AJ126" s="49"/>
      <x:c r="AK126" s="49"/>
      <x:c r="AL126" s="49"/>
      <x:c r="AM126" s="49"/>
      <x:c r="AN126" s="49"/>
      <x:c r="AO126" s="49"/>
      <x:c r="AP126" s="49"/>
      <x:c r="AQ126" s="49"/>
      <x:c r="AR126" s="49"/>
      <x:c r="AS126" s="49"/>
      <x:c r="AT126" s="49"/>
      <x:c r="AU126" s="49"/>
      <x:c r="AV126" s="49"/>
      <x:c r="AW126" s="49"/>
      <x:c r="AX126" s="49"/>
      <x:c r="AY126" s="49"/>
      <x:c r="AZ126" s="49"/>
    </x:row>
    <x:row r="127">
      <x:c r="A127" s="49"/>
      <x:c r="B127" s="49"/>
      <x:c r="C127" s="49"/>
      <x:c r="D127" s="49"/>
      <x:c r="E127" s="49"/>
      <x:c r="F127" s="49"/>
      <x:c r="G127" s="49"/>
      <x:c r="H127" s="49"/>
      <x:c r="I127" s="49"/>
      <x:c r="J127" s="49"/>
      <x:c r="K127" s="49"/>
      <x:c r="L127" s="49"/>
      <x:c r="M127" s="49"/>
      <x:c r="N127" s="49"/>
      <x:c r="O127" s="49"/>
      <x:c r="P127" s="49"/>
      <x:c r="Q127" s="49"/>
      <x:c r="R127" s="49"/>
      <x:c r="S127" s="49"/>
      <x:c r="T127" s="49"/>
      <x:c r="U127" s="49"/>
      <x:c r="V127" s="49"/>
      <x:c r="W127" s="49"/>
      <x:c r="X127" s="49"/>
      <x:c r="Y127" s="49"/>
      <x:c r="Z127" s="49"/>
      <x:c r="AA127" s="49"/>
      <x:c r="AB127" s="49"/>
      <x:c r="AC127" s="49"/>
      <x:c r="AD127" s="49"/>
      <x:c r="AE127" s="49"/>
      <x:c r="AF127" s="49"/>
      <x:c r="AG127" s="49"/>
      <x:c r="AH127" s="49"/>
      <x:c r="AI127" s="49"/>
      <x:c r="AJ127" s="49"/>
      <x:c r="AK127" s="49"/>
      <x:c r="AL127" s="49"/>
      <x:c r="AM127" s="49"/>
      <x:c r="AN127" s="49"/>
      <x:c r="AO127" s="49"/>
      <x:c r="AP127" s="49"/>
      <x:c r="AQ127" s="49"/>
      <x:c r="AR127" s="49"/>
      <x:c r="AS127" s="49"/>
      <x:c r="AT127" s="49"/>
      <x:c r="AU127" s="49"/>
      <x:c r="AV127" s="49"/>
      <x:c r="AW127" s="49"/>
      <x:c r="AX127" s="49"/>
      <x:c r="AY127" s="49"/>
      <x:c r="AZ127" s="49"/>
    </x:row>
    <x:row r="128">
      <x:c r="A128" s="49"/>
      <x:c r="B128" s="49"/>
      <x:c r="C128" s="49"/>
      <x:c r="D128" s="49"/>
      <x:c r="E128" s="49"/>
      <x:c r="F128" s="49"/>
      <x:c r="G128" s="49"/>
      <x:c r="H128" s="49"/>
      <x:c r="I128" s="49"/>
      <x:c r="J128" s="49"/>
      <x:c r="K128" s="49"/>
      <x:c r="L128" s="49"/>
      <x:c r="M128" s="49"/>
      <x:c r="N128" s="49"/>
      <x:c r="O128" s="49"/>
      <x:c r="P128" s="49"/>
      <x:c r="Q128" s="49"/>
      <x:c r="R128" s="49"/>
      <x:c r="S128" s="49"/>
      <x:c r="T128" s="49"/>
      <x:c r="U128" s="49"/>
      <x:c r="V128" s="49"/>
      <x:c r="W128" s="49"/>
      <x:c r="X128" s="49"/>
      <x:c r="Y128" s="49"/>
      <x:c r="Z128" s="49"/>
      <x:c r="AA128" s="49"/>
      <x:c r="AB128" s="49"/>
      <x:c r="AC128" s="49"/>
      <x:c r="AD128" s="49"/>
      <x:c r="AE128" s="49"/>
      <x:c r="AF128" s="49"/>
      <x:c r="AG128" s="49"/>
      <x:c r="AH128" s="49"/>
      <x:c r="AI128" s="49"/>
      <x:c r="AJ128" s="49"/>
      <x:c r="AK128" s="49"/>
      <x:c r="AL128" s="49"/>
      <x:c r="AM128" s="49"/>
      <x:c r="AN128" s="49"/>
      <x:c r="AO128" s="49"/>
      <x:c r="AP128" s="49"/>
      <x:c r="AQ128" s="49"/>
      <x:c r="AR128" s="49"/>
      <x:c r="AS128" s="49"/>
      <x:c r="AT128" s="49"/>
      <x:c r="AU128" s="49"/>
      <x:c r="AV128" s="49"/>
      <x:c r="AW128" s="49"/>
      <x:c r="AX128" s="49"/>
      <x:c r="AY128" s="49"/>
      <x:c r="AZ128" s="49"/>
    </x:row>
    <x:row r="129">
      <x:c r="A129" s="49"/>
      <x:c r="B129" s="49"/>
      <x:c r="C129" s="49"/>
      <x:c r="D129" s="49"/>
      <x:c r="E129" s="49"/>
      <x:c r="F129" s="49"/>
      <x:c r="G129" s="49"/>
      <x:c r="H129" s="49"/>
      <x:c r="I129" s="49"/>
      <x:c r="J129" s="49"/>
      <x:c r="K129" s="49"/>
      <x:c r="L129" s="49"/>
      <x:c r="M129" s="49"/>
      <x:c r="N129" s="49"/>
      <x:c r="O129" s="49"/>
      <x:c r="P129" s="49"/>
      <x:c r="Q129" s="49"/>
      <x:c r="R129" s="49"/>
      <x:c r="S129" s="49"/>
      <x:c r="T129" s="49"/>
      <x:c r="U129" s="49"/>
      <x:c r="V129" s="49"/>
      <x:c r="W129" s="49"/>
      <x:c r="X129" s="49"/>
      <x:c r="Y129" s="49"/>
      <x:c r="Z129" s="49"/>
      <x:c r="AA129" s="49"/>
      <x:c r="AB129" s="49"/>
      <x:c r="AC129" s="49"/>
      <x:c r="AD129" s="49"/>
      <x:c r="AE129" s="49"/>
      <x:c r="AF129" s="49"/>
      <x:c r="AG129" s="49"/>
      <x:c r="AH129" s="49"/>
      <x:c r="AI129" s="49"/>
      <x:c r="AJ129" s="49"/>
      <x:c r="AK129" s="49"/>
      <x:c r="AL129" s="49"/>
      <x:c r="AM129" s="49"/>
      <x:c r="AN129" s="49"/>
      <x:c r="AO129" s="49"/>
      <x:c r="AP129" s="49"/>
      <x:c r="AQ129" s="49"/>
      <x:c r="AR129" s="49"/>
      <x:c r="AS129" s="49"/>
      <x:c r="AT129" s="49"/>
      <x:c r="AU129" s="49"/>
      <x:c r="AV129" s="49"/>
      <x:c r="AW129" s="49"/>
      <x:c r="AX129" s="49"/>
      <x:c r="AY129" s="49"/>
      <x:c r="AZ129" s="49"/>
    </x:row>
    <x:row r="130">
      <x:c r="A130" s="49"/>
      <x:c r="B130" s="49"/>
      <x:c r="C130" s="49"/>
      <x:c r="D130" s="49"/>
      <x:c r="E130" s="49"/>
      <x:c r="F130" s="49"/>
      <x:c r="G130" s="49"/>
      <x:c r="H130" s="49"/>
      <x:c r="I130" s="49"/>
      <x:c r="J130" s="49"/>
      <x:c r="K130" s="49"/>
      <x:c r="L130" s="49"/>
      <x:c r="M130" s="49"/>
      <x:c r="N130" s="49"/>
      <x:c r="O130" s="49"/>
      <x:c r="P130" s="49"/>
      <x:c r="Q130" s="49"/>
      <x:c r="R130" s="49"/>
      <x:c r="S130" s="49"/>
      <x:c r="T130" s="49"/>
      <x:c r="U130" s="49"/>
      <x:c r="V130" s="49"/>
      <x:c r="W130" s="49"/>
      <x:c r="X130" s="49"/>
      <x:c r="Y130" s="49"/>
      <x:c r="Z130" s="49"/>
      <x:c r="AA130" s="49"/>
      <x:c r="AB130" s="49"/>
      <x:c r="AC130" s="49"/>
      <x:c r="AD130" s="49"/>
      <x:c r="AE130" s="49"/>
      <x:c r="AF130" s="49"/>
      <x:c r="AG130" s="49"/>
      <x:c r="AH130" s="49"/>
      <x:c r="AI130" s="49"/>
      <x:c r="AJ130" s="49"/>
      <x:c r="AK130" s="49"/>
      <x:c r="AL130" s="49"/>
      <x:c r="AM130" s="49"/>
      <x:c r="AN130" s="49"/>
      <x:c r="AO130" s="49"/>
      <x:c r="AP130" s="49"/>
      <x:c r="AQ130" s="49"/>
      <x:c r="AR130" s="49"/>
      <x:c r="AS130" s="49"/>
      <x:c r="AT130" s="49"/>
      <x:c r="AU130" s="49"/>
      <x:c r="AV130" s="49"/>
      <x:c r="AW130" s="49"/>
      <x:c r="AX130" s="49"/>
      <x:c r="AY130" s="49"/>
      <x:c r="AZ130" s="49"/>
    </x:row>
    <x:row r="131">
      <x:c r="A131" s="49"/>
      <x:c r="B131" s="49"/>
      <x:c r="C131" s="49"/>
      <x:c r="D131" s="49"/>
      <x:c r="E131" s="49"/>
      <x:c r="F131" s="49"/>
      <x:c r="G131" s="49"/>
      <x:c r="H131" s="49"/>
      <x:c r="I131" s="49"/>
      <x:c r="J131" s="49"/>
      <x:c r="K131" s="49"/>
      <x:c r="L131" s="49"/>
      <x:c r="M131" s="49"/>
      <x:c r="N131" s="49"/>
      <x:c r="O131" s="49"/>
      <x:c r="P131" s="49"/>
      <x:c r="Q131" s="49"/>
      <x:c r="R131" s="49"/>
      <x:c r="S131" s="49"/>
      <x:c r="T131" s="49"/>
      <x:c r="U131" s="49"/>
      <x:c r="V131" s="49"/>
      <x:c r="W131" s="49"/>
      <x:c r="X131" s="49"/>
      <x:c r="Y131" s="49"/>
      <x:c r="Z131" s="49"/>
      <x:c r="AA131" s="49"/>
      <x:c r="AB131" s="49"/>
      <x:c r="AC131" s="49"/>
      <x:c r="AD131" s="49"/>
      <x:c r="AE131" s="49"/>
      <x:c r="AF131" s="49"/>
      <x:c r="AG131" s="49"/>
      <x:c r="AH131" s="49"/>
      <x:c r="AI131" s="49"/>
      <x:c r="AJ131" s="49"/>
      <x:c r="AK131" s="49"/>
      <x:c r="AL131" s="49"/>
      <x:c r="AM131" s="49"/>
      <x:c r="AN131" s="49"/>
      <x:c r="AO131" s="49"/>
      <x:c r="AP131" s="49"/>
      <x:c r="AQ131" s="49"/>
      <x:c r="AR131" s="49"/>
      <x:c r="AS131" s="49"/>
      <x:c r="AT131" s="49"/>
      <x:c r="AU131" s="49"/>
      <x:c r="AV131" s="49"/>
      <x:c r="AW131" s="49"/>
      <x:c r="AX131" s="49"/>
      <x:c r="AY131" s="49"/>
      <x:c r="AZ131" s="49"/>
    </x:row>
    <x:row r="132">
      <x:c r="A132" s="49"/>
      <x:c r="B132" s="49"/>
      <x:c r="C132" s="49"/>
      <x:c r="D132" s="49"/>
      <x:c r="E132" s="49"/>
      <x:c r="F132" s="49"/>
      <x:c r="G132" s="49"/>
      <x:c r="H132" s="49"/>
      <x:c r="I132" s="49"/>
      <x:c r="J132" s="49"/>
      <x:c r="K132" s="49"/>
      <x:c r="L132" s="49"/>
      <x:c r="M132" s="49"/>
      <x:c r="N132" s="49"/>
      <x:c r="O132" s="49"/>
      <x:c r="P132" s="49"/>
      <x:c r="Q132" s="49"/>
      <x:c r="R132" s="49"/>
      <x:c r="S132" s="49"/>
      <x:c r="T132" s="49"/>
      <x:c r="U132" s="49"/>
      <x:c r="V132" s="49"/>
      <x:c r="W132" s="49"/>
      <x:c r="X132" s="49"/>
      <x:c r="Y132" s="49"/>
      <x:c r="Z132" s="49"/>
      <x:c r="AA132" s="49"/>
      <x:c r="AB132" s="49"/>
      <x:c r="AC132" s="49"/>
      <x:c r="AD132" s="49"/>
      <x:c r="AE132" s="49"/>
      <x:c r="AF132" s="49"/>
      <x:c r="AG132" s="49"/>
      <x:c r="AH132" s="49"/>
      <x:c r="AI132" s="49"/>
      <x:c r="AJ132" s="49"/>
      <x:c r="AK132" s="49"/>
      <x:c r="AL132" s="49"/>
      <x:c r="AM132" s="49"/>
      <x:c r="AN132" s="49"/>
      <x:c r="AO132" s="49"/>
      <x:c r="AP132" s="49"/>
      <x:c r="AQ132" s="49"/>
      <x:c r="AR132" s="49"/>
      <x:c r="AS132" s="49"/>
      <x:c r="AT132" s="49"/>
      <x:c r="AU132" s="49"/>
      <x:c r="AV132" s="49"/>
      <x:c r="AW132" s="49"/>
      <x:c r="AX132" s="49"/>
      <x:c r="AY132" s="49"/>
      <x:c r="AZ132" s="49"/>
    </x:row>
    <x:row r="133">
      <x:c r="A133" s="49"/>
      <x:c r="B133" s="49"/>
      <x:c r="C133" s="49"/>
      <x:c r="D133" s="49"/>
      <x:c r="E133" s="49"/>
      <x:c r="F133" s="49"/>
      <x:c r="G133" s="49"/>
      <x:c r="H133" s="49"/>
      <x:c r="I133" s="49"/>
      <x:c r="J133" s="49"/>
      <x:c r="K133" s="49"/>
      <x:c r="L133" s="49"/>
      <x:c r="M133" s="49"/>
      <x:c r="N133" s="49"/>
      <x:c r="O133" s="49"/>
      <x:c r="P133" s="49"/>
      <x:c r="Q133" s="49"/>
      <x:c r="R133" s="49"/>
      <x:c r="S133" s="49"/>
      <x:c r="T133" s="49"/>
      <x:c r="U133" s="49"/>
      <x:c r="V133" s="49"/>
      <x:c r="W133" s="49"/>
      <x:c r="X133" s="49"/>
      <x:c r="Y133" s="49"/>
      <x:c r="Z133" s="49"/>
      <x:c r="AA133" s="49"/>
      <x:c r="AB133" s="49"/>
      <x:c r="AC133" s="49"/>
      <x:c r="AD133" s="49"/>
      <x:c r="AE133" s="49"/>
      <x:c r="AF133" s="49"/>
      <x:c r="AG133" s="49"/>
      <x:c r="AH133" s="49"/>
      <x:c r="AI133" s="49"/>
      <x:c r="AJ133" s="49"/>
      <x:c r="AK133" s="49"/>
      <x:c r="AL133" s="49"/>
      <x:c r="AM133" s="49"/>
      <x:c r="AN133" s="49"/>
      <x:c r="AO133" s="49"/>
      <x:c r="AP133" s="49"/>
      <x:c r="AQ133" s="49"/>
      <x:c r="AR133" s="49"/>
      <x:c r="AS133" s="49"/>
      <x:c r="AT133" s="49"/>
      <x:c r="AU133" s="49"/>
      <x:c r="AV133" s="49"/>
      <x:c r="AW133" s="49"/>
      <x:c r="AX133" s="49"/>
      <x:c r="AY133" s="49"/>
      <x:c r="AZ133" s="49"/>
    </x:row>
    <x:row r="134">
      <x:c r="A134" s="49"/>
      <x:c r="B134" s="49"/>
      <x:c r="C134" s="49"/>
      <x:c r="D134" s="49"/>
      <x:c r="E134" s="49"/>
      <x:c r="F134" s="49"/>
      <x:c r="G134" s="49"/>
      <x:c r="H134" s="49"/>
      <x:c r="I134" s="49"/>
      <x:c r="J134" s="49"/>
      <x:c r="K134" s="49"/>
      <x:c r="L134" s="49"/>
      <x:c r="M134" s="49"/>
      <x:c r="N134" s="49"/>
      <x:c r="O134" s="49"/>
      <x:c r="P134" s="49"/>
      <x:c r="Q134" s="49"/>
      <x:c r="R134" s="49"/>
      <x:c r="S134" s="49"/>
      <x:c r="T134" s="49"/>
      <x:c r="U134" s="49"/>
      <x:c r="V134" s="49"/>
      <x:c r="W134" s="49"/>
      <x:c r="X134" s="49"/>
      <x:c r="Y134" s="49"/>
      <x:c r="Z134" s="49"/>
      <x:c r="AA134" s="49"/>
      <x:c r="AB134" s="49"/>
      <x:c r="AC134" s="49"/>
      <x:c r="AD134" s="49"/>
      <x:c r="AE134" s="49"/>
      <x:c r="AF134" s="49"/>
      <x:c r="AG134" s="49"/>
      <x:c r="AH134" s="49"/>
      <x:c r="AI134" s="49"/>
      <x:c r="AJ134" s="49"/>
      <x:c r="AK134" s="49"/>
      <x:c r="AL134" s="49"/>
      <x:c r="AM134" s="49"/>
      <x:c r="AN134" s="49"/>
      <x:c r="AO134" s="49"/>
      <x:c r="AP134" s="49"/>
      <x:c r="AQ134" s="49"/>
      <x:c r="AR134" s="49"/>
      <x:c r="AS134" s="49"/>
      <x:c r="AT134" s="49"/>
      <x:c r="AU134" s="49"/>
      <x:c r="AV134" s="49"/>
      <x:c r="AW134" s="49"/>
      <x:c r="AX134" s="49"/>
      <x:c r="AY134" s="49"/>
      <x:c r="AZ134" s="49"/>
    </x:row>
    <x:row r="135">
      <x:c r="A135" s="49"/>
      <x:c r="B135" s="49"/>
      <x:c r="C135" s="49"/>
      <x:c r="D135" s="49"/>
      <x:c r="E135" s="49"/>
      <x:c r="F135" s="49"/>
      <x:c r="G135" s="49"/>
      <x:c r="H135" s="49"/>
      <x:c r="I135" s="49"/>
      <x:c r="J135" s="49"/>
      <x:c r="K135" s="49"/>
      <x:c r="L135" s="49"/>
      <x:c r="M135" s="49"/>
      <x:c r="N135" s="49"/>
      <x:c r="O135" s="49"/>
      <x:c r="P135" s="49"/>
      <x:c r="Q135" s="49"/>
      <x:c r="R135" s="49"/>
      <x:c r="S135" s="49"/>
      <x:c r="T135" s="49"/>
      <x:c r="U135" s="49"/>
      <x:c r="V135" s="49"/>
      <x:c r="W135" s="49"/>
      <x:c r="X135" s="49"/>
      <x:c r="Y135" s="49"/>
      <x:c r="Z135" s="49"/>
      <x:c r="AA135" s="49"/>
      <x:c r="AB135" s="49"/>
      <x:c r="AC135" s="49"/>
      <x:c r="AD135" s="49"/>
      <x:c r="AE135" s="49"/>
      <x:c r="AF135" s="49"/>
      <x:c r="AG135" s="49"/>
      <x:c r="AH135" s="49"/>
      <x:c r="AI135" s="49"/>
      <x:c r="AJ135" s="49"/>
      <x:c r="AK135" s="49"/>
      <x:c r="AL135" s="49"/>
      <x:c r="AM135" s="49"/>
      <x:c r="AN135" s="49"/>
      <x:c r="AO135" s="49"/>
      <x:c r="AP135" s="49"/>
      <x:c r="AQ135" s="49"/>
      <x:c r="AR135" s="49"/>
      <x:c r="AS135" s="49"/>
      <x:c r="AT135" s="49"/>
      <x:c r="AU135" s="49"/>
      <x:c r="AV135" s="49"/>
      <x:c r="AW135" s="49"/>
      <x:c r="AX135" s="49"/>
      <x:c r="AY135" s="49"/>
      <x:c r="AZ135" s="49"/>
    </x:row>
    <x:row r="136">
      <x:c r="A136" s="49"/>
      <x:c r="B136" s="49"/>
      <x:c r="C136" s="49"/>
      <x:c r="D136" s="49"/>
      <x:c r="E136" s="49"/>
      <x:c r="F136" s="49"/>
      <x:c r="G136" s="49"/>
      <x:c r="H136" s="49"/>
      <x:c r="I136" s="49"/>
      <x:c r="J136" s="49"/>
      <x:c r="K136" s="49"/>
      <x:c r="L136" s="49"/>
      <x:c r="M136" s="49"/>
      <x:c r="N136" s="49"/>
      <x:c r="O136" s="49"/>
      <x:c r="P136" s="49"/>
      <x:c r="Q136" s="49"/>
      <x:c r="R136" s="49"/>
      <x:c r="S136" s="49"/>
      <x:c r="T136" s="49"/>
      <x:c r="U136" s="49"/>
      <x:c r="V136" s="49"/>
      <x:c r="W136" s="49"/>
      <x:c r="X136" s="49"/>
      <x:c r="Y136" s="49"/>
      <x:c r="Z136" s="49"/>
      <x:c r="AA136" s="49"/>
      <x:c r="AB136" s="49"/>
      <x:c r="AC136" s="49"/>
      <x:c r="AD136" s="49"/>
      <x:c r="AE136" s="49"/>
      <x:c r="AF136" s="49"/>
      <x:c r="AG136" s="49"/>
      <x:c r="AH136" s="49"/>
      <x:c r="AI136" s="49"/>
      <x:c r="AJ136" s="49"/>
      <x:c r="AK136" s="49"/>
      <x:c r="AL136" s="49"/>
      <x:c r="AM136" s="49"/>
      <x:c r="AN136" s="49"/>
      <x:c r="AO136" s="49"/>
      <x:c r="AP136" s="49"/>
      <x:c r="AQ136" s="49"/>
      <x:c r="AR136" s="49"/>
      <x:c r="AS136" s="49"/>
      <x:c r="AT136" s="49"/>
      <x:c r="AU136" s="49"/>
      <x:c r="AV136" s="49"/>
      <x:c r="AW136" s="49"/>
      <x:c r="AX136" s="49"/>
      <x:c r="AY136" s="49"/>
      <x:c r="AZ136" s="49"/>
    </x:row>
    <x:row r="137">
      <x:c r="A137" s="49"/>
      <x:c r="B137" s="49"/>
      <x:c r="C137" s="49"/>
      <x:c r="D137" s="49"/>
      <x:c r="E137" s="49"/>
      <x:c r="F137" s="49"/>
      <x:c r="G137" s="49"/>
      <x:c r="H137" s="49"/>
      <x:c r="I137" s="49"/>
      <x:c r="J137" s="49"/>
      <x:c r="K137" s="49"/>
      <x:c r="L137" s="49"/>
      <x:c r="M137" s="49"/>
      <x:c r="N137" s="49"/>
      <x:c r="O137" s="49"/>
      <x:c r="P137" s="49"/>
      <x:c r="Q137" s="49"/>
      <x:c r="R137" s="49"/>
      <x:c r="S137" s="49"/>
      <x:c r="T137" s="49"/>
      <x:c r="U137" s="49"/>
      <x:c r="V137" s="49"/>
      <x:c r="W137" s="49"/>
      <x:c r="X137" s="49"/>
      <x:c r="Y137" s="49"/>
      <x:c r="Z137" s="49"/>
      <x:c r="AA137" s="49"/>
      <x:c r="AB137" s="49"/>
      <x:c r="AC137" s="49"/>
      <x:c r="AD137" s="49"/>
      <x:c r="AE137" s="49"/>
      <x:c r="AF137" s="49"/>
      <x:c r="AG137" s="49"/>
      <x:c r="AH137" s="49"/>
      <x:c r="AI137" s="49"/>
      <x:c r="AJ137" s="49"/>
      <x:c r="AK137" s="49"/>
      <x:c r="AL137" s="49"/>
      <x:c r="AM137" s="49"/>
      <x:c r="AN137" s="49"/>
      <x:c r="AO137" s="49"/>
      <x:c r="AP137" s="49"/>
      <x:c r="AQ137" s="49"/>
      <x:c r="AR137" s="49"/>
      <x:c r="AS137" s="49"/>
      <x:c r="AT137" s="49"/>
      <x:c r="AU137" s="49"/>
      <x:c r="AV137" s="49"/>
      <x:c r="AW137" s="49"/>
      <x:c r="AX137" s="49"/>
      <x:c r="AY137" s="49"/>
      <x:c r="AZ137" s="49"/>
    </x:row>
    <x:row r="138">
      <x:c r="A138" s="49"/>
      <x:c r="B138" s="49"/>
      <x:c r="C138" s="49"/>
      <x:c r="D138" s="49"/>
      <x:c r="E138" s="49"/>
      <x:c r="F138" s="49"/>
      <x:c r="G138" s="49"/>
      <x:c r="H138" s="49"/>
      <x:c r="I138" s="49"/>
      <x:c r="J138" s="49"/>
      <x:c r="K138" s="49"/>
      <x:c r="L138" s="49"/>
      <x:c r="M138" s="49"/>
      <x:c r="N138" s="49"/>
      <x:c r="O138" s="49"/>
      <x:c r="P138" s="49"/>
      <x:c r="Q138" s="49"/>
      <x:c r="R138" s="49"/>
      <x:c r="S138" s="49"/>
      <x:c r="T138" s="49"/>
      <x:c r="U138" s="49"/>
      <x:c r="V138" s="49"/>
      <x:c r="W138" s="49"/>
      <x:c r="X138" s="49"/>
      <x:c r="Y138" s="49"/>
      <x:c r="Z138" s="49"/>
      <x:c r="AA138" s="49"/>
      <x:c r="AB138" s="49"/>
      <x:c r="AC138" s="49"/>
      <x:c r="AD138" s="49"/>
      <x:c r="AE138" s="49"/>
      <x:c r="AF138" s="49"/>
      <x:c r="AG138" s="49"/>
      <x:c r="AH138" s="49"/>
      <x:c r="AI138" s="49"/>
      <x:c r="AJ138" s="49"/>
      <x:c r="AK138" s="49"/>
      <x:c r="AL138" s="49"/>
      <x:c r="AM138" s="49"/>
      <x:c r="AN138" s="49"/>
      <x:c r="AO138" s="49"/>
      <x:c r="AP138" s="49"/>
      <x:c r="AQ138" s="49"/>
      <x:c r="AR138" s="49"/>
      <x:c r="AS138" s="49"/>
      <x:c r="AT138" s="49"/>
      <x:c r="AU138" s="49"/>
      <x:c r="AV138" s="49"/>
      <x:c r="AW138" s="49"/>
      <x:c r="AX138" s="49"/>
      <x:c r="AY138" s="49"/>
      <x:c r="AZ138" s="49"/>
    </x:row>
    <x:row r="139">
      <x:c r="A139" s="49"/>
      <x:c r="B139" s="49"/>
      <x:c r="C139" s="49"/>
      <x:c r="D139" s="49"/>
      <x:c r="E139" s="49"/>
      <x:c r="F139" s="49"/>
      <x:c r="G139" s="49"/>
      <x:c r="H139" s="49"/>
      <x:c r="I139" s="49"/>
      <x:c r="J139" s="49"/>
      <x:c r="K139" s="49"/>
      <x:c r="L139" s="49"/>
      <x:c r="M139" s="49"/>
      <x:c r="N139" s="49"/>
      <x:c r="O139" s="49"/>
      <x:c r="P139" s="49"/>
      <x:c r="Q139" s="49"/>
      <x:c r="R139" s="49"/>
      <x:c r="S139" s="49"/>
      <x:c r="T139" s="49"/>
      <x:c r="U139" s="49"/>
      <x:c r="V139" s="49"/>
      <x:c r="W139" s="49"/>
      <x:c r="X139" s="49"/>
      <x:c r="Y139" s="49"/>
      <x:c r="Z139" s="49"/>
      <x:c r="AA139" s="49"/>
      <x:c r="AB139" s="49"/>
      <x:c r="AC139" s="49"/>
      <x:c r="AD139" s="49"/>
      <x:c r="AE139" s="49"/>
      <x:c r="AF139" s="49"/>
      <x:c r="AG139" s="49"/>
      <x:c r="AH139" s="49"/>
      <x:c r="AI139" s="49"/>
      <x:c r="AJ139" s="49"/>
      <x:c r="AK139" s="49"/>
      <x:c r="AL139" s="49"/>
      <x:c r="AM139" s="49"/>
      <x:c r="AN139" s="49"/>
      <x:c r="AO139" s="49"/>
      <x:c r="AP139" s="49"/>
      <x:c r="AQ139" s="49"/>
      <x:c r="AR139" s="49"/>
      <x:c r="AS139" s="49"/>
      <x:c r="AT139" s="49"/>
      <x:c r="AU139" s="49"/>
      <x:c r="AV139" s="49"/>
      <x:c r="AW139" s="49"/>
      <x:c r="AX139" s="49"/>
      <x:c r="AY139" s="49"/>
      <x:c r="AZ139" s="49"/>
    </x:row>
    <x:row r="140">
      <x:c r="A140" s="49"/>
      <x:c r="B140" s="49"/>
      <x:c r="C140" s="49"/>
      <x:c r="D140" s="49"/>
      <x:c r="E140" s="49"/>
      <x:c r="F140" s="49"/>
      <x:c r="G140" s="49"/>
      <x:c r="H140" s="49"/>
      <x:c r="I140" s="49"/>
      <x:c r="J140" s="49"/>
      <x:c r="K140" s="49"/>
      <x:c r="L140" s="49"/>
      <x:c r="M140" s="49"/>
      <x:c r="N140" s="49"/>
      <x:c r="O140" s="49"/>
      <x:c r="P140" s="49"/>
      <x:c r="Q140" s="49"/>
      <x:c r="R140" s="49"/>
      <x:c r="S140" s="49"/>
      <x:c r="T140" s="49"/>
      <x:c r="U140" s="49"/>
      <x:c r="V140" s="49"/>
      <x:c r="W140" s="49"/>
      <x:c r="X140" s="49"/>
      <x:c r="Y140" s="49"/>
      <x:c r="Z140" s="49"/>
      <x:c r="AA140" s="49"/>
      <x:c r="AB140" s="49"/>
      <x:c r="AC140" s="49"/>
      <x:c r="AD140" s="49"/>
      <x:c r="AE140" s="49"/>
      <x:c r="AF140" s="49"/>
      <x:c r="AG140" s="49"/>
      <x:c r="AH140" s="49"/>
      <x:c r="AI140" s="49"/>
      <x:c r="AJ140" s="49"/>
      <x:c r="AK140" s="49"/>
      <x:c r="AL140" s="49"/>
      <x:c r="AM140" s="49"/>
      <x:c r="AN140" s="49"/>
      <x:c r="AO140" s="49"/>
      <x:c r="AP140" s="49"/>
      <x:c r="AQ140" s="49"/>
      <x:c r="AR140" s="49"/>
      <x:c r="AS140" s="49"/>
      <x:c r="AT140" s="49"/>
      <x:c r="AU140" s="49"/>
      <x:c r="AV140" s="49"/>
      <x:c r="AW140" s="49"/>
      <x:c r="AX140" s="49"/>
      <x:c r="AY140" s="49"/>
      <x:c r="AZ140" s="49"/>
    </x:row>
    <x:row r="141">
      <x:c r="A141" s="49"/>
      <x:c r="B141" s="49"/>
      <x:c r="C141" s="49"/>
      <x:c r="D141" s="49"/>
      <x:c r="E141" s="49"/>
      <x:c r="F141" s="49"/>
      <x:c r="G141" s="49"/>
      <x:c r="H141" s="49"/>
      <x:c r="I141" s="49"/>
      <x:c r="J141" s="49"/>
      <x:c r="K141" s="49"/>
      <x:c r="L141" s="49"/>
      <x:c r="M141" s="49"/>
      <x:c r="N141" s="49"/>
      <x:c r="O141" s="49"/>
      <x:c r="P141" s="49"/>
      <x:c r="Q141" s="49"/>
      <x:c r="R141" s="49"/>
      <x:c r="S141" s="49"/>
      <x:c r="T141" s="49"/>
      <x:c r="U141" s="49"/>
      <x:c r="V141" s="49"/>
      <x:c r="W141" s="49"/>
      <x:c r="X141" s="49"/>
      <x:c r="Y141" s="49"/>
      <x:c r="Z141" s="49"/>
      <x:c r="AA141" s="49"/>
      <x:c r="AB141" s="49"/>
      <x:c r="AC141" s="49"/>
      <x:c r="AD141" s="49"/>
      <x:c r="AE141" s="49"/>
      <x:c r="AF141" s="49"/>
      <x:c r="AG141" s="49"/>
      <x:c r="AH141" s="49"/>
      <x:c r="AI141" s="49"/>
      <x:c r="AJ141" s="49"/>
      <x:c r="AK141" s="49"/>
      <x:c r="AL141" s="49"/>
      <x:c r="AM141" s="49"/>
      <x:c r="AN141" s="49"/>
      <x:c r="AO141" s="49"/>
      <x:c r="AP141" s="49"/>
      <x:c r="AQ141" s="49"/>
      <x:c r="AR141" s="49"/>
      <x:c r="AS141" s="49"/>
      <x:c r="AT141" s="49"/>
      <x:c r="AU141" s="49"/>
      <x:c r="AV141" s="49"/>
      <x:c r="AW141" s="49"/>
      <x:c r="AX141" s="49"/>
      <x:c r="AY141" s="49"/>
      <x:c r="AZ141" s="49"/>
    </x:row>
    <x:row r="142">
      <x:c r="A142" s="49"/>
      <x:c r="B142" s="49"/>
      <x:c r="C142" s="49"/>
      <x:c r="D142" s="49"/>
      <x:c r="E142" s="49"/>
      <x:c r="F142" s="49"/>
      <x:c r="G142" s="49"/>
      <x:c r="H142" s="49"/>
      <x:c r="I142" s="49"/>
      <x:c r="J142" s="49"/>
      <x:c r="K142" s="49"/>
      <x:c r="L142" s="49"/>
      <x:c r="M142" s="49"/>
      <x:c r="N142" s="49"/>
      <x:c r="O142" s="49"/>
      <x:c r="P142" s="49"/>
      <x:c r="Q142" s="49"/>
      <x:c r="R142" s="49"/>
      <x:c r="S142" s="49"/>
      <x:c r="T142" s="49"/>
      <x:c r="U142" s="49"/>
      <x:c r="V142" s="49"/>
      <x:c r="W142" s="49"/>
      <x:c r="X142" s="49"/>
      <x:c r="Y142" s="49"/>
      <x:c r="Z142" s="49"/>
      <x:c r="AA142" s="49"/>
      <x:c r="AB142" s="49"/>
      <x:c r="AC142" s="49"/>
      <x:c r="AD142" s="49"/>
      <x:c r="AE142" s="49"/>
      <x:c r="AF142" s="49"/>
      <x:c r="AG142" s="49"/>
      <x:c r="AH142" s="49"/>
      <x:c r="AI142" s="49"/>
      <x:c r="AJ142" s="49"/>
      <x:c r="AK142" s="49"/>
      <x:c r="AL142" s="49"/>
      <x:c r="AM142" s="49"/>
      <x:c r="AN142" s="49"/>
      <x:c r="AO142" s="49"/>
      <x:c r="AP142" s="49"/>
      <x:c r="AQ142" s="49"/>
      <x:c r="AR142" s="49"/>
      <x:c r="AS142" s="49"/>
      <x:c r="AT142" s="49"/>
      <x:c r="AU142" s="49"/>
      <x:c r="AV142" s="49"/>
      <x:c r="AW142" s="49"/>
      <x:c r="AX142" s="49"/>
      <x:c r="AY142" s="49"/>
      <x:c r="AZ142" s="49"/>
    </x:row>
    <x:row r="143">
      <x:c r="A143" s="49"/>
      <x:c r="B143" s="49"/>
      <x:c r="C143" s="49"/>
      <x:c r="D143" s="49"/>
      <x:c r="E143" s="49"/>
      <x:c r="F143" s="49"/>
      <x:c r="G143" s="49"/>
      <x:c r="H143" s="49"/>
      <x:c r="I143" s="49"/>
      <x:c r="J143" s="49"/>
      <x:c r="K143" s="49"/>
      <x:c r="L143" s="49"/>
      <x:c r="M143" s="49"/>
      <x:c r="N143" s="49"/>
      <x:c r="O143" s="49"/>
      <x:c r="P143" s="49"/>
      <x:c r="Q143" s="49"/>
      <x:c r="R143" s="49"/>
      <x:c r="S143" s="49"/>
      <x:c r="T143" s="49"/>
      <x:c r="U143" s="49"/>
      <x:c r="V143" s="49"/>
      <x:c r="W143" s="49"/>
      <x:c r="X143" s="49"/>
      <x:c r="Y143" s="49"/>
      <x:c r="Z143" s="49"/>
      <x:c r="AA143" s="49"/>
      <x:c r="AB143" s="49"/>
      <x:c r="AC143" s="49"/>
      <x:c r="AD143" s="49"/>
      <x:c r="AE143" s="49"/>
      <x:c r="AF143" s="49"/>
      <x:c r="AG143" s="49"/>
      <x:c r="AH143" s="49"/>
      <x:c r="AI143" s="49"/>
      <x:c r="AJ143" s="49"/>
      <x:c r="AK143" s="49"/>
      <x:c r="AL143" s="49"/>
      <x:c r="AM143" s="49"/>
      <x:c r="AN143" s="49"/>
      <x:c r="AO143" s="49"/>
      <x:c r="AP143" s="49"/>
      <x:c r="AQ143" s="49"/>
      <x:c r="AR143" s="49"/>
      <x:c r="AS143" s="49"/>
      <x:c r="AT143" s="49"/>
      <x:c r="AU143" s="49"/>
      <x:c r="AV143" s="49"/>
      <x:c r="AW143" s="49"/>
      <x:c r="AX143" s="49"/>
      <x:c r="AY143" s="49"/>
      <x:c r="AZ143" s="49"/>
    </x:row>
    <x:row r="144">
      <x:c r="A144" s="49"/>
      <x:c r="B144" s="49"/>
      <x:c r="C144" s="49"/>
      <x:c r="D144" s="49"/>
      <x:c r="E144" s="49"/>
      <x:c r="F144" s="49"/>
      <x:c r="G144" s="49"/>
      <x:c r="H144" s="49"/>
      <x:c r="I144" s="49"/>
      <x:c r="J144" s="49"/>
      <x:c r="K144" s="49"/>
      <x:c r="L144" s="49"/>
      <x:c r="M144" s="49"/>
      <x:c r="N144" s="49"/>
      <x:c r="O144" s="49"/>
      <x:c r="P144" s="49"/>
      <x:c r="Q144" s="49"/>
      <x:c r="R144" s="49"/>
      <x:c r="S144" s="49"/>
      <x:c r="T144" s="49"/>
      <x:c r="U144" s="49"/>
      <x:c r="V144" s="49"/>
      <x:c r="W144" s="49"/>
      <x:c r="X144" s="49"/>
      <x:c r="Y144" s="49"/>
      <x:c r="Z144" s="49"/>
      <x:c r="AA144" s="49"/>
      <x:c r="AB144" s="49"/>
      <x:c r="AC144" s="49"/>
      <x:c r="AD144" s="49"/>
      <x:c r="AE144" s="49"/>
      <x:c r="AF144" s="49"/>
      <x:c r="AG144" s="49"/>
      <x:c r="AH144" s="49"/>
      <x:c r="AI144" s="49"/>
      <x:c r="AJ144" s="49"/>
      <x:c r="AK144" s="49"/>
      <x:c r="AL144" s="49"/>
      <x:c r="AM144" s="49"/>
      <x:c r="AN144" s="49"/>
      <x:c r="AO144" s="49"/>
      <x:c r="AP144" s="49"/>
      <x:c r="AQ144" s="49"/>
      <x:c r="AR144" s="49"/>
      <x:c r="AS144" s="49"/>
      <x:c r="AT144" s="49"/>
      <x:c r="AU144" s="49"/>
      <x:c r="AV144" s="49"/>
      <x:c r="AW144" s="49"/>
      <x:c r="AX144" s="49"/>
      <x:c r="AY144" s="49"/>
      <x:c r="AZ144" s="49"/>
    </x:row>
    <x:row r="145">
      <x:c r="A145" s="49"/>
      <x:c r="B145" s="49"/>
      <x:c r="C145" s="49"/>
      <x:c r="D145" s="49"/>
      <x:c r="E145" s="49"/>
      <x:c r="F145" s="49"/>
      <x:c r="G145" s="49"/>
      <x:c r="H145" s="49"/>
      <x:c r="I145" s="49"/>
      <x:c r="J145" s="49"/>
      <x:c r="K145" s="49"/>
      <x:c r="L145" s="49"/>
      <x:c r="M145" s="49"/>
      <x:c r="N145" s="49"/>
      <x:c r="O145" s="49"/>
      <x:c r="P145" s="49"/>
      <x:c r="Q145" s="49"/>
      <x:c r="R145" s="49"/>
      <x:c r="S145" s="49"/>
      <x:c r="T145" s="49"/>
      <x:c r="U145" s="49"/>
      <x:c r="V145" s="49"/>
      <x:c r="W145" s="49"/>
      <x:c r="X145" s="49"/>
      <x:c r="Y145" s="49"/>
      <x:c r="Z145" s="49"/>
      <x:c r="AA145" s="49"/>
      <x:c r="AB145" s="49"/>
      <x:c r="AC145" s="49"/>
      <x:c r="AD145" s="49"/>
      <x:c r="AE145" s="49"/>
      <x:c r="AF145" s="49"/>
      <x:c r="AG145" s="49"/>
      <x:c r="AH145" s="49"/>
      <x:c r="AI145" s="49"/>
      <x:c r="AJ145" s="49"/>
      <x:c r="AK145" s="49"/>
      <x:c r="AL145" s="49"/>
      <x:c r="AM145" s="49"/>
      <x:c r="AN145" s="49"/>
      <x:c r="AO145" s="49"/>
      <x:c r="AP145" s="49"/>
      <x:c r="AQ145" s="49"/>
      <x:c r="AR145" s="49"/>
      <x:c r="AS145" s="49"/>
      <x:c r="AT145" s="49"/>
      <x:c r="AU145" s="49"/>
      <x:c r="AV145" s="49"/>
      <x:c r="AW145" s="49"/>
      <x:c r="AX145" s="49"/>
      <x:c r="AY145" s="49"/>
      <x:c r="AZ145" s="49"/>
    </x:row>
    <x:row r="146">
      <x:c r="A146" s="49"/>
      <x:c r="B146" s="49"/>
      <x:c r="C146" s="49"/>
      <x:c r="D146" s="49"/>
      <x:c r="E146" s="49"/>
      <x:c r="F146" s="49"/>
      <x:c r="G146" s="49"/>
      <x:c r="H146" s="49"/>
      <x:c r="I146" s="49"/>
      <x:c r="J146" s="49"/>
      <x:c r="K146" s="49"/>
      <x:c r="L146" s="49"/>
      <x:c r="M146" s="49"/>
      <x:c r="N146" s="49"/>
      <x:c r="O146" s="49"/>
      <x:c r="P146" s="49"/>
      <x:c r="Q146" s="49"/>
      <x:c r="R146" s="49"/>
      <x:c r="S146" s="49"/>
      <x:c r="T146" s="49"/>
      <x:c r="U146" s="49"/>
      <x:c r="V146" s="49"/>
      <x:c r="W146" s="49"/>
      <x:c r="X146" s="49"/>
      <x:c r="Y146" s="49"/>
      <x:c r="Z146" s="49"/>
      <x:c r="AA146" s="49"/>
      <x:c r="AB146" s="49"/>
      <x:c r="AC146" s="49"/>
      <x:c r="AD146" s="49"/>
      <x:c r="AE146" s="49"/>
      <x:c r="AF146" s="49"/>
      <x:c r="AG146" s="49"/>
      <x:c r="AH146" s="49"/>
      <x:c r="AI146" s="49"/>
      <x:c r="AJ146" s="49"/>
      <x:c r="AK146" s="49"/>
      <x:c r="AL146" s="49"/>
      <x:c r="AM146" s="49"/>
      <x:c r="AN146" s="49"/>
      <x:c r="AO146" s="49"/>
      <x:c r="AP146" s="49"/>
      <x:c r="AQ146" s="49"/>
      <x:c r="AR146" s="49"/>
      <x:c r="AS146" s="49"/>
      <x:c r="AT146" s="49"/>
      <x:c r="AU146" s="49"/>
      <x:c r="AV146" s="49"/>
      <x:c r="AW146" s="49"/>
      <x:c r="AX146" s="49"/>
      <x:c r="AY146" s="49"/>
      <x:c r="AZ146" s="49"/>
    </x:row>
    <x:row r="147">
      <x:c r="A147" s="49"/>
      <x:c r="B147" s="49"/>
      <x:c r="C147" s="49"/>
      <x:c r="D147" s="49"/>
      <x:c r="E147" s="49"/>
      <x:c r="F147" s="49"/>
      <x:c r="G147" s="49"/>
      <x:c r="H147" s="49"/>
      <x:c r="I147" s="49"/>
      <x:c r="J147" s="49"/>
      <x:c r="K147" s="49"/>
      <x:c r="L147" s="49"/>
      <x:c r="M147" s="49"/>
      <x:c r="N147" s="49"/>
      <x:c r="O147" s="49"/>
      <x:c r="P147" s="49"/>
      <x:c r="Q147" s="49"/>
      <x:c r="R147" s="49"/>
      <x:c r="S147" s="49"/>
      <x:c r="T147" s="49"/>
      <x:c r="U147" s="49"/>
      <x:c r="V147" s="49"/>
      <x:c r="W147" s="49"/>
      <x:c r="X147" s="49"/>
      <x:c r="Y147" s="49"/>
      <x:c r="Z147" s="49"/>
      <x:c r="AA147" s="49"/>
      <x:c r="AB147" s="49"/>
      <x:c r="AC147" s="49"/>
      <x:c r="AD147" s="49"/>
      <x:c r="AE147" s="49"/>
      <x:c r="AF147" s="49"/>
      <x:c r="AG147" s="49"/>
      <x:c r="AH147" s="49"/>
      <x:c r="AI147" s="49"/>
      <x:c r="AJ147" s="49"/>
      <x:c r="AK147" s="49"/>
      <x:c r="AL147" s="49"/>
      <x:c r="AM147" s="49"/>
      <x:c r="AN147" s="49"/>
      <x:c r="AO147" s="49"/>
      <x:c r="AP147" s="49"/>
      <x:c r="AQ147" s="49"/>
      <x:c r="AR147" s="49"/>
      <x:c r="AS147" s="49"/>
      <x:c r="AT147" s="49"/>
      <x:c r="AU147" s="49"/>
      <x:c r="AV147" s="49"/>
      <x:c r="AW147" s="49"/>
      <x:c r="AX147" s="49"/>
      <x:c r="AY147" s="49"/>
      <x:c r="AZ147" s="49"/>
    </x:row>
    <x:row r="148">
      <x:c r="A148" s="49"/>
      <x:c r="B148" s="49"/>
      <x:c r="C148" s="49"/>
      <x:c r="D148" s="49"/>
      <x:c r="E148" s="49"/>
      <x:c r="F148" s="49"/>
      <x:c r="G148" s="49"/>
      <x:c r="H148" s="49"/>
      <x:c r="I148" s="49"/>
      <x:c r="J148" s="49"/>
      <x:c r="K148" s="49"/>
      <x:c r="L148" s="49"/>
      <x:c r="M148" s="49"/>
      <x:c r="N148" s="49"/>
      <x:c r="O148" s="49"/>
      <x:c r="P148" s="49"/>
      <x:c r="Q148" s="49"/>
      <x:c r="R148" s="49"/>
      <x:c r="S148" s="49"/>
      <x:c r="T148" s="49"/>
      <x:c r="U148" s="49"/>
      <x:c r="V148" s="49"/>
      <x:c r="W148" s="49"/>
      <x:c r="X148" s="49"/>
      <x:c r="Y148" s="49"/>
      <x:c r="Z148" s="49"/>
      <x:c r="AA148" s="49"/>
      <x:c r="AB148" s="49"/>
      <x:c r="AC148" s="49"/>
      <x:c r="AD148" s="49"/>
      <x:c r="AE148" s="49"/>
      <x:c r="AF148" s="49"/>
      <x:c r="AG148" s="49"/>
      <x:c r="AH148" s="49"/>
      <x:c r="AI148" s="49"/>
      <x:c r="AJ148" s="49"/>
      <x:c r="AK148" s="49"/>
      <x:c r="AL148" s="49"/>
      <x:c r="AM148" s="49"/>
      <x:c r="AN148" s="49"/>
      <x:c r="AO148" s="49"/>
      <x:c r="AP148" s="49"/>
      <x:c r="AQ148" s="49"/>
      <x:c r="AR148" s="49"/>
      <x:c r="AS148" s="49"/>
      <x:c r="AT148" s="49"/>
      <x:c r="AU148" s="49"/>
      <x:c r="AV148" s="49"/>
      <x:c r="AW148" s="49"/>
      <x:c r="AX148" s="49"/>
      <x:c r="AY148" s="49"/>
      <x:c r="AZ148" s="49"/>
    </x:row>
    <x:row r="149">
      <x:c r="A149" s="49"/>
      <x:c r="B149" s="49"/>
      <x:c r="C149" s="49"/>
      <x:c r="D149" s="49"/>
      <x:c r="E149" s="49"/>
      <x:c r="F149" s="49"/>
      <x:c r="G149" s="49"/>
      <x:c r="H149" s="49"/>
      <x:c r="I149" s="49"/>
      <x:c r="J149" s="49"/>
      <x:c r="K149" s="49"/>
      <x:c r="L149" s="49"/>
      <x:c r="M149" s="49"/>
      <x:c r="N149" s="49"/>
      <x:c r="O149" s="49"/>
      <x:c r="P149" s="49"/>
      <x:c r="Q149" s="49"/>
      <x:c r="R149" s="49"/>
      <x:c r="S149" s="49"/>
      <x:c r="T149" s="49"/>
      <x:c r="U149" s="49"/>
      <x:c r="V149" s="49"/>
      <x:c r="W149" s="49"/>
      <x:c r="X149" s="49"/>
      <x:c r="Y149" s="49"/>
      <x:c r="Z149" s="49"/>
      <x:c r="AA149" s="49"/>
      <x:c r="AB149" s="49"/>
      <x:c r="AC149" s="49"/>
      <x:c r="AD149" s="49"/>
      <x:c r="AE149" s="49"/>
      <x:c r="AF149" s="49"/>
      <x:c r="AG149" s="49"/>
      <x:c r="AH149" s="49"/>
      <x:c r="AI149" s="49"/>
      <x:c r="AJ149" s="49"/>
      <x:c r="AK149" s="49"/>
      <x:c r="AL149" s="49"/>
      <x:c r="AM149" s="49"/>
      <x:c r="AN149" s="49"/>
      <x:c r="AO149" s="49"/>
      <x:c r="AP149" s="49"/>
      <x:c r="AQ149" s="49"/>
      <x:c r="AR149" s="49"/>
      <x:c r="AS149" s="49"/>
      <x:c r="AT149" s="49"/>
      <x:c r="AU149" s="49"/>
      <x:c r="AV149" s="49"/>
      <x:c r="AW149" s="49"/>
      <x:c r="AX149" s="49"/>
      <x:c r="AY149" s="49"/>
      <x:c r="AZ149" s="49"/>
    </x:row>
    <x:row r="150">
      <x:c r="A150" s="49"/>
      <x:c r="B150" s="49"/>
      <x:c r="C150" s="49"/>
      <x:c r="D150" s="49"/>
      <x:c r="E150" s="49"/>
      <x:c r="F150" s="49"/>
      <x:c r="G150" s="49"/>
      <x:c r="H150" s="49"/>
      <x:c r="I150" s="49"/>
      <x:c r="J150" s="49"/>
      <x:c r="K150" s="49"/>
      <x:c r="L150" s="49"/>
      <x:c r="M150" s="49"/>
      <x:c r="N150" s="49"/>
      <x:c r="O150" s="49"/>
      <x:c r="P150" s="49"/>
      <x:c r="Q150" s="49"/>
      <x:c r="R150" s="49"/>
      <x:c r="S150" s="49"/>
      <x:c r="T150" s="49"/>
      <x:c r="U150" s="49"/>
      <x:c r="V150" s="49"/>
      <x:c r="W150" s="49"/>
      <x:c r="X150" s="49"/>
      <x:c r="Y150" s="49"/>
      <x:c r="Z150" s="49"/>
      <x:c r="AA150" s="49"/>
      <x:c r="AB150" s="49"/>
      <x:c r="AC150" s="49"/>
      <x:c r="AD150" s="49"/>
      <x:c r="AE150" s="49"/>
      <x:c r="AF150" s="49"/>
      <x:c r="AG150" s="49"/>
      <x:c r="AH150" s="49"/>
      <x:c r="AI150" s="49"/>
      <x:c r="AJ150" s="49"/>
      <x:c r="AK150" s="49"/>
      <x:c r="AL150" s="49"/>
      <x:c r="AM150" s="49"/>
      <x:c r="AN150" s="49"/>
      <x:c r="AO150" s="49"/>
      <x:c r="AP150" s="49"/>
      <x:c r="AQ150" s="49"/>
      <x:c r="AR150" s="49"/>
      <x:c r="AS150" s="49"/>
      <x:c r="AT150" s="49"/>
      <x:c r="AU150" s="49"/>
      <x:c r="AV150" s="49"/>
      <x:c r="AW150" s="49"/>
      <x:c r="AX150" s="49"/>
      <x:c r="AY150" s="49"/>
      <x:c r="AZ150" s="49"/>
    </x:row>
    <x:row r="151">
      <x:c r="A151" s="49"/>
      <x:c r="B151" s="49"/>
      <x:c r="C151" s="49"/>
      <x:c r="D151" s="49"/>
      <x:c r="E151" s="49"/>
      <x:c r="F151" s="49"/>
      <x:c r="G151" s="49"/>
      <x:c r="H151" s="49"/>
      <x:c r="I151" s="49"/>
      <x:c r="J151" s="49"/>
      <x:c r="K151" s="49"/>
      <x:c r="L151" s="49"/>
      <x:c r="M151" s="49"/>
      <x:c r="N151" s="49"/>
      <x:c r="O151" s="49"/>
      <x:c r="P151" s="49"/>
      <x:c r="Q151" s="49"/>
      <x:c r="R151" s="49"/>
      <x:c r="S151" s="49"/>
      <x:c r="T151" s="49"/>
      <x:c r="U151" s="49"/>
      <x:c r="V151" s="49"/>
      <x:c r="W151" s="49"/>
      <x:c r="X151" s="49"/>
      <x:c r="Y151" s="49"/>
      <x:c r="Z151" s="49"/>
      <x:c r="AA151" s="49"/>
      <x:c r="AB151" s="49"/>
      <x:c r="AC151" s="49"/>
      <x:c r="AD151" s="49"/>
      <x:c r="AE151" s="49"/>
      <x:c r="AF151" s="49"/>
      <x:c r="AG151" s="49"/>
      <x:c r="AH151" s="49"/>
      <x:c r="AI151" s="49"/>
      <x:c r="AJ151" s="49"/>
      <x:c r="AK151" s="49"/>
      <x:c r="AL151" s="49"/>
      <x:c r="AM151" s="49"/>
      <x:c r="AN151" s="49"/>
      <x:c r="AO151" s="49"/>
      <x:c r="AP151" s="49"/>
      <x:c r="AQ151" s="49"/>
      <x:c r="AR151" s="49"/>
      <x:c r="AS151" s="49"/>
      <x:c r="AT151" s="49"/>
      <x:c r="AU151" s="49"/>
      <x:c r="AV151" s="49"/>
      <x:c r="AW151" s="49"/>
      <x:c r="AX151" s="49"/>
      <x:c r="AY151" s="49"/>
      <x:c r="AZ151" s="49"/>
    </x:row>
    <x:row r="152">
      <x:c r="A152" s="49"/>
      <x:c r="B152" s="49"/>
      <x:c r="C152" s="49"/>
      <x:c r="D152" s="49"/>
      <x:c r="E152" s="49"/>
      <x:c r="F152" s="49"/>
      <x:c r="G152" s="49"/>
      <x:c r="H152" s="49"/>
      <x:c r="I152" s="49"/>
      <x:c r="J152" s="49"/>
      <x:c r="K152" s="49"/>
      <x:c r="L152" s="49"/>
      <x:c r="M152" s="49"/>
      <x:c r="N152" s="49"/>
      <x:c r="O152" s="49"/>
      <x:c r="P152" s="49"/>
      <x:c r="Q152" s="49"/>
      <x:c r="R152" s="49"/>
      <x:c r="S152" s="49"/>
      <x:c r="T152" s="49"/>
      <x:c r="U152" s="49"/>
      <x:c r="V152" s="49"/>
      <x:c r="W152" s="49"/>
      <x:c r="X152" s="49"/>
      <x:c r="Y152" s="49"/>
      <x:c r="Z152" s="49"/>
      <x:c r="AA152" s="49"/>
      <x:c r="AB152" s="49"/>
      <x:c r="AC152" s="49"/>
      <x:c r="AD152" s="49"/>
      <x:c r="AE152" s="49"/>
      <x:c r="AF152" s="49"/>
      <x:c r="AG152" s="49"/>
      <x:c r="AH152" s="49"/>
      <x:c r="AI152" s="49"/>
      <x:c r="AJ152" s="49"/>
      <x:c r="AK152" s="49"/>
      <x:c r="AL152" s="49"/>
      <x:c r="AM152" s="49"/>
      <x:c r="AN152" s="49"/>
      <x:c r="AO152" s="49"/>
      <x:c r="AP152" s="49"/>
      <x:c r="AQ152" s="49"/>
      <x:c r="AR152" s="49"/>
      <x:c r="AS152" s="49"/>
      <x:c r="AT152" s="49"/>
      <x:c r="AU152" s="49"/>
      <x:c r="AV152" s="49"/>
      <x:c r="AW152" s="49"/>
      <x:c r="AX152" s="49"/>
      <x:c r="AY152" s="49"/>
      <x:c r="AZ152" s="49"/>
    </x:row>
    <x:row r="153">
      <x:c r="A153" s="49"/>
      <x:c r="B153" s="49"/>
      <x:c r="C153" s="49"/>
      <x:c r="D153" s="49"/>
      <x:c r="E153" s="49"/>
      <x:c r="F153" s="49"/>
      <x:c r="G153" s="49"/>
      <x:c r="H153" s="49"/>
      <x:c r="I153" s="49"/>
      <x:c r="J153" s="49"/>
      <x:c r="K153" s="49"/>
      <x:c r="L153" s="49"/>
      <x:c r="M153" s="49"/>
      <x:c r="N153" s="49"/>
      <x:c r="O153" s="49"/>
      <x:c r="P153" s="49"/>
      <x:c r="Q153" s="49"/>
      <x:c r="R153" s="49"/>
      <x:c r="S153" s="49"/>
      <x:c r="T153" s="49"/>
      <x:c r="U153" s="49"/>
      <x:c r="V153" s="49"/>
      <x:c r="W153" s="49"/>
      <x:c r="X153" s="49"/>
      <x:c r="Y153" s="49"/>
      <x:c r="Z153" s="49"/>
      <x:c r="AA153" s="49"/>
      <x:c r="AB153" s="49"/>
      <x:c r="AC153" s="49"/>
      <x:c r="AD153" s="49"/>
      <x:c r="AE153" s="49"/>
      <x:c r="AF153" s="49"/>
      <x:c r="AG153" s="49"/>
      <x:c r="AH153" s="49"/>
      <x:c r="AI153" s="49"/>
      <x:c r="AJ153" s="49"/>
      <x:c r="AK153" s="49"/>
      <x:c r="AL153" s="49"/>
      <x:c r="AM153" s="49"/>
      <x:c r="AN153" s="49"/>
      <x:c r="AO153" s="49"/>
      <x:c r="AP153" s="49"/>
      <x:c r="AQ153" s="49"/>
      <x:c r="AR153" s="49"/>
      <x:c r="AS153" s="49"/>
      <x:c r="AT153" s="49"/>
      <x:c r="AU153" s="49"/>
      <x:c r="AV153" s="49"/>
      <x:c r="AW153" s="49"/>
      <x:c r="AX153" s="49"/>
      <x:c r="AY153" s="49"/>
      <x:c r="AZ153" s="49"/>
    </x:row>
    <x:row r="154">
      <x:c r="A154" s="49"/>
      <x:c r="B154" s="49"/>
      <x:c r="C154" s="49"/>
      <x:c r="D154" s="49"/>
      <x:c r="E154" s="49"/>
      <x:c r="F154" s="49"/>
      <x:c r="G154" s="49"/>
      <x:c r="H154" s="49"/>
      <x:c r="I154" s="49"/>
      <x:c r="J154" s="49"/>
      <x:c r="K154" s="49"/>
      <x:c r="L154" s="49"/>
      <x:c r="M154" s="49"/>
      <x:c r="N154" s="49"/>
      <x:c r="O154" s="49"/>
      <x:c r="P154" s="49"/>
      <x:c r="Q154" s="49"/>
      <x:c r="R154" s="49"/>
      <x:c r="S154" s="49"/>
      <x:c r="T154" s="49"/>
      <x:c r="U154" s="49"/>
      <x:c r="V154" s="49"/>
      <x:c r="W154" s="49"/>
      <x:c r="X154" s="49"/>
      <x:c r="Y154" s="49"/>
      <x:c r="Z154" s="49"/>
      <x:c r="AA154" s="49"/>
      <x:c r="AB154" s="49"/>
      <x:c r="AC154" s="49"/>
      <x:c r="AD154" s="49"/>
      <x:c r="AE154" s="49"/>
      <x:c r="AF154" s="49"/>
      <x:c r="AG154" s="49"/>
      <x:c r="AH154" s="49"/>
      <x:c r="AI154" s="49"/>
      <x:c r="AJ154" s="49"/>
      <x:c r="AK154" s="49"/>
      <x:c r="AL154" s="49"/>
      <x:c r="AM154" s="49"/>
      <x:c r="AN154" s="49"/>
      <x:c r="AO154" s="49"/>
      <x:c r="AP154" s="49"/>
      <x:c r="AQ154" s="49"/>
      <x:c r="AR154" s="49"/>
      <x:c r="AS154" s="49"/>
      <x:c r="AT154" s="49"/>
      <x:c r="AU154" s="49"/>
      <x:c r="AV154" s="49"/>
      <x:c r="AW154" s="49"/>
      <x:c r="AX154" s="49"/>
      <x:c r="AY154" s="49"/>
      <x:c r="AZ154" s="49"/>
    </x:row>
    <x:row r="155">
      <x:c r="A155" s="49"/>
      <x:c r="B155" s="49"/>
      <x:c r="C155" s="49"/>
      <x:c r="D155" s="49"/>
      <x:c r="E155" s="49"/>
      <x:c r="F155" s="49"/>
      <x:c r="G155" s="49"/>
      <x:c r="H155" s="49"/>
      <x:c r="I155" s="49"/>
      <x:c r="J155" s="49"/>
      <x:c r="K155" s="49"/>
      <x:c r="L155" s="49"/>
      <x:c r="M155" s="49"/>
      <x:c r="N155" s="49"/>
      <x:c r="O155" s="49"/>
      <x:c r="P155" s="49"/>
      <x:c r="Q155" s="49"/>
      <x:c r="R155" s="49"/>
      <x:c r="S155" s="49"/>
      <x:c r="T155" s="49"/>
      <x:c r="U155" s="49"/>
      <x:c r="V155" s="49"/>
      <x:c r="W155" s="49"/>
      <x:c r="X155" s="49"/>
      <x:c r="Y155" s="49"/>
      <x:c r="Z155" s="49"/>
      <x:c r="AA155" s="49"/>
      <x:c r="AB155" s="49"/>
      <x:c r="AC155" s="49"/>
      <x:c r="AD155" s="49"/>
      <x:c r="AE155" s="49"/>
      <x:c r="AF155" s="49"/>
      <x:c r="AG155" s="49"/>
      <x:c r="AH155" s="49"/>
      <x:c r="AI155" s="49"/>
      <x:c r="AJ155" s="49"/>
      <x:c r="AK155" s="49"/>
      <x:c r="AL155" s="49"/>
      <x:c r="AM155" s="49"/>
      <x:c r="AN155" s="49"/>
      <x:c r="AO155" s="49"/>
      <x:c r="AP155" s="49"/>
      <x:c r="AQ155" s="49"/>
      <x:c r="AR155" s="49"/>
      <x:c r="AS155" s="49"/>
      <x:c r="AT155" s="49"/>
      <x:c r="AU155" s="49"/>
      <x:c r="AV155" s="49"/>
      <x:c r="AW155" s="49"/>
      <x:c r="AX155" s="49"/>
      <x:c r="AY155" s="49"/>
      <x:c r="AZ155" s="49"/>
    </x:row>
    <x:row r="156">
      <x:c r="A156" s="49"/>
      <x:c r="B156" s="49"/>
      <x:c r="C156" s="49"/>
      <x:c r="D156" s="49"/>
      <x:c r="E156" s="49"/>
      <x:c r="F156" s="49"/>
      <x:c r="G156" s="49"/>
      <x:c r="H156" s="49"/>
      <x:c r="I156" s="49"/>
      <x:c r="J156" s="49"/>
      <x:c r="K156" s="49"/>
      <x:c r="L156" s="49"/>
      <x:c r="M156" s="49"/>
      <x:c r="N156" s="49"/>
      <x:c r="O156" s="49"/>
      <x:c r="P156" s="49"/>
      <x:c r="Q156" s="49"/>
      <x:c r="R156" s="49"/>
      <x:c r="S156" s="49"/>
      <x:c r="T156" s="49"/>
      <x:c r="U156" s="49"/>
      <x:c r="V156" s="49"/>
      <x:c r="W156" s="49"/>
      <x:c r="X156" s="49"/>
      <x:c r="Y156" s="49"/>
      <x:c r="Z156" s="49"/>
      <x:c r="AA156" s="49"/>
      <x:c r="AB156" s="49"/>
      <x:c r="AC156" s="49"/>
      <x:c r="AD156" s="49"/>
      <x:c r="AE156" s="49"/>
      <x:c r="AF156" s="49"/>
      <x:c r="AG156" s="49"/>
      <x:c r="AH156" s="49"/>
      <x:c r="AI156" s="49"/>
      <x:c r="AJ156" s="49"/>
      <x:c r="AK156" s="49"/>
      <x:c r="AL156" s="49"/>
      <x:c r="AM156" s="49"/>
      <x:c r="AN156" s="49"/>
      <x:c r="AO156" s="49"/>
      <x:c r="AP156" s="49"/>
      <x:c r="AQ156" s="49"/>
      <x:c r="AR156" s="49"/>
      <x:c r="AS156" s="49"/>
      <x:c r="AT156" s="49"/>
      <x:c r="AU156" s="49"/>
      <x:c r="AV156" s="49"/>
      <x:c r="AW156" s="49"/>
      <x:c r="AX156" s="49"/>
      <x:c r="AY156" s="49"/>
      <x:c r="AZ156" s="49"/>
    </x:row>
    <x:row r="157">
      <x:c r="A157" s="49"/>
      <x:c r="B157" s="49"/>
      <x:c r="C157" s="49"/>
      <x:c r="D157" s="49"/>
      <x:c r="E157" s="49"/>
      <x:c r="F157" s="49"/>
      <x:c r="G157" s="49"/>
      <x:c r="H157" s="49"/>
      <x:c r="I157" s="49"/>
      <x:c r="J157" s="49"/>
      <x:c r="K157" s="49"/>
      <x:c r="L157" s="49"/>
      <x:c r="M157" s="49"/>
      <x:c r="N157" s="49"/>
      <x:c r="O157" s="49"/>
      <x:c r="P157" s="49"/>
      <x:c r="Q157" s="49"/>
      <x:c r="R157" s="49"/>
      <x:c r="S157" s="49"/>
      <x:c r="T157" s="49"/>
      <x:c r="U157" s="49"/>
      <x:c r="V157" s="49"/>
      <x:c r="W157" s="49"/>
      <x:c r="X157" s="49"/>
      <x:c r="Y157" s="49"/>
      <x:c r="Z157" s="49"/>
      <x:c r="AA157" s="49"/>
      <x:c r="AB157" s="49"/>
      <x:c r="AC157" s="49"/>
      <x:c r="AD157" s="49"/>
      <x:c r="AE157" s="49"/>
      <x:c r="AF157" s="49"/>
      <x:c r="AG157" s="49"/>
      <x:c r="AH157" s="49"/>
      <x:c r="AI157" s="49"/>
      <x:c r="AJ157" s="49"/>
      <x:c r="AK157" s="49"/>
      <x:c r="AL157" s="49"/>
      <x:c r="AM157" s="49"/>
      <x:c r="AN157" s="49"/>
      <x:c r="AO157" s="49"/>
      <x:c r="AP157" s="49"/>
      <x:c r="AQ157" s="49"/>
      <x:c r="AR157" s="49"/>
      <x:c r="AS157" s="49"/>
      <x:c r="AT157" s="49"/>
      <x:c r="AU157" s="49"/>
      <x:c r="AV157" s="49"/>
      <x:c r="AW157" s="49"/>
      <x:c r="AX157" s="49"/>
      <x:c r="AY157" s="49"/>
      <x:c r="AZ157" s="49"/>
    </x:row>
    <x:row r="158">
      <x:c r="A158" s="49"/>
      <x:c r="B158" s="49"/>
      <x:c r="C158" s="49"/>
      <x:c r="D158" s="49"/>
      <x:c r="E158" s="49"/>
      <x:c r="F158" s="49"/>
      <x:c r="G158" s="49"/>
      <x:c r="H158" s="49"/>
      <x:c r="I158" s="49"/>
      <x:c r="J158" s="49"/>
      <x:c r="K158" s="49"/>
      <x:c r="L158" s="49"/>
      <x:c r="M158" s="49"/>
      <x:c r="N158" s="49"/>
      <x:c r="O158" s="49"/>
      <x:c r="P158" s="49"/>
      <x:c r="Q158" s="49"/>
      <x:c r="R158" s="49"/>
      <x:c r="S158" s="49"/>
      <x:c r="T158" s="49"/>
      <x:c r="U158" s="49"/>
      <x:c r="V158" s="49"/>
      <x:c r="W158" s="49"/>
      <x:c r="X158" s="49"/>
      <x:c r="Y158" s="49"/>
      <x:c r="Z158" s="49"/>
      <x:c r="AA158" s="49"/>
      <x:c r="AB158" s="49"/>
      <x:c r="AC158" s="49"/>
      <x:c r="AD158" s="49"/>
      <x:c r="AE158" s="49"/>
      <x:c r="AF158" s="49"/>
      <x:c r="AG158" s="49"/>
      <x:c r="AH158" s="49"/>
      <x:c r="AI158" s="49"/>
      <x:c r="AJ158" s="49"/>
      <x:c r="AK158" s="49"/>
      <x:c r="AL158" s="49"/>
      <x:c r="AM158" s="49"/>
      <x:c r="AN158" s="49"/>
      <x:c r="AO158" s="49"/>
      <x:c r="AP158" s="49"/>
      <x:c r="AQ158" s="49"/>
      <x:c r="AR158" s="49"/>
      <x:c r="AS158" s="49"/>
      <x:c r="AT158" s="49"/>
      <x:c r="AU158" s="49"/>
      <x:c r="AV158" s="49"/>
      <x:c r="AW158" s="49"/>
      <x:c r="AX158" s="49"/>
      <x:c r="AY158" s="49"/>
      <x:c r="AZ158" s="49"/>
    </x:row>
    <x:row r="159">
      <x:c r="A159" s="49"/>
      <x:c r="B159" s="49"/>
      <x:c r="C159" s="49"/>
      <x:c r="D159" s="49"/>
      <x:c r="E159" s="49"/>
      <x:c r="F159" s="49"/>
      <x:c r="G159" s="49"/>
      <x:c r="H159" s="49"/>
      <x:c r="I159" s="49"/>
      <x:c r="J159" s="49"/>
      <x:c r="K159" s="49"/>
      <x:c r="L159" s="49"/>
      <x:c r="M159" s="49"/>
      <x:c r="N159" s="49"/>
      <x:c r="O159" s="49"/>
      <x:c r="P159" s="49"/>
      <x:c r="Q159" s="49"/>
      <x:c r="R159" s="49"/>
      <x:c r="S159" s="49"/>
      <x:c r="T159" s="49"/>
      <x:c r="U159" s="49"/>
      <x:c r="V159" s="49"/>
      <x:c r="W159" s="49"/>
      <x:c r="X159" s="49"/>
      <x:c r="Y159" s="49"/>
      <x:c r="Z159" s="49"/>
      <x:c r="AA159" s="49"/>
      <x:c r="AB159" s="49"/>
      <x:c r="AC159" s="49"/>
      <x:c r="AD159" s="49"/>
      <x:c r="AE159" s="49"/>
      <x:c r="AF159" s="49"/>
      <x:c r="AG159" s="49"/>
      <x:c r="AH159" s="49"/>
      <x:c r="AI159" s="49"/>
      <x:c r="AJ159" s="49"/>
      <x:c r="AK159" s="49"/>
      <x:c r="AL159" s="49"/>
      <x:c r="AM159" s="49"/>
      <x:c r="AN159" s="49"/>
      <x:c r="AO159" s="49"/>
      <x:c r="AP159" s="49"/>
      <x:c r="AQ159" s="49"/>
      <x:c r="AR159" s="49"/>
      <x:c r="AS159" s="49"/>
      <x:c r="AT159" s="49"/>
      <x:c r="AU159" s="49"/>
      <x:c r="AV159" s="49"/>
      <x:c r="AW159" s="49"/>
      <x:c r="AX159" s="49"/>
      <x:c r="AY159" s="49"/>
      <x:c r="AZ159" s="49"/>
    </x:row>
    <x:row r="160">
      <x:c r="A160" s="49"/>
      <x:c r="B160" s="49"/>
      <x:c r="C160" s="49"/>
      <x:c r="D160" s="49"/>
      <x:c r="E160" s="49"/>
      <x:c r="F160" s="49"/>
      <x:c r="G160" s="49"/>
      <x:c r="H160" s="49"/>
      <x:c r="I160" s="49"/>
      <x:c r="J160" s="49"/>
      <x:c r="K160" s="49"/>
      <x:c r="L160" s="49"/>
      <x:c r="M160" s="49"/>
      <x:c r="N160" s="49"/>
      <x:c r="O160" s="49"/>
      <x:c r="P160" s="49"/>
      <x:c r="Q160" s="49"/>
      <x:c r="R160" s="49"/>
      <x:c r="S160" s="49"/>
      <x:c r="T160" s="49"/>
      <x:c r="U160" s="49"/>
      <x:c r="V160" s="49"/>
      <x:c r="W160" s="49"/>
      <x:c r="X160" s="49"/>
      <x:c r="Y160" s="49"/>
      <x:c r="Z160" s="49"/>
      <x:c r="AA160" s="49"/>
      <x:c r="AB160" s="49"/>
      <x:c r="AC160" s="49"/>
      <x:c r="AD160" s="49"/>
      <x:c r="AE160" s="49"/>
      <x:c r="AF160" s="49"/>
      <x:c r="AG160" s="49"/>
      <x:c r="AH160" s="49"/>
      <x:c r="AI160" s="49"/>
      <x:c r="AJ160" s="49"/>
      <x:c r="AK160" s="49"/>
      <x:c r="AL160" s="49"/>
      <x:c r="AM160" s="49"/>
      <x:c r="AN160" s="49"/>
      <x:c r="AO160" s="49"/>
      <x:c r="AP160" s="49"/>
      <x:c r="AQ160" s="49"/>
      <x:c r="AR160" s="49"/>
      <x:c r="AS160" s="49"/>
      <x:c r="AT160" s="49"/>
      <x:c r="AU160" s="49"/>
      <x:c r="AV160" s="49"/>
      <x:c r="AW160" s="49"/>
      <x:c r="AX160" s="49"/>
      <x:c r="AY160" s="49"/>
      <x:c r="AZ160" s="49"/>
    </x:row>
    <x:row r="161">
      <x:c r="A161" s="49"/>
      <x:c r="B161" s="49"/>
      <x:c r="C161" s="49"/>
      <x:c r="D161" s="49"/>
      <x:c r="E161" s="49"/>
      <x:c r="F161" s="49"/>
      <x:c r="G161" s="49"/>
      <x:c r="H161" s="49"/>
      <x:c r="I161" s="49"/>
      <x:c r="J161" s="49"/>
      <x:c r="K161" s="49"/>
      <x:c r="L161" s="49"/>
      <x:c r="M161" s="49"/>
      <x:c r="N161" s="49"/>
      <x:c r="O161" s="49"/>
      <x:c r="P161" s="49"/>
      <x:c r="Q161" s="49"/>
      <x:c r="R161" s="49"/>
      <x:c r="S161" s="49"/>
      <x:c r="T161" s="49"/>
      <x:c r="U161" s="49"/>
      <x:c r="V161" s="49"/>
      <x:c r="W161" s="49"/>
      <x:c r="X161" s="49"/>
      <x:c r="Y161" s="49"/>
      <x:c r="Z161" s="49"/>
      <x:c r="AA161" s="49"/>
      <x:c r="AB161" s="49"/>
      <x:c r="AC161" s="49"/>
      <x:c r="AD161" s="49"/>
      <x:c r="AE161" s="49"/>
      <x:c r="AF161" s="49"/>
      <x:c r="AG161" s="49"/>
      <x:c r="AH161" s="49"/>
      <x:c r="AI161" s="49"/>
      <x:c r="AJ161" s="49"/>
      <x:c r="AK161" s="49"/>
      <x:c r="AL161" s="49"/>
      <x:c r="AM161" s="49"/>
      <x:c r="AN161" s="49"/>
      <x:c r="AO161" s="49"/>
      <x:c r="AP161" s="49"/>
      <x:c r="AQ161" s="49"/>
      <x:c r="AR161" s="49"/>
      <x:c r="AS161" s="49"/>
      <x:c r="AT161" s="49"/>
      <x:c r="AU161" s="49"/>
      <x:c r="AV161" s="49"/>
      <x:c r="AW161" s="49"/>
      <x:c r="AX161" s="49"/>
      <x:c r="AY161" s="49"/>
      <x:c r="AZ161" s="49"/>
    </x:row>
    <x:row r="162">
      <x:c r="A162" s="49"/>
      <x:c r="B162" s="49"/>
      <x:c r="C162" s="49"/>
      <x:c r="D162" s="49"/>
      <x:c r="E162" s="49"/>
      <x:c r="F162" s="49"/>
      <x:c r="G162" s="49"/>
      <x:c r="H162" s="49"/>
      <x:c r="I162" s="49"/>
      <x:c r="J162" s="49"/>
      <x:c r="K162" s="49"/>
      <x:c r="L162" s="49"/>
      <x:c r="M162" s="49"/>
      <x:c r="N162" s="49"/>
      <x:c r="O162" s="49"/>
      <x:c r="P162" s="49"/>
      <x:c r="Q162" s="49"/>
      <x:c r="R162" s="49"/>
      <x:c r="S162" s="49"/>
      <x:c r="T162" s="49"/>
      <x:c r="U162" s="49"/>
      <x:c r="V162" s="49"/>
      <x:c r="W162" s="49"/>
      <x:c r="X162" s="49"/>
      <x:c r="Y162" s="49"/>
      <x:c r="Z162" s="49"/>
      <x:c r="AA162" s="49"/>
      <x:c r="AB162" s="49"/>
      <x:c r="AC162" s="49"/>
      <x:c r="AD162" s="49"/>
      <x:c r="AE162" s="49"/>
      <x:c r="AF162" s="49"/>
      <x:c r="AG162" s="49"/>
      <x:c r="AH162" s="49"/>
      <x:c r="AI162" s="49"/>
      <x:c r="AJ162" s="49"/>
      <x:c r="AK162" s="49"/>
      <x:c r="AL162" s="49"/>
      <x:c r="AM162" s="49"/>
      <x:c r="AN162" s="49"/>
      <x:c r="AO162" s="49"/>
      <x:c r="AP162" s="49"/>
      <x:c r="AQ162" s="49"/>
      <x:c r="AR162" s="49"/>
      <x:c r="AS162" s="49"/>
      <x:c r="AT162" s="49"/>
      <x:c r="AU162" s="49"/>
      <x:c r="AV162" s="49"/>
      <x:c r="AW162" s="49"/>
      <x:c r="AX162" s="49"/>
      <x:c r="AY162" s="49"/>
      <x:c r="AZ162" s="49"/>
    </x:row>
    <x:row r="163">
      <x:c r="A163" s="49"/>
      <x:c r="B163" s="49"/>
      <x:c r="C163" s="49"/>
      <x:c r="D163" s="49"/>
      <x:c r="E163" s="49"/>
      <x:c r="F163" s="49"/>
      <x:c r="G163" s="49"/>
      <x:c r="H163" s="49"/>
      <x:c r="I163" s="49"/>
      <x:c r="J163" s="49"/>
      <x:c r="K163" s="49"/>
      <x:c r="L163" s="49"/>
      <x:c r="M163" s="49"/>
      <x:c r="N163" s="49"/>
      <x:c r="O163" s="49"/>
      <x:c r="P163" s="49"/>
      <x:c r="Q163" s="49"/>
      <x:c r="R163" s="49"/>
      <x:c r="S163" s="49"/>
      <x:c r="T163" s="49"/>
      <x:c r="U163" s="49"/>
      <x:c r="V163" s="49"/>
      <x:c r="W163" s="49"/>
      <x:c r="X163" s="49"/>
      <x:c r="Y163" s="49"/>
      <x:c r="Z163" s="49"/>
      <x:c r="AA163" s="49"/>
      <x:c r="AB163" s="49"/>
      <x:c r="AC163" s="49"/>
      <x:c r="AD163" s="49"/>
      <x:c r="AE163" s="49"/>
      <x:c r="AF163" s="49"/>
      <x:c r="AG163" s="49"/>
      <x:c r="AH163" s="49"/>
      <x:c r="AI163" s="49"/>
      <x:c r="AJ163" s="49"/>
      <x:c r="AK163" s="49"/>
      <x:c r="AL163" s="49"/>
      <x:c r="AM163" s="49"/>
      <x:c r="AN163" s="49"/>
      <x:c r="AO163" s="49"/>
      <x:c r="AP163" s="49"/>
      <x:c r="AQ163" s="49"/>
      <x:c r="AR163" s="49"/>
      <x:c r="AS163" s="49"/>
      <x:c r="AT163" s="49"/>
      <x:c r="AU163" s="49"/>
      <x:c r="AV163" s="49"/>
      <x:c r="AW163" s="49"/>
      <x:c r="AX163" s="49"/>
      <x:c r="AY163" s="49"/>
      <x:c r="AZ163" s="49"/>
    </x:row>
    <x:row r="164">
      <x:c r="A164" s="49"/>
      <x:c r="B164" s="49"/>
      <x:c r="C164" s="49"/>
      <x:c r="D164" s="49"/>
      <x:c r="E164" s="49"/>
      <x:c r="F164" s="49"/>
      <x:c r="G164" s="49"/>
      <x:c r="H164" s="49"/>
      <x:c r="I164" s="49"/>
      <x:c r="J164" s="49"/>
      <x:c r="K164" s="49"/>
      <x:c r="L164" s="49"/>
      <x:c r="M164" s="49"/>
      <x:c r="N164" s="49"/>
      <x:c r="O164" s="49"/>
      <x:c r="P164" s="49"/>
      <x:c r="Q164" s="49"/>
      <x:c r="R164" s="49"/>
      <x:c r="S164" s="49"/>
      <x:c r="T164" s="49"/>
      <x:c r="U164" s="49"/>
      <x:c r="V164" s="49"/>
      <x:c r="W164" s="49"/>
      <x:c r="X164" s="49"/>
      <x:c r="Y164" s="49"/>
      <x:c r="Z164" s="49"/>
      <x:c r="AA164" s="49"/>
      <x:c r="AB164" s="49"/>
      <x:c r="AC164" s="49"/>
      <x:c r="AD164" s="49"/>
      <x:c r="AE164" s="49"/>
      <x:c r="AF164" s="49"/>
      <x:c r="AG164" s="49"/>
      <x:c r="AH164" s="49"/>
      <x:c r="AI164" s="49"/>
      <x:c r="AJ164" s="49"/>
      <x:c r="AK164" s="49"/>
      <x:c r="AL164" s="49"/>
      <x:c r="AM164" s="49"/>
      <x:c r="AN164" s="49"/>
      <x:c r="AO164" s="49"/>
      <x:c r="AP164" s="49"/>
      <x:c r="AQ164" s="49"/>
      <x:c r="AR164" s="49"/>
      <x:c r="AS164" s="49"/>
      <x:c r="AT164" s="49"/>
      <x:c r="AU164" s="49"/>
      <x:c r="AV164" s="49"/>
      <x:c r="AW164" s="49"/>
      <x:c r="AX164" s="49"/>
      <x:c r="AY164" s="49"/>
      <x:c r="AZ164" s="49"/>
    </x:row>
    <x:row r="165">
      <x:c r="A165" s="49"/>
      <x:c r="B165" s="49"/>
      <x:c r="C165" s="49"/>
      <x:c r="D165" s="49"/>
      <x:c r="E165" s="49"/>
      <x:c r="F165" s="49"/>
      <x:c r="G165" s="49"/>
      <x:c r="H165" s="49"/>
      <x:c r="I165" s="49"/>
      <x:c r="J165" s="49"/>
      <x:c r="K165" s="49"/>
      <x:c r="L165" s="49"/>
      <x:c r="M165" s="49"/>
      <x:c r="N165" s="49"/>
      <x:c r="O165" s="49"/>
      <x:c r="P165" s="49"/>
      <x:c r="Q165" s="49"/>
      <x:c r="R165" s="49"/>
      <x:c r="S165" s="49"/>
      <x:c r="T165" s="49"/>
      <x:c r="U165" s="49"/>
      <x:c r="V165" s="49"/>
      <x:c r="W165" s="49"/>
      <x:c r="X165" s="49"/>
      <x:c r="Y165" s="49"/>
      <x:c r="Z165" s="49"/>
      <x:c r="AA165" s="49"/>
      <x:c r="AB165" s="49"/>
      <x:c r="AC165" s="49"/>
      <x:c r="AD165" s="49"/>
      <x:c r="AE165" s="49"/>
      <x:c r="AF165" s="49"/>
      <x:c r="AG165" s="49"/>
      <x:c r="AH165" s="49"/>
      <x:c r="AI165" s="49"/>
      <x:c r="AJ165" s="49"/>
      <x:c r="AK165" s="49"/>
      <x:c r="AL165" s="49"/>
      <x:c r="AM165" s="49"/>
      <x:c r="AN165" s="49"/>
      <x:c r="AO165" s="49"/>
      <x:c r="AP165" s="49"/>
      <x:c r="AQ165" s="49"/>
      <x:c r="AR165" s="49"/>
      <x:c r="AS165" s="49"/>
      <x:c r="AT165" s="49"/>
      <x:c r="AU165" s="49"/>
      <x:c r="AV165" s="49"/>
      <x:c r="AW165" s="49"/>
      <x:c r="AX165" s="49"/>
      <x:c r="AY165" s="49"/>
      <x:c r="AZ165" s="49"/>
    </x:row>
    <x:row r="166">
      <x:c r="A166" s="49"/>
      <x:c r="B166" s="49"/>
      <x:c r="C166" s="49"/>
      <x:c r="D166" s="49"/>
      <x:c r="E166" s="49"/>
      <x:c r="F166" s="49"/>
      <x:c r="G166" s="49"/>
      <x:c r="H166" s="49"/>
      <x:c r="I166" s="49"/>
      <x:c r="J166" s="49"/>
      <x:c r="K166" s="49"/>
      <x:c r="L166" s="49"/>
      <x:c r="M166" s="49"/>
      <x:c r="N166" s="49"/>
      <x:c r="O166" s="49"/>
      <x:c r="P166" s="49"/>
      <x:c r="Q166" s="49"/>
      <x:c r="R166" s="49"/>
      <x:c r="S166" s="49"/>
      <x:c r="T166" s="49"/>
      <x:c r="U166" s="49"/>
      <x:c r="V166" s="49"/>
      <x:c r="W166" s="49"/>
      <x:c r="X166" s="49"/>
      <x:c r="Y166" s="49"/>
      <x:c r="Z166" s="49"/>
      <x:c r="AA166" s="49"/>
      <x:c r="AB166" s="49"/>
      <x:c r="AC166" s="49"/>
      <x:c r="AD166" s="49"/>
      <x:c r="AE166" s="49"/>
      <x:c r="AF166" s="49"/>
      <x:c r="AG166" s="49"/>
      <x:c r="AH166" s="49"/>
      <x:c r="AI166" s="49"/>
      <x:c r="AJ166" s="49"/>
      <x:c r="AK166" s="49"/>
      <x:c r="AL166" s="49"/>
      <x:c r="AM166" s="49"/>
      <x:c r="AN166" s="49"/>
      <x:c r="AO166" s="49"/>
      <x:c r="AP166" s="49"/>
      <x:c r="AQ166" s="49"/>
      <x:c r="AR166" s="49"/>
      <x:c r="AS166" s="49"/>
      <x:c r="AT166" s="49"/>
      <x:c r="AU166" s="49"/>
      <x:c r="AV166" s="49"/>
      <x:c r="AW166" s="49"/>
      <x:c r="AX166" s="49"/>
      <x:c r="AY166" s="49"/>
      <x:c r="AZ166" s="49"/>
    </x:row>
    <x:row r="167">
      <x:c r="A167" s="49"/>
      <x:c r="B167" s="49"/>
      <x:c r="C167" s="49"/>
      <x:c r="D167" s="49"/>
      <x:c r="E167" s="49"/>
      <x:c r="F167" s="49"/>
      <x:c r="G167" s="49"/>
      <x:c r="H167" s="49"/>
      <x:c r="I167" s="49"/>
      <x:c r="J167" s="49"/>
      <x:c r="K167" s="49"/>
      <x:c r="L167" s="49"/>
      <x:c r="M167" s="49"/>
      <x:c r="N167" s="49"/>
      <x:c r="O167" s="49"/>
      <x:c r="P167" s="49"/>
      <x:c r="Q167" s="49"/>
      <x:c r="R167" s="49"/>
      <x:c r="S167" s="49"/>
      <x:c r="T167" s="49"/>
      <x:c r="U167" s="49"/>
      <x:c r="V167" s="49"/>
      <x:c r="W167" s="49"/>
      <x:c r="X167" s="49"/>
      <x:c r="Y167" s="49"/>
      <x:c r="Z167" s="49"/>
      <x:c r="AA167" s="49"/>
      <x:c r="AB167" s="49"/>
      <x:c r="AC167" s="49"/>
      <x:c r="AD167" s="49"/>
      <x:c r="AE167" s="49"/>
      <x:c r="AF167" s="49"/>
      <x:c r="AG167" s="49"/>
      <x:c r="AH167" s="49"/>
      <x:c r="AI167" s="49"/>
      <x:c r="AJ167" s="49"/>
      <x:c r="AK167" s="49"/>
      <x:c r="AL167" s="49"/>
      <x:c r="AM167" s="49"/>
      <x:c r="AN167" s="49"/>
      <x:c r="AO167" s="49"/>
      <x:c r="AP167" s="49"/>
      <x:c r="AQ167" s="49"/>
      <x:c r="AR167" s="49"/>
      <x:c r="AS167" s="49"/>
      <x:c r="AT167" s="49"/>
      <x:c r="AU167" s="49"/>
      <x:c r="AV167" s="49"/>
      <x:c r="AW167" s="49"/>
      <x:c r="AX167" s="49"/>
      <x:c r="AY167" s="49"/>
      <x:c r="AZ167" s="49"/>
    </x:row>
    <x:row r="168">
      <x:c r="A168" s="49"/>
      <x:c r="B168" s="49"/>
      <x:c r="C168" s="49"/>
      <x:c r="D168" s="49"/>
      <x:c r="E168" s="49"/>
      <x:c r="F168" s="49"/>
      <x:c r="G168" s="49"/>
      <x:c r="H168" s="49"/>
      <x:c r="I168" s="49"/>
      <x:c r="J168" s="49"/>
      <x:c r="K168" s="49"/>
      <x:c r="L168" s="49"/>
      <x:c r="M168" s="49"/>
      <x:c r="N168" s="49"/>
      <x:c r="O168" s="49"/>
      <x:c r="P168" s="49"/>
      <x:c r="Q168" s="49"/>
      <x:c r="R168" s="49"/>
      <x:c r="S168" s="49"/>
      <x:c r="T168" s="49"/>
      <x:c r="U168" s="49"/>
      <x:c r="V168" s="49"/>
      <x:c r="W168" s="49"/>
      <x:c r="X168" s="49"/>
      <x:c r="Y168" s="49"/>
      <x:c r="Z168" s="49"/>
      <x:c r="AA168" s="49"/>
      <x:c r="AB168" s="49"/>
      <x:c r="AC168" s="49"/>
      <x:c r="AD168" s="49"/>
      <x:c r="AE168" s="49"/>
      <x:c r="AF168" s="49"/>
      <x:c r="AG168" s="49"/>
      <x:c r="AH168" s="49"/>
      <x:c r="AI168" s="49"/>
      <x:c r="AJ168" s="49"/>
      <x:c r="AK168" s="49"/>
      <x:c r="AL168" s="49"/>
      <x:c r="AM168" s="49"/>
      <x:c r="AN168" s="49"/>
      <x:c r="AO168" s="49"/>
      <x:c r="AP168" s="49"/>
      <x:c r="AQ168" s="49"/>
      <x:c r="AR168" s="49"/>
      <x:c r="AS168" s="49"/>
      <x:c r="AT168" s="49"/>
      <x:c r="AU168" s="49"/>
      <x:c r="AV168" s="49"/>
      <x:c r="AW168" s="49"/>
      <x:c r="AX168" s="49"/>
      <x:c r="AY168" s="49"/>
      <x:c r="AZ168" s="49"/>
    </x:row>
    <x:row r="169">
      <x:c r="A169" s="49"/>
      <x:c r="B169" s="49"/>
      <x:c r="C169" s="49"/>
      <x:c r="D169" s="49"/>
      <x:c r="E169" s="49"/>
      <x:c r="F169" s="49"/>
      <x:c r="G169" s="49"/>
      <x:c r="H169" s="49"/>
      <x:c r="I169" s="49"/>
      <x:c r="J169" s="49"/>
      <x:c r="K169" s="49"/>
      <x:c r="L169" s="49"/>
      <x:c r="M169" s="49"/>
      <x:c r="N169" s="49"/>
      <x:c r="O169" s="49"/>
      <x:c r="P169" s="49"/>
      <x:c r="Q169" s="49"/>
      <x:c r="R169" s="49"/>
      <x:c r="S169" s="49"/>
      <x:c r="T169" s="49"/>
      <x:c r="U169" s="49"/>
      <x:c r="V169" s="49"/>
      <x:c r="W169" s="49"/>
      <x:c r="X169" s="49"/>
      <x:c r="Y169" s="49"/>
      <x:c r="Z169" s="49"/>
      <x:c r="AA169" s="49"/>
      <x:c r="AB169" s="49"/>
      <x:c r="AC169" s="49"/>
      <x:c r="AD169" s="49"/>
      <x:c r="AE169" s="49"/>
      <x:c r="AF169" s="49"/>
      <x:c r="AG169" s="49"/>
      <x:c r="AH169" s="49"/>
      <x:c r="AI169" s="49"/>
      <x:c r="AJ169" s="49"/>
      <x:c r="AK169" s="49"/>
      <x:c r="AL169" s="49"/>
      <x:c r="AM169" s="49"/>
      <x:c r="AN169" s="49"/>
      <x:c r="AO169" s="49"/>
      <x:c r="AP169" s="49"/>
      <x:c r="AQ169" s="49"/>
      <x:c r="AR169" s="49"/>
      <x:c r="AS169" s="49"/>
      <x:c r="AT169" s="49"/>
      <x:c r="AU169" s="49"/>
      <x:c r="AV169" s="49"/>
      <x:c r="AW169" s="49"/>
      <x:c r="AX169" s="49"/>
      <x:c r="AY169" s="49"/>
      <x:c r="AZ169" s="49"/>
    </x:row>
    <x:row r="170">
      <x:c r="A170" s="49"/>
      <x:c r="B170" s="49"/>
      <x:c r="C170" s="49"/>
      <x:c r="D170" s="49"/>
      <x:c r="E170" s="49"/>
      <x:c r="F170" s="49"/>
      <x:c r="G170" s="49"/>
      <x:c r="H170" s="49"/>
      <x:c r="I170" s="49"/>
      <x:c r="J170" s="49"/>
      <x:c r="K170" s="49"/>
      <x:c r="L170" s="49"/>
      <x:c r="M170" s="49"/>
      <x:c r="N170" s="49"/>
      <x:c r="O170" s="49"/>
      <x:c r="P170" s="49"/>
      <x:c r="Q170" s="49"/>
      <x:c r="R170" s="49"/>
      <x:c r="S170" s="49"/>
      <x:c r="T170" s="49"/>
      <x:c r="U170" s="49"/>
      <x:c r="V170" s="49"/>
      <x:c r="W170" s="49"/>
      <x:c r="X170" s="49"/>
      <x:c r="Y170" s="49"/>
      <x:c r="Z170" s="49"/>
      <x:c r="AA170" s="49"/>
      <x:c r="AB170" s="49"/>
      <x:c r="AC170" s="49"/>
      <x:c r="AD170" s="49"/>
      <x:c r="AE170" s="49"/>
      <x:c r="AF170" s="49"/>
      <x:c r="AG170" s="49"/>
      <x:c r="AH170" s="49"/>
      <x:c r="AI170" s="49"/>
      <x:c r="AJ170" s="49"/>
      <x:c r="AK170" s="49"/>
      <x:c r="AL170" s="49"/>
      <x:c r="AM170" s="49"/>
      <x:c r="AN170" s="49"/>
      <x:c r="AO170" s="49"/>
      <x:c r="AP170" s="49"/>
      <x:c r="AQ170" s="49"/>
      <x:c r="AR170" s="49"/>
      <x:c r="AS170" s="49"/>
      <x:c r="AT170" s="49"/>
      <x:c r="AU170" s="49"/>
      <x:c r="AV170" s="49"/>
      <x:c r="AW170" s="49"/>
      <x:c r="AX170" s="49"/>
      <x:c r="AY170" s="49"/>
      <x:c r="AZ170" s="49"/>
    </x:row>
    <x:row r="171">
      <x:c r="A171" s="49"/>
      <x:c r="B171" s="49"/>
      <x:c r="C171" s="49"/>
      <x:c r="D171" s="49"/>
      <x:c r="E171" s="49"/>
      <x:c r="F171" s="49"/>
      <x:c r="G171" s="49"/>
      <x:c r="H171" s="49"/>
      <x:c r="I171" s="49"/>
      <x:c r="J171" s="49"/>
      <x:c r="K171" s="49"/>
      <x:c r="L171" s="49"/>
      <x:c r="M171" s="49"/>
      <x:c r="N171" s="49"/>
      <x:c r="O171" s="49"/>
      <x:c r="P171" s="49"/>
      <x:c r="Q171" s="49"/>
      <x:c r="R171" s="49"/>
      <x:c r="S171" s="49"/>
      <x:c r="T171" s="49"/>
      <x:c r="U171" s="49"/>
      <x:c r="V171" s="49"/>
      <x:c r="W171" s="49"/>
      <x:c r="X171" s="49"/>
      <x:c r="Y171" s="49"/>
      <x:c r="Z171" s="49"/>
      <x:c r="AA171" s="49"/>
      <x:c r="AB171" s="49"/>
      <x:c r="AC171" s="49"/>
      <x:c r="AD171" s="49"/>
      <x:c r="AE171" s="49"/>
      <x:c r="AF171" s="49"/>
      <x:c r="AG171" s="49"/>
      <x:c r="AH171" s="49"/>
      <x:c r="AI171" s="49"/>
      <x:c r="AJ171" s="49"/>
      <x:c r="AK171" s="49"/>
      <x:c r="AL171" s="49"/>
      <x:c r="AM171" s="49"/>
      <x:c r="AN171" s="49"/>
      <x:c r="AO171" s="49"/>
      <x:c r="AP171" s="49"/>
      <x:c r="AQ171" s="49"/>
      <x:c r="AR171" s="49"/>
      <x:c r="AS171" s="49"/>
      <x:c r="AT171" s="49"/>
      <x:c r="AU171" s="49"/>
      <x:c r="AV171" s="49"/>
      <x:c r="AW171" s="49"/>
      <x:c r="AX171" s="49"/>
      <x:c r="AY171" s="49"/>
      <x:c r="AZ171" s="49"/>
    </x:row>
    <x:row r="172">
      <x:c r="A172" s="49"/>
      <x:c r="B172" s="49"/>
      <x:c r="C172" s="49"/>
      <x:c r="D172" s="49"/>
      <x:c r="E172" s="49"/>
      <x:c r="F172" s="49"/>
      <x:c r="G172" s="49"/>
      <x:c r="H172" s="49"/>
      <x:c r="I172" s="49"/>
      <x:c r="J172" s="49"/>
      <x:c r="K172" s="49"/>
      <x:c r="L172" s="49"/>
      <x:c r="M172" s="49"/>
      <x:c r="N172" s="49"/>
      <x:c r="O172" s="49"/>
      <x:c r="P172" s="49"/>
      <x:c r="Q172" s="49"/>
      <x:c r="R172" s="49"/>
      <x:c r="S172" s="49"/>
      <x:c r="T172" s="49"/>
      <x:c r="U172" s="49"/>
      <x:c r="V172" s="49"/>
      <x:c r="W172" s="49"/>
      <x:c r="X172" s="49"/>
      <x:c r="Y172" s="49"/>
      <x:c r="Z172" s="49"/>
      <x:c r="AA172" s="49"/>
      <x:c r="AB172" s="49"/>
      <x:c r="AC172" s="49"/>
      <x:c r="AD172" s="49"/>
      <x:c r="AE172" s="49"/>
      <x:c r="AF172" s="49"/>
      <x:c r="AG172" s="49"/>
      <x:c r="AH172" s="49"/>
      <x:c r="AI172" s="49"/>
      <x:c r="AJ172" s="49"/>
      <x:c r="AK172" s="49"/>
      <x:c r="AL172" s="49"/>
      <x:c r="AM172" s="49"/>
      <x:c r="AN172" s="49"/>
      <x:c r="AO172" s="49"/>
      <x:c r="AP172" s="49"/>
      <x:c r="AQ172" s="49"/>
      <x:c r="AR172" s="49"/>
      <x:c r="AS172" s="49"/>
      <x:c r="AT172" s="49"/>
      <x:c r="AU172" s="49"/>
      <x:c r="AV172" s="49"/>
      <x:c r="AW172" s="49"/>
      <x:c r="AX172" s="49"/>
      <x:c r="AY172" s="49"/>
      <x:c r="AZ172" s="49"/>
    </x:row>
    <x:row r="173">
      <x:c r="A173" s="49"/>
      <x:c r="B173" s="49"/>
      <x:c r="C173" s="49"/>
      <x:c r="D173" s="49"/>
      <x:c r="E173" s="49"/>
      <x:c r="F173" s="49"/>
      <x:c r="G173" s="49"/>
      <x:c r="H173" s="49"/>
      <x:c r="I173" s="49"/>
      <x:c r="J173" s="49"/>
      <x:c r="K173" s="49"/>
      <x:c r="L173" s="49"/>
      <x:c r="M173" s="49"/>
      <x:c r="N173" s="49"/>
      <x:c r="O173" s="49"/>
      <x:c r="P173" s="49"/>
      <x:c r="Q173" s="49"/>
      <x:c r="R173" s="49"/>
      <x:c r="S173" s="49"/>
      <x:c r="T173" s="49"/>
      <x:c r="U173" s="49"/>
      <x:c r="V173" s="49"/>
      <x:c r="W173" s="49"/>
      <x:c r="X173" s="49"/>
      <x:c r="Y173" s="49"/>
      <x:c r="Z173" s="49"/>
      <x:c r="AA173" s="49"/>
      <x:c r="AB173" s="49"/>
      <x:c r="AC173" s="49"/>
      <x:c r="AD173" s="49"/>
      <x:c r="AE173" s="49"/>
      <x:c r="AF173" s="49"/>
      <x:c r="AG173" s="49"/>
      <x:c r="AH173" s="49"/>
      <x:c r="AI173" s="49"/>
      <x:c r="AJ173" s="49"/>
      <x:c r="AK173" s="49"/>
      <x:c r="AL173" s="49"/>
      <x:c r="AM173" s="49"/>
      <x:c r="AN173" s="49"/>
      <x:c r="AO173" s="49"/>
      <x:c r="AP173" s="49"/>
      <x:c r="AQ173" s="49"/>
      <x:c r="AR173" s="49"/>
      <x:c r="AS173" s="49"/>
      <x:c r="AT173" s="49"/>
      <x:c r="AU173" s="49"/>
      <x:c r="AV173" s="49"/>
      <x:c r="AW173" s="49"/>
      <x:c r="AX173" s="49"/>
      <x:c r="AY173" s="49"/>
      <x:c r="AZ173" s="49"/>
    </x:row>
    <x:row r="174">
      <x:c r="A174" s="49"/>
      <x:c r="B174" s="49"/>
      <x:c r="C174" s="49"/>
      <x:c r="D174" s="49"/>
      <x:c r="E174" s="49"/>
      <x:c r="F174" s="49"/>
      <x:c r="G174" s="49"/>
      <x:c r="H174" s="49"/>
      <x:c r="I174" s="49"/>
      <x:c r="J174" s="49"/>
      <x:c r="K174" s="49"/>
      <x:c r="L174" s="49"/>
      <x:c r="M174" s="49"/>
      <x:c r="N174" s="49"/>
      <x:c r="O174" s="49"/>
      <x:c r="P174" s="49"/>
      <x:c r="Q174" s="49"/>
      <x:c r="R174" s="49"/>
      <x:c r="S174" s="49"/>
      <x:c r="T174" s="49"/>
      <x:c r="U174" s="49"/>
      <x:c r="V174" s="49"/>
      <x:c r="W174" s="49"/>
      <x:c r="X174" s="49"/>
      <x:c r="Y174" s="49"/>
      <x:c r="Z174" s="49"/>
      <x:c r="AA174" s="49"/>
      <x:c r="AB174" s="49"/>
      <x:c r="AC174" s="49"/>
      <x:c r="AD174" s="49"/>
      <x:c r="AE174" s="49"/>
      <x:c r="AF174" s="49"/>
      <x:c r="AG174" s="49"/>
      <x:c r="AH174" s="49"/>
      <x:c r="AI174" s="49"/>
      <x:c r="AJ174" s="49"/>
      <x:c r="AK174" s="49"/>
      <x:c r="AL174" s="49"/>
      <x:c r="AM174" s="49"/>
      <x:c r="AN174" s="49"/>
      <x:c r="AO174" s="49"/>
      <x:c r="AP174" s="49"/>
      <x:c r="AQ174" s="49"/>
      <x:c r="AR174" s="49"/>
      <x:c r="AS174" s="49"/>
      <x:c r="AT174" s="49"/>
      <x:c r="AU174" s="49"/>
      <x:c r="AV174" s="49"/>
      <x:c r="AW174" s="49"/>
      <x:c r="AX174" s="49"/>
      <x:c r="AY174" s="49"/>
      <x:c r="AZ174" s="49"/>
    </x:row>
    <x:row r="175">
      <x:c r="A175" s="49"/>
      <x:c r="B175" s="49"/>
      <x:c r="C175" s="49"/>
      <x:c r="D175" s="49"/>
      <x:c r="E175" s="49"/>
      <x:c r="F175" s="49"/>
      <x:c r="G175" s="49"/>
      <x:c r="H175" s="49"/>
      <x:c r="I175" s="49"/>
      <x:c r="J175" s="49"/>
      <x:c r="K175" s="49"/>
      <x:c r="L175" s="49"/>
      <x:c r="M175" s="49"/>
      <x:c r="N175" s="49"/>
      <x:c r="O175" s="49"/>
      <x:c r="P175" s="49"/>
      <x:c r="Q175" s="49"/>
      <x:c r="R175" s="49"/>
      <x:c r="S175" s="49"/>
      <x:c r="T175" s="49"/>
      <x:c r="U175" s="49"/>
      <x:c r="V175" s="49"/>
      <x:c r="W175" s="49"/>
      <x:c r="X175" s="49"/>
      <x:c r="Y175" s="49"/>
      <x:c r="Z175" s="49"/>
      <x:c r="AA175" s="49"/>
      <x:c r="AB175" s="49"/>
      <x:c r="AC175" s="49"/>
      <x:c r="AD175" s="49"/>
      <x:c r="AE175" s="49"/>
      <x:c r="AF175" s="49"/>
      <x:c r="AG175" s="49"/>
      <x:c r="AH175" s="49"/>
      <x:c r="AI175" s="49"/>
      <x:c r="AJ175" s="49"/>
      <x:c r="AK175" s="49"/>
      <x:c r="AL175" s="49"/>
      <x:c r="AM175" s="49"/>
      <x:c r="AN175" s="49"/>
      <x:c r="AO175" s="49"/>
      <x:c r="AP175" s="49"/>
      <x:c r="AQ175" s="49"/>
      <x:c r="AR175" s="49"/>
      <x:c r="AS175" s="49"/>
      <x:c r="AT175" s="49"/>
      <x:c r="AU175" s="49"/>
      <x:c r="AV175" s="49"/>
      <x:c r="AW175" s="49"/>
      <x:c r="AX175" s="49"/>
      <x:c r="AY175" s="49"/>
      <x:c r="AZ175" s="49"/>
    </x:row>
    <x:row r="176">
      <x:c r="A176" s="49"/>
      <x:c r="B176" s="49"/>
      <x:c r="C176" s="49"/>
      <x:c r="D176" s="49"/>
      <x:c r="E176" s="49"/>
      <x:c r="F176" s="49"/>
      <x:c r="G176" s="49"/>
      <x:c r="H176" s="49"/>
      <x:c r="I176" s="49"/>
      <x:c r="J176" s="49"/>
      <x:c r="K176" s="49"/>
      <x:c r="L176" s="49"/>
      <x:c r="M176" s="49"/>
      <x:c r="N176" s="49"/>
      <x:c r="O176" s="49"/>
      <x:c r="P176" s="49"/>
      <x:c r="Q176" s="49"/>
      <x:c r="R176" s="49"/>
      <x:c r="S176" s="49"/>
      <x:c r="T176" s="49"/>
      <x:c r="U176" s="49"/>
      <x:c r="V176" s="49"/>
      <x:c r="W176" s="49"/>
      <x:c r="X176" s="49"/>
      <x:c r="Y176" s="49"/>
      <x:c r="Z176" s="49"/>
      <x:c r="AA176" s="49"/>
      <x:c r="AB176" s="49"/>
      <x:c r="AC176" s="49"/>
      <x:c r="AD176" s="49"/>
      <x:c r="AE176" s="49"/>
      <x:c r="AF176" s="49"/>
      <x:c r="AG176" s="49"/>
      <x:c r="AH176" s="49"/>
      <x:c r="AI176" s="49"/>
      <x:c r="AJ176" s="49"/>
      <x:c r="AK176" s="49"/>
      <x:c r="AL176" s="49"/>
      <x:c r="AM176" s="49"/>
      <x:c r="AN176" s="49"/>
      <x:c r="AO176" s="49"/>
      <x:c r="AP176" s="49"/>
      <x:c r="AQ176" s="49"/>
      <x:c r="AR176" s="49"/>
      <x:c r="AS176" s="49"/>
      <x:c r="AT176" s="49"/>
      <x:c r="AU176" s="49"/>
      <x:c r="AV176" s="49"/>
      <x:c r="AW176" s="49"/>
      <x:c r="AX176" s="49"/>
      <x:c r="AY176" s="49"/>
      <x:c r="AZ176" s="49"/>
    </x:row>
    <x:row r="177">
      <x:c r="A177" s="49"/>
      <x:c r="B177" s="49"/>
      <x:c r="C177" s="49"/>
      <x:c r="D177" s="49"/>
      <x:c r="E177" s="49"/>
      <x:c r="F177" s="49"/>
      <x:c r="G177" s="49"/>
      <x:c r="H177" s="49"/>
      <x:c r="I177" s="49"/>
      <x:c r="J177" s="49"/>
      <x:c r="K177" s="49"/>
      <x:c r="L177" s="49"/>
      <x:c r="M177" s="49"/>
      <x:c r="N177" s="49"/>
      <x:c r="O177" s="49"/>
      <x:c r="P177" s="49"/>
      <x:c r="Q177" s="49"/>
      <x:c r="R177" s="49"/>
      <x:c r="S177" s="49"/>
      <x:c r="T177" s="49"/>
      <x:c r="U177" s="49"/>
      <x:c r="V177" s="49"/>
      <x:c r="W177" s="49"/>
      <x:c r="X177" s="49"/>
      <x:c r="Y177" s="49"/>
      <x:c r="Z177" s="49"/>
      <x:c r="AA177" s="49"/>
      <x:c r="AB177" s="49"/>
      <x:c r="AC177" s="49"/>
      <x:c r="AD177" s="49"/>
      <x:c r="AE177" s="49"/>
      <x:c r="AF177" s="49"/>
      <x:c r="AG177" s="49"/>
      <x:c r="AH177" s="49"/>
      <x:c r="AI177" s="49"/>
      <x:c r="AJ177" s="49"/>
      <x:c r="AK177" s="49"/>
      <x:c r="AL177" s="49"/>
      <x:c r="AM177" s="49"/>
      <x:c r="AN177" s="49"/>
      <x:c r="AO177" s="49"/>
      <x:c r="AP177" s="49"/>
      <x:c r="AQ177" s="49"/>
      <x:c r="AR177" s="49"/>
      <x:c r="AS177" s="49"/>
      <x:c r="AT177" s="49"/>
      <x:c r="AU177" s="49"/>
      <x:c r="AV177" s="49"/>
      <x:c r="AW177" s="49"/>
      <x:c r="AX177" s="49"/>
      <x:c r="AY177" s="49"/>
      <x:c r="AZ177" s="49"/>
    </x:row>
    <x:row r="178">
      <x:c r="A178" s="49"/>
      <x:c r="B178" s="49"/>
      <x:c r="C178" s="49"/>
      <x:c r="D178" s="49"/>
      <x:c r="E178" s="49"/>
      <x:c r="F178" s="49"/>
      <x:c r="G178" s="49"/>
      <x:c r="H178" s="49"/>
      <x:c r="I178" s="49"/>
      <x:c r="J178" s="49"/>
      <x:c r="K178" s="49"/>
      <x:c r="L178" s="49"/>
      <x:c r="M178" s="49"/>
      <x:c r="N178" s="49"/>
      <x:c r="O178" s="49"/>
      <x:c r="P178" s="49"/>
      <x:c r="Q178" s="49"/>
      <x:c r="R178" s="49"/>
      <x:c r="S178" s="49"/>
      <x:c r="T178" s="49"/>
      <x:c r="U178" s="49"/>
      <x:c r="V178" s="49"/>
      <x:c r="W178" s="49"/>
      <x:c r="X178" s="49"/>
      <x:c r="Y178" s="49"/>
      <x:c r="Z178" s="49"/>
      <x:c r="AA178" s="49"/>
      <x:c r="AB178" s="49"/>
      <x:c r="AC178" s="49"/>
      <x:c r="AD178" s="49"/>
      <x:c r="AE178" s="49"/>
      <x:c r="AF178" s="49"/>
      <x:c r="AG178" s="49"/>
      <x:c r="AH178" s="49"/>
      <x:c r="AI178" s="49"/>
      <x:c r="AJ178" s="49"/>
      <x:c r="AK178" s="49"/>
      <x:c r="AL178" s="49"/>
      <x:c r="AM178" s="49"/>
      <x:c r="AN178" s="49"/>
      <x:c r="AO178" s="49"/>
      <x:c r="AP178" s="49"/>
      <x:c r="AQ178" s="49"/>
      <x:c r="AR178" s="49"/>
      <x:c r="AS178" s="49"/>
      <x:c r="AT178" s="49"/>
      <x:c r="AU178" s="49"/>
      <x:c r="AV178" s="49"/>
      <x:c r="AW178" s="49"/>
      <x:c r="AX178" s="49"/>
      <x:c r="AY178" s="49"/>
      <x:c r="AZ178" s="49"/>
    </x:row>
    <x:row r="179">
      <x:c r="A179" s="49"/>
      <x:c r="B179" s="49"/>
      <x:c r="C179" s="49"/>
      <x:c r="D179" s="49"/>
      <x:c r="E179" s="49"/>
      <x:c r="F179" s="49"/>
      <x:c r="G179" s="49"/>
      <x:c r="H179" s="49"/>
      <x:c r="I179" s="49"/>
      <x:c r="J179" s="49"/>
      <x:c r="K179" s="49"/>
      <x:c r="L179" s="49"/>
      <x:c r="M179" s="49"/>
      <x:c r="N179" s="49"/>
      <x:c r="O179" s="49"/>
      <x:c r="P179" s="49"/>
      <x:c r="Q179" s="49"/>
      <x:c r="R179" s="49"/>
      <x:c r="S179" s="49"/>
      <x:c r="T179" s="49"/>
      <x:c r="U179" s="49"/>
      <x:c r="V179" s="49"/>
      <x:c r="W179" s="49"/>
      <x:c r="X179" s="49"/>
      <x:c r="Y179" s="49"/>
      <x:c r="Z179" s="49"/>
      <x:c r="AA179" s="49"/>
      <x:c r="AB179" s="49"/>
      <x:c r="AC179" s="49"/>
      <x:c r="AD179" s="49"/>
      <x:c r="AE179" s="49"/>
      <x:c r="AF179" s="49"/>
      <x:c r="AG179" s="49"/>
      <x:c r="AH179" s="49"/>
      <x:c r="AI179" s="49"/>
      <x:c r="AJ179" s="49"/>
      <x:c r="AK179" s="49"/>
      <x:c r="AL179" s="49"/>
      <x:c r="AM179" s="49"/>
      <x:c r="AN179" s="49"/>
      <x:c r="AO179" s="49"/>
      <x:c r="AP179" s="49"/>
      <x:c r="AQ179" s="49"/>
      <x:c r="AR179" s="49"/>
      <x:c r="AS179" s="49"/>
      <x:c r="AT179" s="49"/>
      <x:c r="AU179" s="49"/>
      <x:c r="AV179" s="49"/>
      <x:c r="AW179" s="49"/>
      <x:c r="AX179" s="49"/>
      <x:c r="AY179" s="49"/>
      <x:c r="AZ179" s="49"/>
    </x:row>
    <x:row r="180">
      <x:c r="A180" s="49"/>
      <x:c r="B180" s="49"/>
      <x:c r="C180" s="49"/>
      <x:c r="D180" s="49"/>
      <x:c r="E180" s="49"/>
      <x:c r="F180" s="49"/>
      <x:c r="G180" s="49"/>
      <x:c r="H180" s="49"/>
      <x:c r="I180" s="49"/>
      <x:c r="J180" s="49"/>
      <x:c r="K180" s="49"/>
      <x:c r="L180" s="49"/>
      <x:c r="M180" s="49"/>
      <x:c r="N180" s="49"/>
      <x:c r="O180" s="49"/>
      <x:c r="P180" s="49"/>
      <x:c r="Q180" s="49"/>
      <x:c r="R180" s="49"/>
      <x:c r="S180" s="49"/>
      <x:c r="T180" s="49"/>
      <x:c r="U180" s="49"/>
      <x:c r="V180" s="49"/>
      <x:c r="W180" s="49"/>
      <x:c r="X180" s="49"/>
      <x:c r="Y180" s="49"/>
      <x:c r="Z180" s="49"/>
      <x:c r="AA180" s="49"/>
      <x:c r="AB180" s="49"/>
      <x:c r="AC180" s="49"/>
      <x:c r="AD180" s="49"/>
      <x:c r="AE180" s="49"/>
      <x:c r="AF180" s="49"/>
      <x:c r="AG180" s="49"/>
      <x:c r="AH180" s="49"/>
      <x:c r="AI180" s="49"/>
      <x:c r="AJ180" s="49"/>
      <x:c r="AK180" s="49"/>
      <x:c r="AL180" s="49"/>
      <x:c r="AM180" s="49"/>
      <x:c r="AN180" s="49"/>
      <x:c r="AO180" s="49"/>
      <x:c r="AP180" s="49"/>
      <x:c r="AQ180" s="49"/>
      <x:c r="AR180" s="49"/>
      <x:c r="AS180" s="49"/>
      <x:c r="AT180" s="49"/>
      <x:c r="AU180" s="49"/>
      <x:c r="AV180" s="49"/>
      <x:c r="AW180" s="49"/>
      <x:c r="AX180" s="49"/>
      <x:c r="AY180" s="49"/>
      <x:c r="AZ180" s="49"/>
    </x:row>
    <x:row r="181">
      <x:c r="A181" s="49"/>
      <x:c r="B181" s="49"/>
      <x:c r="C181" s="49"/>
      <x:c r="D181" s="49"/>
      <x:c r="E181" s="49"/>
      <x:c r="F181" s="49"/>
      <x:c r="G181" s="49"/>
      <x:c r="H181" s="49"/>
      <x:c r="I181" s="49"/>
      <x:c r="J181" s="49"/>
      <x:c r="K181" s="49"/>
      <x:c r="L181" s="49"/>
      <x:c r="M181" s="49"/>
      <x:c r="N181" s="49"/>
      <x:c r="O181" s="49"/>
      <x:c r="P181" s="49"/>
      <x:c r="Q181" s="49"/>
      <x:c r="R181" s="49"/>
      <x:c r="S181" s="49"/>
      <x:c r="T181" s="49"/>
      <x:c r="U181" s="49"/>
      <x:c r="V181" s="49"/>
      <x:c r="W181" s="49"/>
      <x:c r="X181" s="49"/>
      <x:c r="Y181" s="49"/>
      <x:c r="Z181" s="49"/>
      <x:c r="AA181" s="49"/>
      <x:c r="AB181" s="49"/>
      <x:c r="AC181" s="49"/>
      <x:c r="AD181" s="49"/>
      <x:c r="AE181" s="49"/>
      <x:c r="AF181" s="49"/>
      <x:c r="AG181" s="49"/>
      <x:c r="AH181" s="49"/>
      <x:c r="AI181" s="49"/>
      <x:c r="AJ181" s="49"/>
      <x:c r="AK181" s="49"/>
      <x:c r="AL181" s="49"/>
      <x:c r="AM181" s="49"/>
      <x:c r="AN181" s="49"/>
      <x:c r="AO181" s="49"/>
      <x:c r="AP181" s="49"/>
      <x:c r="AQ181" s="49"/>
      <x:c r="AR181" s="49"/>
      <x:c r="AS181" s="49"/>
      <x:c r="AT181" s="49"/>
      <x:c r="AU181" s="49"/>
      <x:c r="AV181" s="49"/>
      <x:c r="AW181" s="49"/>
      <x:c r="AX181" s="49"/>
      <x:c r="AY181" s="49"/>
      <x:c r="AZ181" s="49"/>
    </x:row>
    <x:row r="182">
      <x:c r="A182" s="49"/>
      <x:c r="B182" s="49"/>
      <x:c r="C182" s="49"/>
      <x:c r="D182" s="49"/>
      <x:c r="E182" s="49"/>
      <x:c r="F182" s="49"/>
      <x:c r="G182" s="49"/>
      <x:c r="H182" s="49"/>
      <x:c r="I182" s="49"/>
      <x:c r="J182" s="49"/>
      <x:c r="K182" s="49"/>
      <x:c r="L182" s="49"/>
      <x:c r="M182" s="49"/>
      <x:c r="N182" s="49"/>
      <x:c r="O182" s="49"/>
      <x:c r="P182" s="49"/>
      <x:c r="Q182" s="49"/>
      <x:c r="R182" s="49"/>
      <x:c r="S182" s="49"/>
      <x:c r="T182" s="49"/>
      <x:c r="U182" s="49"/>
      <x:c r="V182" s="49"/>
      <x:c r="W182" s="49"/>
      <x:c r="X182" s="49"/>
      <x:c r="Y182" s="49"/>
      <x:c r="Z182" s="49"/>
      <x:c r="AA182" s="49"/>
      <x:c r="AB182" s="49"/>
      <x:c r="AC182" s="49"/>
      <x:c r="AD182" s="49"/>
      <x:c r="AE182" s="49"/>
      <x:c r="AF182" s="49"/>
      <x:c r="AG182" s="49"/>
      <x:c r="AH182" s="49"/>
      <x:c r="AI182" s="49"/>
      <x:c r="AJ182" s="49"/>
      <x:c r="AK182" s="49"/>
      <x:c r="AL182" s="49"/>
      <x:c r="AM182" s="49"/>
      <x:c r="AN182" s="49"/>
      <x:c r="AO182" s="49"/>
      <x:c r="AP182" s="49"/>
      <x:c r="AQ182" s="49"/>
      <x:c r="AR182" s="49"/>
      <x:c r="AS182" s="49"/>
      <x:c r="AT182" s="49"/>
      <x:c r="AU182" s="49"/>
      <x:c r="AV182" s="49"/>
      <x:c r="AW182" s="49"/>
      <x:c r="AX182" s="49"/>
      <x:c r="AY182" s="49"/>
      <x:c r="AZ182" s="49"/>
    </x:row>
    <x:row r="183">
      <x:c r="A183" s="49"/>
      <x:c r="B183" s="49"/>
      <x:c r="C183" s="49"/>
      <x:c r="D183" s="49"/>
      <x:c r="E183" s="49"/>
      <x:c r="F183" s="49"/>
      <x:c r="G183" s="49"/>
      <x:c r="H183" s="49"/>
      <x:c r="I183" s="49"/>
      <x:c r="J183" s="49"/>
      <x:c r="K183" s="49"/>
      <x:c r="L183" s="49"/>
      <x:c r="M183" s="49"/>
      <x:c r="N183" s="49"/>
      <x:c r="O183" s="49"/>
      <x:c r="P183" s="49"/>
      <x:c r="Q183" s="49"/>
      <x:c r="R183" s="49"/>
      <x:c r="S183" s="49"/>
      <x:c r="T183" s="49"/>
      <x:c r="U183" s="49"/>
      <x:c r="V183" s="49"/>
      <x:c r="W183" s="49"/>
      <x:c r="X183" s="49"/>
      <x:c r="Y183" s="49"/>
      <x:c r="Z183" s="49"/>
      <x:c r="AA183" s="49"/>
      <x:c r="AB183" s="49"/>
      <x:c r="AC183" s="49"/>
      <x:c r="AD183" s="49"/>
      <x:c r="AE183" s="49"/>
      <x:c r="AF183" s="49"/>
      <x:c r="AG183" s="49"/>
      <x:c r="AH183" s="49"/>
      <x:c r="AI183" s="49"/>
      <x:c r="AJ183" s="49"/>
      <x:c r="AK183" s="49"/>
      <x:c r="AL183" s="49"/>
      <x:c r="AM183" s="49"/>
      <x:c r="AN183" s="49"/>
      <x:c r="AO183" s="49"/>
      <x:c r="AP183" s="49"/>
      <x:c r="AQ183" s="49"/>
      <x:c r="AR183" s="49"/>
      <x:c r="AS183" s="49"/>
      <x:c r="AT183" s="49"/>
      <x:c r="AU183" s="49"/>
      <x:c r="AV183" s="49"/>
      <x:c r="AW183" s="49"/>
      <x:c r="AX183" s="49"/>
      <x:c r="AY183" s="49"/>
      <x:c r="AZ183" s="49"/>
    </x:row>
    <x:row r="184">
      <x:c r="A184" s="49"/>
      <x:c r="B184" s="49"/>
      <x:c r="C184" s="49"/>
      <x:c r="D184" s="49"/>
      <x:c r="E184" s="49"/>
      <x:c r="F184" s="49"/>
      <x:c r="G184" s="49"/>
      <x:c r="H184" s="49"/>
      <x:c r="I184" s="49"/>
      <x:c r="J184" s="49"/>
      <x:c r="K184" s="49"/>
      <x:c r="L184" s="49"/>
      <x:c r="M184" s="49"/>
      <x:c r="N184" s="49"/>
      <x:c r="O184" s="49"/>
      <x:c r="P184" s="49"/>
      <x:c r="Q184" s="49"/>
      <x:c r="R184" s="49"/>
      <x:c r="S184" s="49"/>
      <x:c r="T184" s="49"/>
      <x:c r="U184" s="49"/>
      <x:c r="V184" s="49"/>
      <x:c r="W184" s="49"/>
      <x:c r="X184" s="49"/>
      <x:c r="Y184" s="49"/>
      <x:c r="Z184" s="49"/>
      <x:c r="AA184" s="49"/>
      <x:c r="AB184" s="49"/>
      <x:c r="AC184" s="49"/>
      <x:c r="AD184" s="49"/>
      <x:c r="AE184" s="49"/>
      <x:c r="AF184" s="49"/>
      <x:c r="AG184" s="49"/>
      <x:c r="AH184" s="49"/>
      <x:c r="AI184" s="49"/>
      <x:c r="AJ184" s="49"/>
      <x:c r="AK184" s="49"/>
      <x:c r="AL184" s="49"/>
      <x:c r="AM184" s="49"/>
      <x:c r="AN184" s="49"/>
      <x:c r="AO184" s="49"/>
      <x:c r="AP184" s="49"/>
      <x:c r="AQ184" s="49"/>
      <x:c r="AR184" s="49"/>
      <x:c r="AS184" s="49"/>
      <x:c r="AT184" s="49"/>
      <x:c r="AU184" s="49"/>
      <x:c r="AV184" s="49"/>
      <x:c r="AW184" s="49"/>
      <x:c r="AX184" s="49"/>
      <x:c r="AY184" s="49"/>
      <x:c r="AZ184" s="49"/>
    </x:row>
    <x:row r="185">
      <x:c r="A185" s="49"/>
      <x:c r="B185" s="49"/>
      <x:c r="C185" s="49"/>
      <x:c r="D185" s="49"/>
      <x:c r="E185" s="49"/>
      <x:c r="F185" s="49"/>
      <x:c r="G185" s="49"/>
      <x:c r="H185" s="49"/>
      <x:c r="I185" s="49"/>
      <x:c r="J185" s="49"/>
      <x:c r="K185" s="49"/>
      <x:c r="L185" s="49"/>
      <x:c r="M185" s="49"/>
      <x:c r="N185" s="49"/>
      <x:c r="O185" s="49"/>
      <x:c r="P185" s="49"/>
      <x:c r="Q185" s="49"/>
      <x:c r="R185" s="49"/>
      <x:c r="S185" s="49"/>
      <x:c r="T185" s="49"/>
      <x:c r="U185" s="49"/>
      <x:c r="V185" s="49"/>
      <x:c r="W185" s="49"/>
      <x:c r="X185" s="49"/>
      <x:c r="Y185" s="49"/>
      <x:c r="Z185" s="49"/>
      <x:c r="AA185" s="49"/>
      <x:c r="AB185" s="49"/>
      <x:c r="AC185" s="49"/>
      <x:c r="AD185" s="49"/>
      <x:c r="AE185" s="49"/>
      <x:c r="AF185" s="49"/>
      <x:c r="AG185" s="49"/>
      <x:c r="AH185" s="49"/>
      <x:c r="AI185" s="49"/>
      <x:c r="AJ185" s="49"/>
      <x:c r="AK185" s="49"/>
      <x:c r="AL185" s="49"/>
      <x:c r="AM185" s="49"/>
      <x:c r="AN185" s="49"/>
      <x:c r="AO185" s="49"/>
      <x:c r="AP185" s="49"/>
      <x:c r="AQ185" s="49"/>
      <x:c r="AR185" s="49"/>
      <x:c r="AS185" s="49"/>
      <x:c r="AT185" s="49"/>
      <x:c r="AU185" s="49"/>
      <x:c r="AV185" s="49"/>
      <x:c r="AW185" s="49"/>
      <x:c r="AX185" s="49"/>
      <x:c r="AY185" s="49"/>
      <x:c r="AZ185" s="49"/>
    </x:row>
    <x:row r="186">
      <x:c r="A186" s="49"/>
      <x:c r="B186" s="49"/>
      <x:c r="C186" s="49"/>
      <x:c r="D186" s="49"/>
      <x:c r="E186" s="49"/>
      <x:c r="F186" s="49"/>
      <x:c r="G186" s="49"/>
      <x:c r="H186" s="49"/>
      <x:c r="I186" s="49"/>
      <x:c r="J186" s="49"/>
      <x:c r="K186" s="49"/>
      <x:c r="L186" s="49"/>
      <x:c r="M186" s="49"/>
      <x:c r="N186" s="49"/>
      <x:c r="O186" s="49"/>
      <x:c r="P186" s="49"/>
      <x:c r="Q186" s="49"/>
      <x:c r="R186" s="49"/>
      <x:c r="S186" s="49"/>
      <x:c r="T186" s="49"/>
      <x:c r="U186" s="49"/>
      <x:c r="V186" s="49"/>
      <x:c r="W186" s="49"/>
      <x:c r="X186" s="49"/>
      <x:c r="Y186" s="49"/>
      <x:c r="Z186" s="49"/>
      <x:c r="AA186" s="49"/>
      <x:c r="AB186" s="49"/>
      <x:c r="AC186" s="49"/>
      <x:c r="AD186" s="49"/>
      <x:c r="AE186" s="49"/>
      <x:c r="AF186" s="49"/>
      <x:c r="AG186" s="49"/>
      <x:c r="AH186" s="49"/>
      <x:c r="AI186" s="49"/>
      <x:c r="AJ186" s="49"/>
      <x:c r="AK186" s="49"/>
      <x:c r="AL186" s="49"/>
      <x:c r="AM186" s="49"/>
      <x:c r="AN186" s="49"/>
      <x:c r="AO186" s="49"/>
      <x:c r="AP186" s="49"/>
      <x:c r="AQ186" s="49"/>
      <x:c r="AR186" s="49"/>
      <x:c r="AS186" s="49"/>
      <x:c r="AT186" s="49"/>
      <x:c r="AU186" s="49"/>
      <x:c r="AV186" s="49"/>
      <x:c r="AW186" s="49"/>
      <x:c r="AX186" s="49"/>
      <x:c r="AY186" s="49"/>
      <x:c r="AZ186" s="49"/>
    </x:row>
    <x:row r="187">
      <x:c r="A187" s="49"/>
      <x:c r="B187" s="49"/>
      <x:c r="C187" s="49"/>
      <x:c r="D187" s="49"/>
      <x:c r="E187" s="49"/>
      <x:c r="F187" s="49"/>
      <x:c r="G187" s="49"/>
      <x:c r="H187" s="49"/>
      <x:c r="I187" s="49"/>
      <x:c r="J187" s="49"/>
      <x:c r="K187" s="49"/>
      <x:c r="L187" s="49"/>
      <x:c r="M187" s="49"/>
      <x:c r="N187" s="49"/>
      <x:c r="O187" s="49"/>
      <x:c r="P187" s="49"/>
      <x:c r="Q187" s="49"/>
      <x:c r="R187" s="49"/>
      <x:c r="S187" s="49"/>
      <x:c r="T187" s="49"/>
      <x:c r="U187" s="49"/>
      <x:c r="V187" s="49"/>
      <x:c r="W187" s="49"/>
      <x:c r="X187" s="49"/>
      <x:c r="Y187" s="49"/>
      <x:c r="Z187" s="49"/>
      <x:c r="AA187" s="49"/>
      <x:c r="AB187" s="49"/>
      <x:c r="AC187" s="49"/>
      <x:c r="AD187" s="49"/>
      <x:c r="AE187" s="49"/>
      <x:c r="AF187" s="49"/>
      <x:c r="AG187" s="49"/>
      <x:c r="AH187" s="49"/>
      <x:c r="AI187" s="49"/>
      <x:c r="AJ187" s="49"/>
      <x:c r="AK187" s="49"/>
      <x:c r="AL187" s="49"/>
      <x:c r="AM187" s="49"/>
      <x:c r="AN187" s="49"/>
      <x:c r="AO187" s="49"/>
      <x:c r="AP187" s="49"/>
      <x:c r="AQ187" s="49"/>
      <x:c r="AR187" s="49"/>
      <x:c r="AS187" s="49"/>
      <x:c r="AT187" s="49"/>
      <x:c r="AU187" s="49"/>
      <x:c r="AV187" s="49"/>
      <x:c r="AW187" s="49"/>
      <x:c r="AX187" s="49"/>
      <x:c r="AY187" s="49"/>
      <x:c r="AZ187" s="49"/>
    </x:row>
    <x:row r="188">
      <x:c r="A188" s="49"/>
      <x:c r="B188" s="49"/>
      <x:c r="C188" s="49"/>
      <x:c r="D188" s="49"/>
      <x:c r="E188" s="49"/>
      <x:c r="F188" s="49"/>
      <x:c r="G188" s="49"/>
      <x:c r="H188" s="49"/>
      <x:c r="I188" s="49"/>
      <x:c r="J188" s="49"/>
      <x:c r="K188" s="49"/>
      <x:c r="L188" s="49"/>
      <x:c r="M188" s="49"/>
      <x:c r="N188" s="49"/>
      <x:c r="O188" s="49"/>
      <x:c r="P188" s="49"/>
      <x:c r="Q188" s="49"/>
      <x:c r="R188" s="49"/>
      <x:c r="S188" s="49"/>
      <x:c r="T188" s="49"/>
      <x:c r="U188" s="49"/>
      <x:c r="V188" s="49"/>
      <x:c r="W188" s="49"/>
      <x:c r="X188" s="49"/>
      <x:c r="Y188" s="49"/>
      <x:c r="Z188" s="49"/>
      <x:c r="AA188" s="49"/>
      <x:c r="AB188" s="49"/>
      <x:c r="AC188" s="49"/>
      <x:c r="AD188" s="49"/>
      <x:c r="AE188" s="49"/>
      <x:c r="AF188" s="49"/>
      <x:c r="AG188" s="49"/>
      <x:c r="AH188" s="49"/>
      <x:c r="AI188" s="49"/>
      <x:c r="AJ188" s="49"/>
      <x:c r="AK188" s="49"/>
      <x:c r="AL188" s="49"/>
      <x:c r="AM188" s="49"/>
      <x:c r="AN188" s="49"/>
      <x:c r="AO188" s="49"/>
      <x:c r="AP188" s="49"/>
      <x:c r="AQ188" s="49"/>
      <x:c r="AR188" s="49"/>
      <x:c r="AS188" s="49"/>
      <x:c r="AT188" s="49"/>
      <x:c r="AU188" s="49"/>
      <x:c r="AV188" s="49"/>
      <x:c r="AW188" s="49"/>
      <x:c r="AX188" s="49"/>
      <x:c r="AY188" s="49"/>
      <x:c r="AZ188" s="49"/>
    </x:row>
    <x:row r="189">
      <x:c r="A189" s="49"/>
      <x:c r="B189" s="49"/>
      <x:c r="C189" s="49"/>
      <x:c r="D189" s="49"/>
      <x:c r="E189" s="49"/>
      <x:c r="F189" s="49"/>
      <x:c r="G189" s="49"/>
      <x:c r="H189" s="49"/>
      <x:c r="I189" s="49"/>
      <x:c r="J189" s="49"/>
      <x:c r="K189" s="49"/>
      <x:c r="L189" s="49"/>
      <x:c r="M189" s="49"/>
      <x:c r="N189" s="49"/>
      <x:c r="O189" s="49"/>
      <x:c r="P189" s="49"/>
      <x:c r="Q189" s="49"/>
      <x:c r="R189" s="49"/>
      <x:c r="S189" s="49"/>
      <x:c r="T189" s="49"/>
      <x:c r="U189" s="49"/>
      <x:c r="V189" s="49"/>
      <x:c r="W189" s="49"/>
      <x:c r="X189" s="49"/>
      <x:c r="Y189" s="49"/>
      <x:c r="Z189" s="49"/>
      <x:c r="AA189" s="49"/>
      <x:c r="AB189" s="49"/>
      <x:c r="AC189" s="49"/>
      <x:c r="AD189" s="49"/>
      <x:c r="AE189" s="49"/>
      <x:c r="AF189" s="49"/>
      <x:c r="AG189" s="49"/>
      <x:c r="AH189" s="49"/>
      <x:c r="AI189" s="49"/>
      <x:c r="AJ189" s="49"/>
      <x:c r="AK189" s="49"/>
      <x:c r="AL189" s="49"/>
      <x:c r="AM189" s="49"/>
      <x:c r="AN189" s="49"/>
      <x:c r="AO189" s="49"/>
      <x:c r="AP189" s="49"/>
      <x:c r="AQ189" s="49"/>
      <x:c r="AR189" s="49"/>
      <x:c r="AS189" s="49"/>
      <x:c r="AT189" s="49"/>
      <x:c r="AU189" s="49"/>
      <x:c r="AV189" s="49"/>
      <x:c r="AW189" s="49"/>
      <x:c r="AX189" s="49"/>
      <x:c r="AY189" s="49"/>
      <x:c r="AZ189" s="49"/>
    </x:row>
    <x:row r="190">
      <x:c r="A190" s="49"/>
      <x:c r="B190" s="49"/>
      <x:c r="C190" s="49"/>
      <x:c r="D190" s="49"/>
      <x:c r="E190" s="49"/>
      <x:c r="F190" s="49"/>
      <x:c r="G190" s="49"/>
      <x:c r="H190" s="49"/>
      <x:c r="I190" s="49"/>
      <x:c r="J190" s="49"/>
      <x:c r="K190" s="49"/>
      <x:c r="L190" s="49"/>
      <x:c r="M190" s="49"/>
      <x:c r="N190" s="49"/>
      <x:c r="O190" s="49"/>
      <x:c r="P190" s="49"/>
      <x:c r="Q190" s="49"/>
      <x:c r="R190" s="49"/>
      <x:c r="S190" s="49"/>
      <x:c r="T190" s="49"/>
      <x:c r="U190" s="49"/>
      <x:c r="V190" s="49"/>
      <x:c r="W190" s="49"/>
      <x:c r="X190" s="49"/>
      <x:c r="Y190" s="49"/>
      <x:c r="Z190" s="49"/>
      <x:c r="AA190" s="49"/>
      <x:c r="AB190" s="49"/>
      <x:c r="AC190" s="49"/>
      <x:c r="AD190" s="49"/>
      <x:c r="AE190" s="49"/>
      <x:c r="AF190" s="49"/>
      <x:c r="AG190" s="49"/>
      <x:c r="AH190" s="49"/>
      <x:c r="AI190" s="49"/>
      <x:c r="AJ190" s="49"/>
      <x:c r="AK190" s="49"/>
      <x:c r="AL190" s="49"/>
      <x:c r="AM190" s="49"/>
      <x:c r="AN190" s="49"/>
      <x:c r="AO190" s="49"/>
      <x:c r="AP190" s="49"/>
      <x:c r="AQ190" s="49"/>
      <x:c r="AR190" s="49"/>
      <x:c r="AS190" s="49"/>
      <x:c r="AT190" s="49"/>
      <x:c r="AU190" s="49"/>
      <x:c r="AV190" s="49"/>
      <x:c r="AW190" s="49"/>
      <x:c r="AX190" s="49"/>
      <x:c r="AY190" s="49"/>
      <x:c r="AZ190" s="49"/>
    </x:row>
    <x:row r="191">
      <x:c r="A191" s="49"/>
      <x:c r="B191" s="49"/>
      <x:c r="C191" s="49"/>
      <x:c r="D191" s="49"/>
      <x:c r="E191" s="49"/>
      <x:c r="F191" s="49"/>
      <x:c r="G191" s="49"/>
      <x:c r="H191" s="49"/>
      <x:c r="I191" s="49"/>
      <x:c r="J191" s="49"/>
      <x:c r="K191" s="49"/>
      <x:c r="L191" s="49"/>
      <x:c r="M191" s="49"/>
      <x:c r="N191" s="49"/>
      <x:c r="O191" s="49"/>
      <x:c r="P191" s="49"/>
      <x:c r="Q191" s="49"/>
      <x:c r="R191" s="49"/>
      <x:c r="S191" s="49"/>
      <x:c r="T191" s="49"/>
      <x:c r="U191" s="49"/>
      <x:c r="V191" s="49"/>
      <x:c r="W191" s="49"/>
      <x:c r="X191" s="49"/>
      <x:c r="Y191" s="49"/>
      <x:c r="Z191" s="49"/>
      <x:c r="AA191" s="49"/>
      <x:c r="AB191" s="49"/>
      <x:c r="AC191" s="49"/>
      <x:c r="AD191" s="49"/>
      <x:c r="AE191" s="49"/>
      <x:c r="AF191" s="49"/>
      <x:c r="AG191" s="49"/>
      <x:c r="AH191" s="49"/>
      <x:c r="AI191" s="49"/>
      <x:c r="AJ191" s="49"/>
      <x:c r="AK191" s="49"/>
      <x:c r="AL191" s="49"/>
      <x:c r="AM191" s="49"/>
      <x:c r="AN191" s="49"/>
      <x:c r="AO191" s="49"/>
      <x:c r="AP191" s="49"/>
      <x:c r="AQ191" s="49"/>
      <x:c r="AR191" s="49"/>
      <x:c r="AS191" s="49"/>
      <x:c r="AT191" s="49"/>
      <x:c r="AU191" s="49"/>
      <x:c r="AV191" s="49"/>
      <x:c r="AW191" s="49"/>
      <x:c r="AX191" s="49"/>
      <x:c r="AY191" s="49"/>
      <x:c r="AZ191" s="49"/>
    </x:row>
    <x:row r="192">
      <x:c r="A192" s="49"/>
      <x:c r="B192" s="49"/>
      <x:c r="C192" s="49"/>
      <x:c r="D192" s="49"/>
      <x:c r="E192" s="49"/>
      <x:c r="F192" s="49"/>
      <x:c r="G192" s="49"/>
      <x:c r="H192" s="49"/>
      <x:c r="I192" s="49"/>
      <x:c r="J192" s="49"/>
      <x:c r="K192" s="49"/>
      <x:c r="L192" s="49"/>
      <x:c r="M192" s="49"/>
      <x:c r="N192" s="49"/>
      <x:c r="O192" s="49"/>
      <x:c r="P192" s="49"/>
      <x:c r="Q192" s="49"/>
      <x:c r="R192" s="49"/>
      <x:c r="S192" s="49"/>
      <x:c r="T192" s="49"/>
      <x:c r="U192" s="49"/>
      <x:c r="V192" s="49"/>
      <x:c r="W192" s="49"/>
      <x:c r="X192" s="49"/>
      <x:c r="Y192" s="49"/>
      <x:c r="Z192" s="49"/>
      <x:c r="AA192" s="49"/>
      <x:c r="AB192" s="49"/>
      <x:c r="AC192" s="49"/>
      <x:c r="AD192" s="49"/>
      <x:c r="AE192" s="49"/>
      <x:c r="AF192" s="49"/>
      <x:c r="AG192" s="49"/>
      <x:c r="AH192" s="49"/>
      <x:c r="AI192" s="49"/>
      <x:c r="AJ192" s="49"/>
      <x:c r="AK192" s="49"/>
      <x:c r="AL192" s="49"/>
      <x:c r="AM192" s="49"/>
      <x:c r="AN192" s="49"/>
      <x:c r="AO192" s="49"/>
      <x:c r="AP192" s="49"/>
      <x:c r="AQ192" s="49"/>
      <x:c r="AR192" s="49"/>
      <x:c r="AS192" s="49"/>
      <x:c r="AT192" s="49"/>
      <x:c r="AU192" s="49"/>
      <x:c r="AV192" s="49"/>
      <x:c r="AW192" s="49"/>
      <x:c r="AX192" s="49"/>
      <x:c r="AY192" s="49"/>
      <x:c r="AZ192" s="49"/>
    </x:row>
    <x:row r="193">
      <x:c r="A193" s="49"/>
      <x:c r="B193" s="49"/>
      <x:c r="C193" s="49"/>
      <x:c r="D193" s="49"/>
      <x:c r="E193" s="49"/>
      <x:c r="F193" s="49"/>
      <x:c r="G193" s="49"/>
      <x:c r="H193" s="49"/>
      <x:c r="I193" s="49"/>
      <x:c r="J193" s="49"/>
      <x:c r="K193" s="49"/>
      <x:c r="L193" s="49"/>
      <x:c r="M193" s="49"/>
      <x:c r="N193" s="49"/>
      <x:c r="O193" s="49"/>
      <x:c r="P193" s="49"/>
      <x:c r="Q193" s="49"/>
      <x:c r="R193" s="49"/>
      <x:c r="S193" s="49"/>
      <x:c r="T193" s="49"/>
      <x:c r="U193" s="49"/>
      <x:c r="V193" s="49"/>
      <x:c r="W193" s="49"/>
      <x:c r="X193" s="49"/>
      <x:c r="Y193" s="49"/>
      <x:c r="Z193" s="49"/>
      <x:c r="AA193" s="49"/>
      <x:c r="AB193" s="49"/>
      <x:c r="AC193" s="49"/>
      <x:c r="AD193" s="49"/>
      <x:c r="AE193" s="49"/>
      <x:c r="AF193" s="49"/>
      <x:c r="AG193" s="49"/>
      <x:c r="AH193" s="49"/>
      <x:c r="AI193" s="49"/>
      <x:c r="AJ193" s="49"/>
      <x:c r="AK193" s="49"/>
      <x:c r="AL193" s="49"/>
      <x:c r="AM193" s="49"/>
      <x:c r="AN193" s="49"/>
      <x:c r="AO193" s="49"/>
      <x:c r="AP193" s="49"/>
      <x:c r="AQ193" s="49"/>
      <x:c r="AR193" s="49"/>
      <x:c r="AS193" s="49"/>
      <x:c r="AT193" s="49"/>
      <x:c r="AU193" s="49"/>
      <x:c r="AV193" s="49"/>
      <x:c r="AW193" s="49"/>
      <x:c r="AX193" s="49"/>
      <x:c r="AY193" s="49"/>
      <x:c r="AZ193" s="49"/>
    </x:row>
    <x:row r="194">
      <x:c r="A194" s="49"/>
      <x:c r="B194" s="49"/>
      <x:c r="C194" s="49"/>
      <x:c r="D194" s="49"/>
      <x:c r="E194" s="49"/>
      <x:c r="F194" s="49"/>
      <x:c r="G194" s="49"/>
      <x:c r="H194" s="49"/>
      <x:c r="I194" s="49"/>
      <x:c r="J194" s="49"/>
      <x:c r="K194" s="49"/>
      <x:c r="L194" s="49"/>
      <x:c r="M194" s="49"/>
      <x:c r="N194" s="49"/>
      <x:c r="O194" s="49"/>
      <x:c r="P194" s="49"/>
      <x:c r="Q194" s="49"/>
      <x:c r="R194" s="49"/>
      <x:c r="S194" s="49"/>
      <x:c r="T194" s="49"/>
      <x:c r="U194" s="49"/>
      <x:c r="V194" s="49"/>
      <x:c r="W194" s="49"/>
      <x:c r="X194" s="49"/>
      <x:c r="Y194" s="49"/>
      <x:c r="Z194" s="49"/>
      <x:c r="AA194" s="49"/>
      <x:c r="AB194" s="49"/>
      <x:c r="AC194" s="49"/>
      <x:c r="AD194" s="49"/>
      <x:c r="AE194" s="49"/>
      <x:c r="AF194" s="49"/>
      <x:c r="AG194" s="49"/>
      <x:c r="AH194" s="49"/>
      <x:c r="AI194" s="49"/>
      <x:c r="AJ194" s="49"/>
      <x:c r="AK194" s="49"/>
      <x:c r="AL194" s="49"/>
      <x:c r="AM194" s="49"/>
      <x:c r="AN194" s="49"/>
      <x:c r="AO194" s="49"/>
      <x:c r="AP194" s="49"/>
      <x:c r="AQ194" s="49"/>
      <x:c r="AR194" s="49"/>
      <x:c r="AS194" s="49"/>
      <x:c r="AT194" s="49"/>
      <x:c r="AU194" s="49"/>
      <x:c r="AV194" s="49"/>
      <x:c r="AW194" s="49"/>
      <x:c r="AX194" s="49"/>
      <x:c r="AY194" s="49"/>
      <x:c r="AZ194" s="49"/>
    </x:row>
    <x:row r="195">
      <x:c r="A195" s="49"/>
      <x:c r="B195" s="49"/>
      <x:c r="C195" s="49"/>
      <x:c r="D195" s="49"/>
      <x:c r="E195" s="49"/>
      <x:c r="F195" s="49"/>
      <x:c r="G195" s="49"/>
      <x:c r="H195" s="49"/>
      <x:c r="I195" s="49"/>
      <x:c r="J195" s="49"/>
      <x:c r="K195" s="49"/>
      <x:c r="L195" s="49"/>
      <x:c r="M195" s="49"/>
      <x:c r="N195" s="49"/>
      <x:c r="O195" s="49"/>
      <x:c r="P195" s="49"/>
      <x:c r="Q195" s="49"/>
      <x:c r="R195" s="49"/>
      <x:c r="S195" s="49"/>
      <x:c r="T195" s="49"/>
      <x:c r="U195" s="49"/>
      <x:c r="V195" s="49"/>
      <x:c r="W195" s="49"/>
      <x:c r="X195" s="49"/>
      <x:c r="Y195" s="49"/>
      <x:c r="Z195" s="49"/>
      <x:c r="AA195" s="49"/>
      <x:c r="AB195" s="49"/>
      <x:c r="AC195" s="49"/>
      <x:c r="AD195" s="49"/>
      <x:c r="AE195" s="49"/>
      <x:c r="AF195" s="49"/>
      <x:c r="AG195" s="49"/>
      <x:c r="AH195" s="49"/>
      <x:c r="AI195" s="49"/>
      <x:c r="AJ195" s="49"/>
      <x:c r="AK195" s="49"/>
      <x:c r="AL195" s="49"/>
      <x:c r="AM195" s="49"/>
      <x:c r="AN195" s="49"/>
      <x:c r="AO195" s="49"/>
      <x:c r="AP195" s="49"/>
      <x:c r="AQ195" s="49"/>
      <x:c r="AR195" s="49"/>
      <x:c r="AS195" s="49"/>
      <x:c r="AT195" s="49"/>
      <x:c r="AU195" s="49"/>
      <x:c r="AV195" s="49"/>
      <x:c r="AW195" s="49"/>
      <x:c r="AX195" s="49"/>
      <x:c r="AY195" s="49"/>
      <x:c r="AZ195" s="49"/>
    </x:row>
    <x:row r="196">
      <x:c r="A196" s="49"/>
      <x:c r="B196" s="49"/>
      <x:c r="C196" s="49"/>
      <x:c r="D196" s="49"/>
      <x:c r="E196" s="49"/>
      <x:c r="F196" s="49"/>
      <x:c r="G196" s="49"/>
      <x:c r="H196" s="49"/>
      <x:c r="I196" s="49"/>
      <x:c r="J196" s="49"/>
      <x:c r="K196" s="49"/>
      <x:c r="L196" s="49"/>
      <x:c r="M196" s="49"/>
      <x:c r="N196" s="49"/>
      <x:c r="O196" s="49"/>
      <x:c r="P196" s="49"/>
      <x:c r="Q196" s="49"/>
      <x:c r="R196" s="49"/>
      <x:c r="S196" s="49"/>
      <x:c r="T196" s="49"/>
      <x:c r="U196" s="49"/>
      <x:c r="V196" s="49"/>
      <x:c r="W196" s="49"/>
      <x:c r="X196" s="49"/>
      <x:c r="Y196" s="49"/>
      <x:c r="Z196" s="49"/>
      <x:c r="AA196" s="49"/>
      <x:c r="AB196" s="49"/>
      <x:c r="AC196" s="49"/>
      <x:c r="AD196" s="49"/>
      <x:c r="AE196" s="49"/>
      <x:c r="AF196" s="49"/>
      <x:c r="AG196" s="49"/>
      <x:c r="AH196" s="49"/>
      <x:c r="AI196" s="49"/>
      <x:c r="AJ196" s="49"/>
      <x:c r="AK196" s="49"/>
      <x:c r="AL196" s="49"/>
      <x:c r="AM196" s="49"/>
      <x:c r="AN196" s="49"/>
      <x:c r="AO196" s="49"/>
      <x:c r="AP196" s="49"/>
      <x:c r="AQ196" s="49"/>
      <x:c r="AR196" s="49"/>
      <x:c r="AS196" s="49"/>
      <x:c r="AT196" s="49"/>
      <x:c r="AU196" s="49"/>
      <x:c r="AV196" s="49"/>
      <x:c r="AW196" s="49"/>
      <x:c r="AX196" s="49"/>
      <x:c r="AY196" s="49"/>
      <x:c r="AZ196" s="49"/>
    </x:row>
    <x:row r="197">
      <x:c r="A197" s="49"/>
      <x:c r="B197" s="49"/>
      <x:c r="C197" s="49"/>
      <x:c r="D197" s="49"/>
      <x:c r="E197" s="49"/>
      <x:c r="F197" s="49"/>
      <x:c r="G197" s="49"/>
      <x:c r="H197" s="49"/>
      <x:c r="I197" s="49"/>
      <x:c r="J197" s="49"/>
      <x:c r="K197" s="49"/>
      <x:c r="L197" s="49"/>
      <x:c r="M197" s="49"/>
      <x:c r="N197" s="49"/>
      <x:c r="O197" s="49"/>
      <x:c r="P197" s="49"/>
      <x:c r="Q197" s="49"/>
      <x:c r="R197" s="49"/>
      <x:c r="S197" s="49"/>
      <x:c r="T197" s="49"/>
      <x:c r="U197" s="49"/>
      <x:c r="V197" s="49"/>
      <x:c r="W197" s="49"/>
      <x:c r="X197" s="49"/>
      <x:c r="Y197" s="49"/>
      <x:c r="Z197" s="49"/>
      <x:c r="AA197" s="49"/>
      <x:c r="AB197" s="49"/>
      <x:c r="AC197" s="49"/>
      <x:c r="AD197" s="49"/>
      <x:c r="AE197" s="49"/>
      <x:c r="AF197" s="49"/>
      <x:c r="AG197" s="49"/>
      <x:c r="AH197" s="49"/>
      <x:c r="AI197" s="49"/>
      <x:c r="AJ197" s="49"/>
      <x:c r="AK197" s="49"/>
      <x:c r="AL197" s="49"/>
      <x:c r="AM197" s="49"/>
      <x:c r="AN197" s="49"/>
      <x:c r="AO197" s="49"/>
      <x:c r="AP197" s="49"/>
      <x:c r="AQ197" s="49"/>
      <x:c r="AR197" s="49"/>
      <x:c r="AS197" s="49"/>
      <x:c r="AT197" s="49"/>
      <x:c r="AU197" s="49"/>
      <x:c r="AV197" s="49"/>
      <x:c r="AW197" s="49"/>
      <x:c r="AX197" s="49"/>
      <x:c r="AY197" s="49"/>
      <x:c r="AZ197" s="49"/>
    </x:row>
    <x:row r="198">
      <x:c r="A198" s="49"/>
      <x:c r="B198" s="49"/>
      <x:c r="C198" s="49"/>
      <x:c r="D198" s="49"/>
      <x:c r="E198" s="49"/>
      <x:c r="F198" s="49"/>
      <x:c r="G198" s="49"/>
      <x:c r="H198" s="49"/>
      <x:c r="I198" s="49"/>
      <x:c r="J198" s="49"/>
      <x:c r="K198" s="49"/>
      <x:c r="L198" s="49"/>
      <x:c r="M198" s="49"/>
      <x:c r="N198" s="49"/>
      <x:c r="O198" s="49"/>
      <x:c r="P198" s="49"/>
      <x:c r="Q198" s="49"/>
      <x:c r="R198" s="49"/>
      <x:c r="S198" s="49"/>
      <x:c r="T198" s="49"/>
      <x:c r="U198" s="49"/>
      <x:c r="V198" s="49"/>
      <x:c r="W198" s="49"/>
      <x:c r="X198" s="49"/>
      <x:c r="Y198" s="49"/>
      <x:c r="Z198" s="49"/>
      <x:c r="AA198" s="49"/>
      <x:c r="AB198" s="49"/>
      <x:c r="AC198" s="49"/>
      <x:c r="AD198" s="49"/>
      <x:c r="AE198" s="49"/>
      <x:c r="AF198" s="49"/>
      <x:c r="AG198" s="49"/>
      <x:c r="AH198" s="49"/>
      <x:c r="AI198" s="49"/>
      <x:c r="AJ198" s="49"/>
      <x:c r="AK198" s="49"/>
      <x:c r="AL198" s="49"/>
      <x:c r="AM198" s="49"/>
      <x:c r="AN198" s="49"/>
      <x:c r="AO198" s="49"/>
      <x:c r="AP198" s="49"/>
      <x:c r="AQ198" s="49"/>
      <x:c r="AR198" s="49"/>
      <x:c r="AS198" s="49"/>
      <x:c r="AT198" s="49"/>
      <x:c r="AU198" s="49"/>
      <x:c r="AV198" s="49"/>
      <x:c r="AW198" s="49"/>
      <x:c r="AX198" s="49"/>
      <x:c r="AY198" s="49"/>
      <x:c r="AZ198" s="49"/>
    </x:row>
    <x:row r="199">
      <x:c r="A199" s="49"/>
      <x:c r="B199" s="49"/>
      <x:c r="C199" s="49"/>
      <x:c r="D199" s="49"/>
      <x:c r="E199" s="49"/>
      <x:c r="F199" s="49"/>
      <x:c r="G199" s="49"/>
      <x:c r="H199" s="49"/>
      <x:c r="I199" s="49"/>
      <x:c r="J199" s="49"/>
      <x:c r="K199" s="49"/>
      <x:c r="L199" s="49"/>
      <x:c r="M199" s="49"/>
      <x:c r="N199" s="49"/>
      <x:c r="O199" s="49"/>
      <x:c r="P199" s="49"/>
      <x:c r="Q199" s="49"/>
      <x:c r="R199" s="49"/>
      <x:c r="S199" s="49"/>
      <x:c r="T199" s="49"/>
      <x:c r="U199" s="49"/>
      <x:c r="V199" s="49"/>
      <x:c r="W199" s="49"/>
      <x:c r="X199" s="49"/>
      <x:c r="Y199" s="49"/>
      <x:c r="Z199" s="49"/>
      <x:c r="AA199" s="49"/>
      <x:c r="AB199" s="49"/>
      <x:c r="AC199" s="49"/>
      <x:c r="AD199" s="49"/>
      <x:c r="AE199" s="49"/>
      <x:c r="AF199" s="49"/>
      <x:c r="AG199" s="49"/>
      <x:c r="AH199" s="49"/>
      <x:c r="AI199" s="49"/>
      <x:c r="AJ199" s="49"/>
      <x:c r="AK199" s="49"/>
      <x:c r="AL199" s="49"/>
      <x:c r="AM199" s="49"/>
      <x:c r="AN199" s="49"/>
      <x:c r="AO199" s="49"/>
      <x:c r="AP199" s="49"/>
      <x:c r="AQ199" s="49"/>
      <x:c r="AR199" s="49"/>
      <x:c r="AS199" s="49"/>
      <x:c r="AT199" s="49"/>
      <x:c r="AU199" s="49"/>
      <x:c r="AV199" s="49"/>
      <x:c r="AW199" s="49"/>
      <x:c r="AX199" s="49"/>
      <x:c r="AY199" s="49"/>
      <x:c r="AZ199" s="49"/>
    </x:row>
    <x:row r="200">
      <x:c r="A200" s="49"/>
      <x:c r="B200" s="49"/>
      <x:c r="C200" s="49"/>
      <x:c r="D200" s="49"/>
      <x:c r="E200" s="49"/>
      <x:c r="F200" s="49"/>
      <x:c r="G200" s="49"/>
      <x:c r="H200" s="49"/>
      <x:c r="I200" s="49"/>
      <x:c r="J200" s="49"/>
      <x:c r="K200" s="49"/>
      <x:c r="L200" s="49"/>
      <x:c r="M200" s="49"/>
      <x:c r="N200" s="49"/>
      <x:c r="O200" s="49"/>
      <x:c r="P200" s="49"/>
      <x:c r="Q200" s="49"/>
      <x:c r="R200" s="49"/>
      <x:c r="S200" s="49"/>
      <x:c r="T200" s="49"/>
      <x:c r="U200" s="49"/>
      <x:c r="V200" s="49"/>
      <x:c r="W200" s="49"/>
      <x:c r="X200" s="49"/>
      <x:c r="Y200" s="49"/>
      <x:c r="Z200" s="49"/>
      <x:c r="AA200" s="49"/>
      <x:c r="AB200" s="49"/>
      <x:c r="AC200" s="49"/>
      <x:c r="AD200" s="49"/>
      <x:c r="AE200" s="49"/>
      <x:c r="AF200" s="49"/>
      <x:c r="AG200" s="49"/>
      <x:c r="AH200" s="49"/>
      <x:c r="AI200" s="49"/>
      <x:c r="AJ200" s="49"/>
      <x:c r="AK200" s="49"/>
      <x:c r="AL200" s="49"/>
      <x:c r="AM200" s="49"/>
      <x:c r="AN200" s="49"/>
      <x:c r="AO200" s="49"/>
      <x:c r="AP200" s="49"/>
      <x:c r="AQ200" s="49"/>
      <x:c r="AR200" s="49"/>
      <x:c r="AS200" s="49"/>
      <x:c r="AT200" s="49"/>
      <x:c r="AU200" s="49"/>
      <x:c r="AV200" s="49"/>
      <x:c r="AW200" s="49"/>
      <x:c r="AX200" s="49"/>
      <x:c r="AY200" s="49"/>
      <x:c r="AZ200" s="49"/>
    </x:row>
  </x:sheetData>
  <x:mergeCells>
    <x:mergeCell ref="A1:L1"/>
    <x:mergeCell ref="A2:L3"/>
    <x:mergeCell ref="A5:D5"/>
    <x:mergeCell ref="A14:D14"/>
    <x:mergeCell ref="F13:I13"/>
    <x:mergeCell ref="A20:D20"/>
    <x:mergeCell ref="A24:L26"/>
  </x:mergeCells>
  <x:dataValidations count="4">
    <x:dataValidation type="list" sqref="B6">
      <x:formula1>"基准,需求上升,成本压力,供应中断,汇率冲击"</x:formula1>
    </x:dataValidation>
    <x:dataValidation type="list" sqref="B7">
      <x:formula1>"最低成本,均衡,韧性优先"</x:formula1>
    </x:dataValidation>
    <x:dataValidation type="list" sqref="B21">
      <x:formula1>"基准,需求 +20%,厂商价格 +10%,项目增长"</x:formula1>
    </x:dataValidation>
    <x:dataValidation type="list" sqref="B22">
      <x:formula1>"精简,当前,缓冲"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11" hidden="0" customWidth="1"/>
    <x:col min="4" max="4" width="21" hidden="0" customWidth="1"/>
    <x:col min="5" max="5" width="11" hidden="0" customWidth="1"/>
    <x:col min="6" max="6" width="9" hidden="0" customWidth="1"/>
    <x:col min="7" max="7" width="10" hidden="0" customWidth="1"/>
    <x:col min="8" max="8" width="13" hidden="0" customWidth="1"/>
    <x:col min="9" max="9" width="15" hidden="0" customWidth="1"/>
    <x:col min="10" max="10" width="12" hidden="0" customWidth="1"/>
    <x:col min="11" max="11" width="11" hidden="0" customWidth="1"/>
    <x:col min="12" max="12" width="14" hidden="0" customWidth="1"/>
    <x:col min="13" max="13" width="14" hidden="0" customWidth="1"/>
    <x:col min="14" max="14" width="14" hidden="0" customWidth="1"/>
    <x:col min="15" max="15" width="16" hidden="0" customWidth="1"/>
    <x:col min="16" max="16" width="14" hidden="0" customWidth="1"/>
    <x:col min="17" max="17" width="14" hidden="0" customWidth="1"/>
    <x:col min="18" max="18" width="18" hidden="0" customWidth="1"/>
    <x:col min="19" max="19" width="12" hidden="0" customWidth="1"/>
    <x:col min="20" max="20" width="12" hidden="0" customWidth="1"/>
  </x:cols>
  <x:sheetData>
    <x:row r="1" ht="28" customHeight="1">
      <x:c r="A1" s="226" t="str">
        <x:v>供应商与报价主数据</x:v>
      </x:c>
      <x:c r="B1" s="132"/>
      <x:c r="C1" s="132"/>
      <x:c r="D1" s="132"/>
      <x:c r="E1" s="132"/>
      <x:c r="F1" s="132"/>
      <x:c r="G1" s="132"/>
      <x:c r="H1" s="132"/>
      <x:c r="I1" s="132"/>
      <x:c r="J1" s="132"/>
      <x:c r="K1" s="132"/>
      <x:c r="L1" s="132"/>
      <x:c r="M1" s="132"/>
      <x:c r="N1" s="132"/>
      <x:c r="O1" s="132"/>
      <x:c r="P1" s="132"/>
      <x:c r="Q1" s="132"/>
      <x:c r="R1" s="132"/>
      <x:c r="S1" s="132"/>
      <x:c r="T1" s="132"/>
      <x:c r="U1" s="49"/>
      <x:c r="V1" s="49"/>
      <x:c r="W1" s="49"/>
      <x:c r="X1" s="49"/>
      <x:c r="Y1" s="49"/>
      <x:c r="Z1" s="49"/>
      <x:c r="AA1" s="49"/>
      <x:c r="AB1" s="49"/>
      <x:c r="AC1" s="49"/>
      <x:c r="AD1" s="49"/>
      <x:c r="AE1" s="49"/>
      <x:c r="AF1" s="49"/>
      <x:c r="AG1" s="49"/>
      <x:c r="AH1" s="49"/>
      <x:c r="AI1" s="49"/>
      <x:c r="AJ1" s="49"/>
      <x:c r="AK1" s="49"/>
      <x:c r="AL1" s="49"/>
      <x:c r="AM1" s="49"/>
      <x:c r="AN1" s="49"/>
      <x:c r="AO1" s="49"/>
      <x:c r="AP1" s="49"/>
      <x:c r="AQ1" s="49"/>
      <x:c r="AR1" s="49"/>
      <x:c r="AS1" s="49"/>
      <x:c r="AT1" s="49"/>
      <x:c r="AU1" s="49"/>
      <x:c r="AV1" s="49"/>
      <x:c r="AW1" s="49"/>
      <x:c r="AX1" s="49"/>
      <x:c r="AY1" s="49"/>
      <x:c r="AZ1" s="49"/>
    </x:row>
    <x:row r="2" ht="22" customHeight="1">
      <x:c r="A2" s="45" t="str">
        <x:v>模拟供应商主数据与模拟报价数据合并表；黄色区域为可编辑基础输入。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9"/>
      <x:c r="V2" s="49"/>
      <x:c r="W2" s="49"/>
      <x:c r="X2" s="49"/>
      <x:c r="Y2" s="49"/>
      <x:c r="Z2" s="49"/>
      <x:c r="AA2" s="49"/>
      <x:c r="AB2" s="49"/>
      <x:c r="AC2" s="49"/>
      <x:c r="AD2" s="49"/>
      <x:c r="AE2" s="49"/>
      <x:c r="AF2" s="49"/>
      <x:c r="AG2" s="49"/>
      <x:c r="AH2" s="49"/>
      <x:c r="AI2" s="49"/>
      <x:c r="AJ2" s="49"/>
      <x:c r="AK2" s="49"/>
      <x:c r="AL2" s="49"/>
      <x:c r="AM2" s="49"/>
      <x:c r="AN2" s="49"/>
      <x:c r="AO2" s="49"/>
      <x:c r="AP2" s="49"/>
      <x:c r="AQ2" s="49"/>
      <x:c r="AR2" s="49"/>
      <x:c r="AS2" s="49"/>
      <x:c r="AT2" s="49"/>
      <x:c r="AU2" s="49"/>
      <x:c r="AV2" s="49"/>
      <x:c r="AW2" s="49"/>
      <x:c r="AX2" s="49"/>
      <x:c r="AY2" s="49"/>
      <x:c r="AZ2" s="49"/>
    </x:row>
    <x:row r="3" ht="22" customHeight="1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9"/>
      <x:c r="V3" s="49"/>
      <x:c r="W3" s="49"/>
      <x:c r="X3" s="49"/>
      <x:c r="Y3" s="49"/>
      <x:c r="Z3" s="49"/>
      <x:c r="AA3" s="49"/>
      <x:c r="AB3" s="49"/>
      <x:c r="AC3" s="49"/>
      <x:c r="AD3" s="49"/>
      <x:c r="AE3" s="49"/>
      <x:c r="AF3" s="49"/>
      <x:c r="AG3" s="49"/>
      <x:c r="AH3" s="49"/>
      <x:c r="AI3" s="49"/>
      <x:c r="AJ3" s="49"/>
      <x:c r="AK3" s="49"/>
      <x:c r="AL3" s="49"/>
      <x:c r="AM3" s="49"/>
      <x:c r="AN3" s="49"/>
      <x:c r="AO3" s="49"/>
      <x:c r="AP3" s="49"/>
      <x:c r="AQ3" s="49"/>
      <x:c r="AR3" s="49"/>
      <x:c r="AS3" s="49"/>
      <x:c r="AT3" s="49"/>
      <x:c r="AU3" s="49"/>
      <x:c r="AV3" s="49"/>
      <x:c r="AW3" s="49"/>
      <x:c r="AX3" s="49"/>
      <x:c r="AY3" s="49"/>
      <x:c r="AZ3" s="49"/>
    </x:row>
    <x:row r="4">
      <x:c r="A4" s="49"/>
      <x:c r="B4" s="49"/>
      <x:c r="C4" s="49"/>
      <x:c r="D4" s="49"/>
      <x:c r="E4" s="49"/>
      <x:c r="F4" s="49"/>
      <x:c r="G4" s="49"/>
      <x:c r="H4" s="49"/>
      <x:c r="I4" s="49"/>
      <x:c r="J4" s="49"/>
      <x:c r="K4" s="49"/>
      <x:c r="L4" s="49"/>
      <x:c r="M4" s="49"/>
      <x:c r="N4" s="49"/>
      <x:c r="O4" s="49"/>
      <x:c r="P4" s="49"/>
      <x:c r="Q4" s="49"/>
      <x:c r="R4" s="49"/>
      <x:c r="S4" s="49"/>
      <x:c r="T4" s="49"/>
      <x:c r="U4" s="49"/>
      <x:c r="V4" s="49"/>
      <x:c r="W4" s="49"/>
      <x:c r="X4" s="49"/>
      <x:c r="Y4" s="49"/>
      <x:c r="Z4" s="49"/>
      <x:c r="AA4" s="49"/>
      <x:c r="AB4" s="49"/>
      <x:c r="AC4" s="49"/>
      <x:c r="AD4" s="49"/>
      <x:c r="AE4" s="49"/>
      <x:c r="AF4" s="49"/>
      <x:c r="AG4" s="49"/>
      <x:c r="AH4" s="49"/>
      <x:c r="AI4" s="49"/>
      <x:c r="AJ4" s="49"/>
      <x:c r="AK4" s="49"/>
      <x:c r="AL4" s="49"/>
      <x:c r="AM4" s="49"/>
      <x:c r="AN4" s="49"/>
      <x:c r="AO4" s="49"/>
      <x:c r="AP4" s="49"/>
      <x:c r="AQ4" s="49"/>
      <x:c r="AR4" s="49"/>
      <x:c r="AS4" s="49"/>
      <x:c r="AT4" s="49"/>
      <x:c r="AU4" s="49"/>
      <x:c r="AV4" s="49"/>
      <x:c r="AW4" s="49"/>
      <x:c r="AX4" s="49"/>
      <x:c r="AY4" s="49"/>
      <x:c r="AZ4" s="49"/>
    </x:row>
    <x:row r="5">
      <x:c r="A5" s="144" t="str">
        <x:v>供应商编号</x:v>
      </x:c>
      <x:c r="B5" s="144" t="str">
        <x:v>供应商名称</x:v>
      </x:c>
      <x:c r="C5" s="144" t="str">
        <x:v>物料编号</x:v>
      </x:c>
      <x:c r="D5" s="144" t="str">
        <x:v>物料名称</x:v>
      </x:c>
      <x:c r="E5" s="144" t="str">
        <x:v>单位</x:v>
      </x:c>
      <x:c r="F5" s="144" t="str">
        <x:v>地区</x:v>
      </x:c>
      <x:c r="G5" s="144" t="str">
        <x:v>币种</x:v>
      </x:c>
      <x:c r="H5" s="144" t="str">
        <x:v>交期(天)</x:v>
      </x:c>
      <x:c r="I5" s="144" t="str">
        <x:v>月产能</x:v>
      </x:c>
      <x:c r="J5" s="144" t="str">
        <x:v>质量 PPM</x:v>
      </x:c>
      <x:c r="K5" s="144" t="str">
        <x:v>准时交付率</x:v>
      </x:c>
      <x:c r="L5" s="144" t="str">
        <x:v>付款账期(天)</x:v>
      </x:c>
      <x:c r="M5" s="144" t="str">
        <x:v>单一来源风险(1-5)</x:v>
      </x:c>
      <x:c r="N5" s="144" t="str">
        <x:v>地缘风险(1-5)</x:v>
      </x:c>
      <x:c r="O5" s="144" t="str">
        <x:v>认证状态</x:v>
      </x:c>
      <x:c r="P5" s="144" t="str">
        <x:v>单价</x:v>
      </x:c>
      <x:c r="Q5" s="144" t="str">
        <x:v>单位运费</x:v>
      </x:c>
      <x:c r="R5" s="144" t="str">
        <x:v>折扣门槛数量</x:v>
      </x:c>
      <x:c r="S5" s="144" t="str">
        <x:v>折扣率</x:v>
      </x:c>
      <x:c r="T5" s="144" t="str">
        <x:v>模拟标记</x:v>
      </x:c>
      <x:c r="U5" s="49"/>
      <x:c r="V5" s="49"/>
      <x:c r="W5" s="49"/>
      <x:c r="X5" s="49"/>
      <x:c r="Y5" s="49"/>
      <x:c r="Z5" s="49"/>
      <x:c r="AA5" s="49"/>
      <x:c r="AB5" s="49"/>
      <x:c r="AC5" s="49"/>
      <x:c r="AD5" s="49"/>
      <x:c r="AE5" s="49"/>
      <x:c r="AF5" s="49"/>
      <x:c r="AG5" s="49"/>
      <x:c r="AH5" s="49"/>
      <x:c r="AI5" s="49"/>
      <x:c r="AJ5" s="49"/>
      <x:c r="AK5" s="49"/>
      <x:c r="AL5" s="49"/>
      <x:c r="AM5" s="49"/>
      <x:c r="AN5" s="49"/>
      <x:c r="AO5" s="49"/>
      <x:c r="AP5" s="49"/>
      <x:c r="AQ5" s="49"/>
      <x:c r="AR5" s="49"/>
      <x:c r="AS5" s="49"/>
      <x:c r="AT5" s="49"/>
      <x:c r="AU5" s="49"/>
      <x:c r="AV5" s="49"/>
      <x:c r="AW5" s="49"/>
      <x:c r="AX5" s="49"/>
      <x:c r="AY5" s="49"/>
      <x:c r="AZ5" s="49"/>
    </x:row>
    <x:row r="6">
      <x:c r="A6" s="49" t="str">
        <x:v>S001</x:v>
      </x:c>
      <x:c r="B6" s="49" t="str">
        <x:v>Supplier_S001_SG</x:v>
      </x:c>
      <x:c r="C6" s="49" t="str">
        <x:v>M001</x:v>
      </x:c>
      <x:c r="D6" s="49" t="str">
        <x:v>硅晶圆</x:v>
      </x:c>
      <x:c r="E6" s="49" t="str">
        <x:v>晶圆片</x:v>
      </x:c>
      <x:c r="F6" s="49" t="str">
        <x:v>SG</x:v>
      </x:c>
      <x:c r="G6" s="49" t="str">
        <x:v>SGD</x:v>
      </x:c>
      <x:c r="H6" s="134" t="n">
        <x:v>43</x:v>
      </x:c>
      <x:c r="I6" s="134" t="n">
        <x:v>2544</x:v>
      </x:c>
      <x:c r="J6" s="134" t="n">
        <x:v>275</x:v>
      </x:c>
      <x:c r="K6" s="164" t="n">
        <x:v>0.9937</x:v>
      </x:c>
      <x:c r="L6" s="134" t="n">
        <x:v>90</x:v>
      </x:c>
      <x:c r="M6" s="134" t="n">
        <x:v>3</x:v>
      </x:c>
      <x:c r="N6" s="134" t="n">
        <x:v>1</x:v>
      </x:c>
      <x:c r="O6" s="134" t="str">
        <x:v>合格</x:v>
      </x:c>
      <x:c r="P6" s="165" t="n">
        <x:v>148.3342</x:v>
      </x:c>
      <x:c r="Q6" s="165" t="n">
        <x:v>1.4743</x:v>
      </x:c>
      <x:c r="R6" s="134" t="n">
        <x:v>2728</x:v>
      </x:c>
      <x:c r="S6" s="164" t="n">
        <x:v>0.0434</x:v>
      </x:c>
      <x:c r="T6" s="166" t="b">
        <x:v>1</x:v>
      </x:c>
      <x:c r="U6" s="49"/>
      <x:c r="V6" s="49"/>
      <x:c r="W6" s="49"/>
      <x:c r="X6" s="49"/>
      <x:c r="Y6" s="49"/>
      <x:c r="Z6" s="49"/>
      <x:c r="AA6" s="49"/>
      <x:c r="AB6" s="49"/>
      <x:c r="AC6" s="49"/>
      <x:c r="AD6" s="49"/>
      <x:c r="AE6" s="49"/>
      <x:c r="AF6" s="49"/>
      <x:c r="AG6" s="49"/>
      <x:c r="AH6" s="49"/>
      <x:c r="AI6" s="49"/>
      <x:c r="AJ6" s="49"/>
      <x:c r="AK6" s="49"/>
      <x:c r="AL6" s="49"/>
      <x:c r="AM6" s="49"/>
      <x:c r="AN6" s="49"/>
      <x:c r="AO6" s="49"/>
      <x:c r="AP6" s="49"/>
      <x:c r="AQ6" s="49"/>
      <x:c r="AR6" s="49"/>
      <x:c r="AS6" s="49"/>
      <x:c r="AT6" s="49"/>
      <x:c r="AU6" s="49"/>
      <x:c r="AV6" s="49"/>
      <x:c r="AW6" s="49"/>
      <x:c r="AX6" s="49"/>
      <x:c r="AY6" s="49"/>
      <x:c r="AZ6" s="49"/>
    </x:row>
    <x:row r="7">
      <x:c r="A7" s="49" t="str">
        <x:v>S002</x:v>
      </x:c>
      <x:c r="B7" s="49" t="str">
        <x:v>Supplier_S002_DE</x:v>
      </x:c>
      <x:c r="C7" s="49" t="str">
        <x:v>M001</x:v>
      </x:c>
      <x:c r="D7" s="49" t="str">
        <x:v>硅晶圆</x:v>
      </x:c>
      <x:c r="E7" s="49" t="str">
        <x:v>晶圆片</x:v>
      </x:c>
      <x:c r="F7" s="49" t="str">
        <x:v>DE</x:v>
      </x:c>
      <x:c r="G7" s="49" t="str">
        <x:v>EUR</x:v>
      </x:c>
      <x:c r="H7" s="134" t="n">
        <x:v>41</x:v>
      </x:c>
      <x:c r="I7" s="134" t="n">
        <x:v>2645</x:v>
      </x:c>
      <x:c r="J7" s="134" t="n">
        <x:v>179</x:v>
      </x:c>
      <x:c r="K7" s="164" t="n">
        <x:v>0.9525</x:v>
      </x:c>
      <x:c r="L7" s="134" t="n">
        <x:v>45</x:v>
      </x:c>
      <x:c r="M7" s="134" t="n">
        <x:v>1</x:v>
      </x:c>
      <x:c r="N7" s="134" t="n">
        <x:v>2</x:v>
      </x:c>
      <x:c r="O7" s="134" t="str">
        <x:v>有条件</x:v>
      </x:c>
      <x:c r="P7" s="165" t="n">
        <x:v>112.1083</x:v>
      </x:c>
      <x:c r="Q7" s="165" t="n">
        <x:v>1.6138</x:v>
      </x:c>
      <x:c r="R7" s="134" t="n">
        <x:v>4047</x:v>
      </x:c>
      <x:c r="S7" s="164" t="n">
        <x:v>0.0379</x:v>
      </x:c>
      <x:c r="T7" s="166" t="b">
        <x:v>1</x:v>
      </x:c>
      <x:c r="U7" s="49"/>
      <x:c r="V7" s="49"/>
      <x:c r="W7" s="49"/>
      <x:c r="X7" s="49"/>
      <x:c r="Y7" s="49"/>
      <x:c r="Z7" s="49"/>
      <x:c r="AA7" s="49"/>
      <x:c r="AB7" s="49"/>
      <x:c r="AC7" s="49"/>
      <x:c r="AD7" s="49"/>
      <x:c r="AE7" s="49"/>
      <x:c r="AF7" s="49"/>
      <x:c r="AG7" s="49"/>
      <x:c r="AH7" s="49"/>
      <x:c r="AI7" s="49"/>
      <x:c r="AJ7" s="49"/>
      <x:c r="AK7" s="49"/>
      <x:c r="AL7" s="49"/>
      <x:c r="AM7" s="49"/>
      <x:c r="AN7" s="49"/>
      <x:c r="AO7" s="49"/>
      <x:c r="AP7" s="49"/>
      <x:c r="AQ7" s="49"/>
      <x:c r="AR7" s="49"/>
      <x:c r="AS7" s="49"/>
      <x:c r="AT7" s="49"/>
      <x:c r="AU7" s="49"/>
      <x:c r="AV7" s="49"/>
      <x:c r="AW7" s="49"/>
      <x:c r="AX7" s="49"/>
      <x:c r="AY7" s="49"/>
      <x:c r="AZ7" s="49"/>
    </x:row>
    <x:row r="8">
      <x:c r="A8" s="49" t="str">
        <x:v>S003</x:v>
      </x:c>
      <x:c r="B8" s="49" t="str">
        <x:v>Supplier_S003_CN</x:v>
      </x:c>
      <x:c r="C8" s="49" t="str">
        <x:v>M001</x:v>
      </x:c>
      <x:c r="D8" s="49" t="str">
        <x:v>硅晶圆</x:v>
      </x:c>
      <x:c r="E8" s="49" t="str">
        <x:v>晶圆片</x:v>
      </x:c>
      <x:c r="F8" s="49" t="str">
        <x:v>CN</x:v>
      </x:c>
      <x:c r="G8" s="49" t="str">
        <x:v>CNY</x:v>
      </x:c>
      <x:c r="H8" s="134" t="n">
        <x:v>56</x:v>
      </x:c>
      <x:c r="I8" s="134" t="n">
        <x:v>3588</x:v>
      </x:c>
      <x:c r="J8" s="134" t="n">
        <x:v>318</x:v>
      </x:c>
      <x:c r="K8" s="164" t="n">
        <x:v>0.9234</x:v>
      </x:c>
      <x:c r="L8" s="134" t="n">
        <x:v>90</x:v>
      </x:c>
      <x:c r="M8" s="134" t="n">
        <x:v>5</x:v>
      </x:c>
      <x:c r="N8" s="134" t="n">
        <x:v>1</x:v>
      </x:c>
      <x:c r="O8" s="134" t="str">
        <x:v>合格</x:v>
      </x:c>
      <x:c r="P8" s="165" t="n">
        <x:v>723.2894</x:v>
      </x:c>
      <x:c r="Q8" s="165" t="n">
        <x:v>10.5457</x:v>
      </x:c>
      <x:c r="R8" s="134" t="n">
        <x:v>2925</x:v>
      </x:c>
      <x:c r="S8" s="164" t="n">
        <x:v>0.015</x:v>
      </x:c>
      <x:c r="T8" s="166" t="b">
        <x:v>1</x:v>
      </x:c>
      <x:c r="U8" s="49"/>
      <x:c r="V8" s="49"/>
      <x:c r="W8" s="49"/>
      <x:c r="X8" s="49"/>
      <x:c r="Y8" s="49"/>
      <x:c r="Z8" s="49"/>
      <x:c r="AA8" s="49"/>
      <x:c r="AB8" s="49"/>
      <x:c r="AC8" s="49"/>
      <x:c r="AD8" s="49"/>
      <x:c r="AE8" s="49"/>
      <x:c r="AF8" s="49"/>
      <x:c r="AG8" s="49"/>
      <x:c r="AH8" s="49"/>
      <x:c r="AI8" s="49"/>
      <x:c r="AJ8" s="49"/>
      <x:c r="AK8" s="49"/>
      <x:c r="AL8" s="49"/>
      <x:c r="AM8" s="49"/>
      <x:c r="AN8" s="49"/>
      <x:c r="AO8" s="49"/>
      <x:c r="AP8" s="49"/>
      <x:c r="AQ8" s="49"/>
      <x:c r="AR8" s="49"/>
      <x:c r="AS8" s="49"/>
      <x:c r="AT8" s="49"/>
      <x:c r="AU8" s="49"/>
      <x:c r="AV8" s="49"/>
      <x:c r="AW8" s="49"/>
      <x:c r="AX8" s="49"/>
      <x:c r="AY8" s="49"/>
      <x:c r="AZ8" s="49"/>
    </x:row>
    <x:row r="9">
      <x:c r="A9" s="49" t="str">
        <x:v>S004</x:v>
      </x:c>
      <x:c r="B9" s="49" t="str">
        <x:v>Supplier_S004_CN</x:v>
      </x:c>
      <x:c r="C9" s="49" t="str">
        <x:v>M002</x:v>
      </x:c>
      <x:c r="D9" s="49" t="str">
        <x:v>光刻胶</x:v>
      </x:c>
      <x:c r="E9" s="49" t="str">
        <x:v>升</x:v>
      </x:c>
      <x:c r="F9" s="49" t="str">
        <x:v>CN</x:v>
      </x:c>
      <x:c r="G9" s="49" t="str">
        <x:v>CNY</x:v>
      </x:c>
      <x:c r="H9" s="134" t="n">
        <x:v>59</x:v>
      </x:c>
      <x:c r="I9" s="134" t="n">
        <x:v>2699</x:v>
      </x:c>
      <x:c r="J9" s="134" t="n">
        <x:v>174</x:v>
      </x:c>
      <x:c r="K9" s="164" t="n">
        <x:v>0.9801</x:v>
      </x:c>
      <x:c r="L9" s="134" t="n">
        <x:v>60</x:v>
      </x:c>
      <x:c r="M9" s="134" t="n">
        <x:v>2</x:v>
      </x:c>
      <x:c r="N9" s="134" t="n">
        <x:v>1</x:v>
      </x:c>
      <x:c r="O9" s="134" t="str">
        <x:v>合格</x:v>
      </x:c>
      <x:c r="P9" s="165" t="n">
        <x:v>383.4254</x:v>
      </x:c>
      <x:c r="Q9" s="165" t="n">
        <x:v>6.2609</x:v>
      </x:c>
      <x:c r="R9" s="134" t="n">
        <x:v>2978</x:v>
      </x:c>
      <x:c r="S9" s="164" t="n">
        <x:v>0.0215</x:v>
      </x:c>
      <x:c r="T9" s="166" t="b">
        <x:v>1</x:v>
      </x:c>
      <x:c r="U9" s="49"/>
      <x:c r="V9" s="49"/>
      <x:c r="W9" s="49"/>
      <x:c r="X9" s="49"/>
      <x:c r="Y9" s="49"/>
      <x:c r="Z9" s="49"/>
      <x:c r="AA9" s="49"/>
      <x:c r="AB9" s="49"/>
      <x:c r="AC9" s="49"/>
      <x:c r="AD9" s="49"/>
      <x:c r="AE9" s="49"/>
      <x:c r="AF9" s="49"/>
      <x:c r="AG9" s="49"/>
      <x:c r="AH9" s="49"/>
      <x:c r="AI9" s="49"/>
      <x:c r="AJ9" s="49"/>
      <x:c r="AK9" s="49"/>
      <x:c r="AL9" s="49"/>
      <x:c r="AM9" s="49"/>
      <x:c r="AN9" s="49"/>
      <x:c r="AO9" s="49"/>
      <x:c r="AP9" s="49"/>
      <x:c r="AQ9" s="49"/>
      <x:c r="AR9" s="49"/>
      <x:c r="AS9" s="49"/>
      <x:c r="AT9" s="49"/>
      <x:c r="AU9" s="49"/>
      <x:c r="AV9" s="49"/>
      <x:c r="AW9" s="49"/>
      <x:c r="AX9" s="49"/>
      <x:c r="AY9" s="49"/>
      <x:c r="AZ9" s="49"/>
    </x:row>
    <x:row r="10">
      <x:c r="A10" s="49" t="str">
        <x:v>S005</x:v>
      </x:c>
      <x:c r="B10" s="49" t="str">
        <x:v>Supplier_S005_JP</x:v>
      </x:c>
      <x:c r="C10" s="49" t="str">
        <x:v>M002</x:v>
      </x:c>
      <x:c r="D10" s="49" t="str">
        <x:v>光刻胶</x:v>
      </x:c>
      <x:c r="E10" s="49" t="str">
        <x:v>升</x:v>
      </x:c>
      <x:c r="F10" s="49" t="str">
        <x:v>JP</x:v>
      </x:c>
      <x:c r="G10" s="49" t="str">
        <x:v>JPY</x:v>
      </x:c>
      <x:c r="H10" s="134" t="n">
        <x:v>40</x:v>
      </x:c>
      <x:c r="I10" s="134" t="n">
        <x:v>2131</x:v>
      </x:c>
      <x:c r="J10" s="134" t="n">
        <x:v>296</x:v>
      </x:c>
      <x:c r="K10" s="164" t="n">
        <x:v>0.901</x:v>
      </x:c>
      <x:c r="L10" s="134" t="n">
        <x:v>90</x:v>
      </x:c>
      <x:c r="M10" s="134" t="n">
        <x:v>5</x:v>
      </x:c>
      <x:c r="N10" s="134" t="n">
        <x:v>3</x:v>
      </x:c>
      <x:c r="O10" s="134" t="str">
        <x:v>有条件</x:v>
      </x:c>
      <x:c r="P10" s="165" t="n">
        <x:v>9144.7791</x:v>
      </x:c>
      <x:c r="Q10" s="165" t="n">
        <x:v>123.9712</x:v>
      </x:c>
      <x:c r="R10" s="134" t="n">
        <x:v>2732</x:v>
      </x:c>
      <x:c r="S10" s="164" t="n">
        <x:v>0.0531</x:v>
      </x:c>
      <x:c r="T10" s="166" t="b">
        <x:v>1</x:v>
      </x:c>
      <x:c r="U10" s="49"/>
      <x:c r="V10" s="49"/>
      <x:c r="W10" s="49"/>
      <x:c r="X10" s="49"/>
      <x:c r="Y10" s="49"/>
      <x:c r="Z10" s="49"/>
      <x:c r="AA10" s="49"/>
      <x:c r="AB10" s="49"/>
      <x:c r="AC10" s="49"/>
      <x:c r="AD10" s="49"/>
      <x:c r="AE10" s="49"/>
      <x:c r="AF10" s="49"/>
      <x:c r="AG10" s="49"/>
      <x:c r="AH10" s="49"/>
      <x:c r="AI10" s="49"/>
      <x:c r="AJ10" s="49"/>
      <x:c r="AK10" s="49"/>
      <x:c r="AL10" s="49"/>
      <x:c r="AM10" s="49"/>
      <x:c r="AN10" s="49"/>
      <x:c r="AO10" s="49"/>
      <x:c r="AP10" s="49"/>
      <x:c r="AQ10" s="49"/>
      <x:c r="AR10" s="49"/>
      <x:c r="AS10" s="49"/>
      <x:c r="AT10" s="49"/>
      <x:c r="AU10" s="49"/>
      <x:c r="AV10" s="49"/>
      <x:c r="AW10" s="49"/>
      <x:c r="AX10" s="49"/>
      <x:c r="AY10" s="49"/>
      <x:c r="AZ10" s="49"/>
    </x:row>
    <x:row r="11">
      <x:c r="A11" s="49" t="str">
        <x:v>S006</x:v>
      </x:c>
      <x:c r="B11" s="49" t="str">
        <x:v>Supplier_S006_KR</x:v>
      </x:c>
      <x:c r="C11" s="49" t="str">
        <x:v>M002</x:v>
      </x:c>
      <x:c r="D11" s="49" t="str">
        <x:v>光刻胶</x:v>
      </x:c>
      <x:c r="E11" s="49" t="str">
        <x:v>升</x:v>
      </x:c>
      <x:c r="F11" s="49" t="str">
        <x:v>KR</x:v>
      </x:c>
      <x:c r="G11" s="49" t="str">
        <x:v>KRW</x:v>
      </x:c>
      <x:c r="H11" s="134" t="n">
        <x:v>51</x:v>
      </x:c>
      <x:c r="I11" s="134" t="n">
        <x:v>2857</x:v>
      </x:c>
      <x:c r="J11" s="134" t="n">
        <x:v>99</x:v>
      </x:c>
      <x:c r="K11" s="164" t="n">
        <x:v>0.8874</x:v>
      </x:c>
      <x:c r="L11" s="134" t="n">
        <x:v>30</x:v>
      </x:c>
      <x:c r="M11" s="134" t="n">
        <x:v>4</x:v>
      </x:c>
      <x:c r="N11" s="134" t="n">
        <x:v>3</x:v>
      </x:c>
      <x:c r="O11" s="134" t="str">
        <x:v>合格</x:v>
      </x:c>
      <x:c r="P11" s="165" t="n">
        <x:v>78266.9554</x:v>
      </x:c>
      <x:c r="Q11" s="165" t="n">
        <x:v>1038.6997</x:v>
      </x:c>
      <x:c r="R11" s="134" t="n">
        <x:v>2705</x:v>
      </x:c>
      <x:c r="S11" s="164" t="n">
        <x:v>0.0461</x:v>
      </x:c>
      <x:c r="T11" s="166" t="b">
        <x:v>1</x:v>
      </x:c>
      <x:c r="U11" s="49"/>
      <x:c r="V11" s="49"/>
      <x:c r="W11" s="49"/>
      <x:c r="X11" s="49"/>
      <x:c r="Y11" s="49"/>
      <x:c r="Z11" s="49"/>
      <x:c r="AA11" s="49"/>
      <x:c r="AB11" s="49"/>
      <x:c r="AC11" s="49"/>
      <x:c r="AD11" s="49"/>
      <x:c r="AE11" s="49"/>
      <x:c r="AF11" s="49"/>
      <x:c r="AG11" s="49"/>
      <x:c r="AH11" s="49"/>
      <x:c r="AI11" s="49"/>
      <x:c r="AJ11" s="49"/>
      <x:c r="AK11" s="49"/>
      <x:c r="AL11" s="49"/>
      <x:c r="AM11" s="49"/>
      <x:c r="AN11" s="49"/>
      <x:c r="AO11" s="49"/>
      <x:c r="AP11" s="49"/>
      <x:c r="AQ11" s="49"/>
      <x:c r="AR11" s="49"/>
      <x:c r="AS11" s="49"/>
      <x:c r="AT11" s="49"/>
      <x:c r="AU11" s="49"/>
      <x:c r="AV11" s="49"/>
      <x:c r="AW11" s="49"/>
      <x:c r="AX11" s="49"/>
      <x:c r="AY11" s="49"/>
      <x:c r="AZ11" s="49"/>
    </x:row>
    <x:row r="12">
      <x:c r="A12" s="49" t="str">
        <x:v>S007</x:v>
      </x:c>
      <x:c r="B12" s="49" t="str">
        <x:v>Supplier_S007_KR</x:v>
      </x:c>
      <x:c r="C12" s="49" t="str">
        <x:v>M003</x:v>
      </x:c>
      <x:c r="D12" s="49" t="str">
        <x:v>工艺气体</x:v>
      </x:c>
      <x:c r="E12" s="49" t="str">
        <x:v>瓶</x:v>
      </x:c>
      <x:c r="F12" s="49" t="str">
        <x:v>KR</x:v>
      </x:c>
      <x:c r="G12" s="49" t="str">
        <x:v>KRW</x:v>
      </x:c>
      <x:c r="H12" s="134" t="n">
        <x:v>62</x:v>
      </x:c>
      <x:c r="I12" s="134" t="n">
        <x:v>683</x:v>
      </x:c>
      <x:c r="J12" s="134" t="n">
        <x:v>158</x:v>
      </x:c>
      <x:c r="K12" s="164" t="n">
        <x:v>0.9057</x:v>
      </x:c>
      <x:c r="L12" s="134" t="n">
        <x:v>60</x:v>
      </x:c>
      <x:c r="M12" s="134" t="n">
        <x:v>5</x:v>
      </x:c>
      <x:c r="N12" s="134" t="n">
        <x:v>2</x:v>
      </x:c>
      <x:c r="O12" s="134" t="str">
        <x:v>合格</x:v>
      </x:c>
      <x:c r="P12" s="165" t="n">
        <x:v>104545.4844</x:v>
      </x:c>
      <x:c r="Q12" s="165" t="n">
        <x:v>2544.2867</x:v>
      </x:c>
      <x:c r="R12" s="134" t="n">
        <x:v>528</x:v>
      </x:c>
      <x:c r="S12" s="164" t="n">
        <x:v>0.0489</x:v>
      </x:c>
      <x:c r="T12" s="166" t="b">
        <x:v>1</x:v>
      </x:c>
      <x:c r="U12" s="49"/>
      <x:c r="V12" s="49"/>
      <x:c r="W12" s="49"/>
      <x:c r="X12" s="49"/>
      <x:c r="Y12" s="49"/>
      <x:c r="Z12" s="49"/>
      <x:c r="AA12" s="49"/>
      <x:c r="AB12" s="49"/>
      <x:c r="AC12" s="49"/>
      <x:c r="AD12" s="49"/>
      <x:c r="AE12" s="49"/>
      <x:c r="AF12" s="49"/>
      <x:c r="AG12" s="49"/>
      <x:c r="AH12" s="49"/>
      <x:c r="AI12" s="49"/>
      <x:c r="AJ12" s="49"/>
      <x:c r="AK12" s="49"/>
      <x:c r="AL12" s="49"/>
      <x:c r="AM12" s="49"/>
      <x:c r="AN12" s="49"/>
      <x:c r="AO12" s="49"/>
      <x:c r="AP12" s="49"/>
      <x:c r="AQ12" s="49"/>
      <x:c r="AR12" s="49"/>
      <x:c r="AS12" s="49"/>
      <x:c r="AT12" s="49"/>
      <x:c r="AU12" s="49"/>
      <x:c r="AV12" s="49"/>
      <x:c r="AW12" s="49"/>
      <x:c r="AX12" s="49"/>
      <x:c r="AY12" s="49"/>
      <x:c r="AZ12" s="49"/>
    </x:row>
    <x:row r="13">
      <x:c r="A13" s="49" t="str">
        <x:v>S008</x:v>
      </x:c>
      <x:c r="B13" s="49" t="str">
        <x:v>Supplier_S008_US</x:v>
      </x:c>
      <x:c r="C13" s="49" t="str">
        <x:v>M003</x:v>
      </x:c>
      <x:c r="D13" s="49" t="str">
        <x:v>工艺气体</x:v>
      </x:c>
      <x:c r="E13" s="49" t="str">
        <x:v>瓶</x:v>
      </x:c>
      <x:c r="F13" s="49" t="str">
        <x:v>US</x:v>
      </x:c>
      <x:c r="G13" s="49" t="str">
        <x:v>USD</x:v>
      </x:c>
      <x:c r="H13" s="134" t="n">
        <x:v>68</x:v>
      </x:c>
      <x:c r="I13" s="134" t="n">
        <x:v>611</x:v>
      </x:c>
      <x:c r="J13" s="134" t="n">
        <x:v>160</x:v>
      </x:c>
      <x:c r="K13" s="164" t="n">
        <x:v>0.8971</x:v>
      </x:c>
      <x:c r="L13" s="134" t="n">
        <x:v>30</x:v>
      </x:c>
      <x:c r="M13" s="134" t="n">
        <x:v>2</x:v>
      </x:c>
      <x:c r="N13" s="134" t="n">
        <x:v>3</x:v>
      </x:c>
      <x:c r="O13" s="134" t="str">
        <x:v>有条件</x:v>
      </x:c>
      <x:c r="P13" s="165" t="n">
        <x:v>72.237</x:v>
      </x:c>
      <x:c r="Q13" s="165" t="n">
        <x:v>1.4064</x:v>
      </x:c>
      <x:c r="R13" s="134" t="n">
        <x:v>916</x:v>
      </x:c>
      <x:c r="S13" s="164" t="n">
        <x:v>0.0168</x:v>
      </x:c>
      <x:c r="T13" s="166" t="b">
        <x:v>1</x:v>
      </x:c>
      <x:c r="U13" s="49"/>
      <x:c r="V13" s="49"/>
      <x:c r="W13" s="49"/>
      <x:c r="X13" s="49"/>
      <x:c r="Y13" s="49"/>
      <x:c r="Z13" s="49"/>
      <x:c r="AA13" s="49"/>
      <x:c r="AB13" s="49"/>
      <x:c r="AC13" s="49"/>
      <x:c r="AD13" s="49"/>
      <x:c r="AE13" s="49"/>
      <x:c r="AF13" s="49"/>
      <x:c r="AG13" s="49"/>
      <x:c r="AH13" s="49"/>
      <x:c r="AI13" s="49"/>
      <x:c r="AJ13" s="49"/>
      <x:c r="AK13" s="49"/>
      <x:c r="AL13" s="49"/>
      <x:c r="AM13" s="49"/>
      <x:c r="AN13" s="49"/>
      <x:c r="AO13" s="49"/>
      <x:c r="AP13" s="49"/>
      <x:c r="AQ13" s="49"/>
      <x:c r="AR13" s="49"/>
      <x:c r="AS13" s="49"/>
      <x:c r="AT13" s="49"/>
      <x:c r="AU13" s="49"/>
      <x:c r="AV13" s="49"/>
      <x:c r="AW13" s="49"/>
      <x:c r="AX13" s="49"/>
      <x:c r="AY13" s="49"/>
      <x:c r="AZ13" s="49"/>
    </x:row>
    <x:row r="14">
      <x:c r="A14" s="49" t="str">
        <x:v>S009</x:v>
      </x:c>
      <x:c r="B14" s="49" t="str">
        <x:v>Supplier_S009_CN</x:v>
      </x:c>
      <x:c r="C14" s="49" t="str">
        <x:v>M003</x:v>
      </x:c>
      <x:c r="D14" s="49" t="str">
        <x:v>工艺气体</x:v>
      </x:c>
      <x:c r="E14" s="49" t="str">
        <x:v>瓶</x:v>
      </x:c>
      <x:c r="F14" s="49" t="str">
        <x:v>CN</x:v>
      </x:c>
      <x:c r="G14" s="49" t="str">
        <x:v>CNY</x:v>
      </x:c>
      <x:c r="H14" s="134" t="n">
        <x:v>56</x:v>
      </x:c>
      <x:c r="I14" s="134" t="n">
        <x:v>752</x:v>
      </x:c>
      <x:c r="J14" s="134" t="n">
        <x:v>131</x:v>
      </x:c>
      <x:c r="K14" s="164" t="n">
        <x:v>0.8836</x:v>
      </x:c>
      <x:c r="L14" s="134" t="n">
        <x:v>60</x:v>
      </x:c>
      <x:c r="M14" s="134" t="n">
        <x:v>2</x:v>
      </x:c>
      <x:c r="N14" s="134" t="n">
        <x:v>1</x:v>
      </x:c>
      <x:c r="O14" s="134" t="str">
        <x:v>合格</x:v>
      </x:c>
      <x:c r="P14" s="165" t="n">
        <x:v>541.4398</x:v>
      </x:c>
      <x:c r="Q14" s="165" t="n">
        <x:v>8.3427</x:v>
      </x:c>
      <x:c r="R14" s="134" t="n">
        <x:v>399</x:v>
      </x:c>
      <x:c r="S14" s="164" t="n">
        <x:v>0.0289</x:v>
      </x:c>
      <x:c r="T14" s="166" t="b">
        <x:v>1</x:v>
      </x:c>
      <x:c r="U14" s="49"/>
      <x:c r="V14" s="49"/>
      <x:c r="W14" s="49"/>
      <x:c r="X14" s="49"/>
      <x:c r="Y14" s="49"/>
      <x:c r="Z14" s="49"/>
      <x:c r="AA14" s="49"/>
      <x:c r="AB14" s="49"/>
      <x:c r="AC14" s="49"/>
      <x:c r="AD14" s="49"/>
      <x:c r="AE14" s="49"/>
      <x:c r="AF14" s="49"/>
      <x:c r="AG14" s="49"/>
      <x:c r="AH14" s="49"/>
      <x:c r="AI14" s="49"/>
      <x:c r="AJ14" s="49"/>
      <x:c r="AK14" s="49"/>
      <x:c r="AL14" s="49"/>
      <x:c r="AM14" s="49"/>
      <x:c r="AN14" s="49"/>
      <x:c r="AO14" s="49"/>
      <x:c r="AP14" s="49"/>
      <x:c r="AQ14" s="49"/>
      <x:c r="AR14" s="49"/>
      <x:c r="AS14" s="49"/>
      <x:c r="AT14" s="49"/>
      <x:c r="AU14" s="49"/>
      <x:c r="AV14" s="49"/>
      <x:c r="AW14" s="49"/>
      <x:c r="AX14" s="49"/>
      <x:c r="AY14" s="49"/>
      <x:c r="AZ14" s="49"/>
    </x:row>
    <x:row r="15">
      <x:c r="A15" s="49" t="str">
        <x:v>S010</x:v>
      </x:c>
      <x:c r="B15" s="49" t="str">
        <x:v>Supplier_S010_JP</x:v>
      </x:c>
      <x:c r="C15" s="49" t="str">
        <x:v>M004</x:v>
      </x:c>
      <x:c r="D15" s="49" t="str">
        <x:v>CMP抛光液</x:v>
      </x:c>
      <x:c r="E15" s="49" t="str">
        <x:v>升</x:v>
      </x:c>
      <x:c r="F15" s="49" t="str">
        <x:v>JP</x:v>
      </x:c>
      <x:c r="G15" s="49" t="str">
        <x:v>JPY</x:v>
      </x:c>
      <x:c r="H15" s="134" t="n">
        <x:v>38</x:v>
      </x:c>
      <x:c r="I15" s="134" t="n">
        <x:v>4552</x:v>
      </x:c>
      <x:c r="J15" s="134" t="n">
        <x:v>188</x:v>
      </x:c>
      <x:c r="K15" s="164" t="n">
        <x:v>0.9183</x:v>
      </x:c>
      <x:c r="L15" s="134" t="n">
        <x:v>60</x:v>
      </x:c>
      <x:c r="M15" s="134" t="n">
        <x:v>3</x:v>
      </x:c>
      <x:c r="N15" s="134" t="n">
        <x:v>2</x:v>
      </x:c>
      <x:c r="O15" s="134" t="str">
        <x:v>合格</x:v>
      </x:c>
      <x:c r="P15" s="165" t="n">
        <x:v>2410.8664</x:v>
      </x:c>
      <x:c r="Q15" s="165" t="n">
        <x:v>54.0535</x:v>
      </x:c>
      <x:c r="R15" s="134" t="n">
        <x:v>3711</x:v>
      </x:c>
      <x:c r="S15" s="164" t="n">
        <x:v>0.0565</x:v>
      </x:c>
      <x:c r="T15" s="166" t="b">
        <x:v>1</x:v>
      </x:c>
      <x:c r="U15" s="49"/>
      <x:c r="V15" s="49"/>
      <x:c r="W15" s="49"/>
      <x:c r="X15" s="49"/>
      <x:c r="Y15" s="49"/>
      <x:c r="Z15" s="49"/>
      <x:c r="AA15" s="49"/>
      <x:c r="AB15" s="49"/>
      <x:c r="AC15" s="49"/>
      <x:c r="AD15" s="49"/>
      <x:c r="AE15" s="49"/>
      <x:c r="AF15" s="49"/>
      <x:c r="AG15" s="49"/>
      <x:c r="AH15" s="49"/>
      <x:c r="AI15" s="49"/>
      <x:c r="AJ15" s="49"/>
      <x:c r="AK15" s="49"/>
      <x:c r="AL15" s="49"/>
      <x:c r="AM15" s="49"/>
      <x:c r="AN15" s="49"/>
      <x:c r="AO15" s="49"/>
      <x:c r="AP15" s="49"/>
      <x:c r="AQ15" s="49"/>
      <x:c r="AR15" s="49"/>
      <x:c r="AS15" s="49"/>
      <x:c r="AT15" s="49"/>
      <x:c r="AU15" s="49"/>
      <x:c r="AV15" s="49"/>
      <x:c r="AW15" s="49"/>
      <x:c r="AX15" s="49"/>
      <x:c r="AY15" s="49"/>
      <x:c r="AZ15" s="49"/>
    </x:row>
    <x:row r="16">
      <x:c r="A16" s="49" t="str">
        <x:v>S011</x:v>
      </x:c>
      <x:c r="B16" s="49" t="str">
        <x:v>Supplier_S011_KR</x:v>
      </x:c>
      <x:c r="C16" s="49" t="str">
        <x:v>M004</x:v>
      </x:c>
      <x:c r="D16" s="49" t="str">
        <x:v>CMP抛光液</x:v>
      </x:c>
      <x:c r="E16" s="49" t="str">
        <x:v>升</x:v>
      </x:c>
      <x:c r="F16" s="49" t="str">
        <x:v>KR</x:v>
      </x:c>
      <x:c r="G16" s="49" t="str">
        <x:v>KRW</x:v>
      </x:c>
      <x:c r="H16" s="134" t="n">
        <x:v>24</x:v>
      </x:c>
      <x:c r="I16" s="134" t="n">
        <x:v>5494</x:v>
      </x:c>
      <x:c r="J16" s="134" t="n">
        <x:v>229</x:v>
      </x:c>
      <x:c r="K16" s="164" t="n">
        <x:v>0.9568</x:v>
      </x:c>
      <x:c r="L16" s="134" t="n">
        <x:v>60</x:v>
      </x:c>
      <x:c r="M16" s="134" t="n">
        <x:v>4</x:v>
      </x:c>
      <x:c r="N16" s="134" t="n">
        <x:v>3</x:v>
      </x:c>
      <x:c r="O16" s="134" t="str">
        <x:v>合格</x:v>
      </x:c>
      <x:c r="P16" s="165" t="n">
        <x:v>21748.0035</x:v>
      </x:c>
      <x:c r="Q16" s="165" t="n">
        <x:v>342.1672</x:v>
      </x:c>
      <x:c r="R16" s="134" t="n">
        <x:v>6578</x:v>
      </x:c>
      <x:c r="S16" s="164" t="n">
        <x:v>0.0332</x:v>
      </x:c>
      <x:c r="T16" s="166" t="b">
        <x:v>1</x:v>
      </x:c>
      <x:c r="U16" s="49"/>
      <x:c r="V16" s="49"/>
      <x:c r="W16" s="49"/>
      <x:c r="X16" s="49"/>
      <x:c r="Y16" s="49"/>
      <x:c r="Z16" s="49"/>
      <x:c r="AA16" s="49"/>
      <x:c r="AB16" s="49"/>
      <x:c r="AC16" s="49"/>
      <x:c r="AD16" s="49"/>
      <x:c r="AE16" s="49"/>
      <x:c r="AF16" s="49"/>
      <x:c r="AG16" s="49"/>
      <x:c r="AH16" s="49"/>
      <x:c r="AI16" s="49"/>
      <x:c r="AJ16" s="49"/>
      <x:c r="AK16" s="49"/>
      <x:c r="AL16" s="49"/>
      <x:c r="AM16" s="49"/>
      <x:c r="AN16" s="49"/>
      <x:c r="AO16" s="49"/>
      <x:c r="AP16" s="49"/>
      <x:c r="AQ16" s="49"/>
      <x:c r="AR16" s="49"/>
      <x:c r="AS16" s="49"/>
      <x:c r="AT16" s="49"/>
      <x:c r="AU16" s="49"/>
      <x:c r="AV16" s="49"/>
      <x:c r="AW16" s="49"/>
      <x:c r="AX16" s="49"/>
      <x:c r="AY16" s="49"/>
      <x:c r="AZ16" s="49"/>
    </x:row>
    <x:row r="17">
      <x:c r="A17" s="49" t="str">
        <x:v>S012</x:v>
      </x:c>
      <x:c r="B17" s="49" t="str">
        <x:v>Supplier_S012_DE</x:v>
      </x:c>
      <x:c r="C17" s="49" t="str">
        <x:v>M004</x:v>
      </x:c>
      <x:c r="D17" s="49" t="str">
        <x:v>CMP抛光液</x:v>
      </x:c>
      <x:c r="E17" s="49" t="str">
        <x:v>升</x:v>
      </x:c>
      <x:c r="F17" s="49" t="str">
        <x:v>DE</x:v>
      </x:c>
      <x:c r="G17" s="49" t="str">
        <x:v>EUR</x:v>
      </x:c>
      <x:c r="H17" s="134" t="n">
        <x:v>58</x:v>
      </x:c>
      <x:c r="I17" s="134" t="n">
        <x:v>5656</x:v>
      </x:c>
      <x:c r="J17" s="134" t="n">
        <x:v>129</x:v>
      </x:c>
      <x:c r="K17" s="164" t="n">
        <x:v>0.9807</x:v>
      </x:c>
      <x:c r="L17" s="134" t="n">
        <x:v>60</x:v>
      </x:c>
      <x:c r="M17" s="134" t="n">
        <x:v>3</x:v>
      </x:c>
      <x:c r="N17" s="134" t="n">
        <x:v>3</x:v>
      </x:c>
      <x:c r="O17" s="134" t="str">
        <x:v>合格</x:v>
      </x:c>
      <x:c r="P17" s="165" t="n">
        <x:v>13.7238</x:v>
      </x:c>
      <x:c r="Q17" s="165" t="n">
        <x:v>0.3408</x:v>
      </x:c>
      <x:c r="R17" s="134" t="n">
        <x:v>5235</x:v>
      </x:c>
      <x:c r="S17" s="164" t="n">
        <x:v>0.0134</x:v>
      </x:c>
      <x:c r="T17" s="166" t="b">
        <x:v>1</x:v>
      </x:c>
      <x:c r="U17" s="49"/>
      <x:c r="V17" s="49"/>
      <x:c r="W17" s="49"/>
      <x:c r="X17" s="49"/>
      <x:c r="Y17" s="49"/>
      <x:c r="Z17" s="49"/>
      <x:c r="AA17" s="49"/>
      <x:c r="AB17" s="49"/>
      <x:c r="AC17" s="49"/>
      <x:c r="AD17" s="49"/>
      <x:c r="AE17" s="49"/>
      <x:c r="AF17" s="49"/>
      <x:c r="AG17" s="49"/>
      <x:c r="AH17" s="49"/>
      <x:c r="AI17" s="49"/>
      <x:c r="AJ17" s="49"/>
      <x:c r="AK17" s="49"/>
      <x:c r="AL17" s="49"/>
      <x:c r="AM17" s="49"/>
      <x:c r="AN17" s="49"/>
      <x:c r="AO17" s="49"/>
      <x:c r="AP17" s="49"/>
      <x:c r="AQ17" s="49"/>
      <x:c r="AR17" s="49"/>
      <x:c r="AS17" s="49"/>
      <x:c r="AT17" s="49"/>
      <x:c r="AU17" s="49"/>
      <x:c r="AV17" s="49"/>
      <x:c r="AW17" s="49"/>
      <x:c r="AX17" s="49"/>
      <x:c r="AY17" s="49"/>
      <x:c r="AZ17" s="49"/>
    </x:row>
    <x:row r="18">
      <x:c r="A18" s="49" t="str">
        <x:v>S013</x:v>
      </x:c>
      <x:c r="B18" s="49" t="str">
        <x:v>Supplier_S013_CN</x:v>
      </x:c>
      <x:c r="C18" s="49" t="str">
        <x:v>M005</x:v>
      </x:c>
      <x:c r="D18" s="49" t="str">
        <x:v>PVD靶材</x:v>
      </x:c>
      <x:c r="E18" s="49" t="str">
        <x:v>件</x:v>
      </x:c>
      <x:c r="F18" s="49" t="str">
        <x:v>CN</x:v>
      </x:c>
      <x:c r="G18" s="49" t="str">
        <x:v>CNY</x:v>
      </x:c>
      <x:c r="H18" s="134" t="n">
        <x:v>54</x:v>
      </x:c>
      <x:c r="I18" s="134" t="n">
        <x:v>84</x:v>
      </x:c>
      <x:c r="J18" s="134" t="n">
        <x:v>157</x:v>
      </x:c>
      <x:c r="K18" s="164" t="n">
        <x:v>0.9318</x:v>
      </x:c>
      <x:c r="L18" s="134" t="n">
        <x:v>90</x:v>
      </x:c>
      <x:c r="M18" s="134" t="n">
        <x:v>4</x:v>
      </x:c>
      <x:c r="N18" s="134" t="n">
        <x:v>1</x:v>
      </x:c>
      <x:c r="O18" s="134" t="str">
        <x:v>有条件</x:v>
      </x:c>
      <x:c r="P18" s="165" t="n">
        <x:v>8676.862</x:v>
      </x:c>
      <x:c r="Q18" s="165" t="n">
        <x:v>75.3472</x:v>
      </x:c>
      <x:c r="R18" s="134" t="n">
        <x:v>120</x:v>
      </x:c>
      <x:c r="S18" s="164" t="n">
        <x:v>0.0269</x:v>
      </x:c>
      <x:c r="T18" s="166" t="b">
        <x:v>1</x:v>
      </x:c>
      <x:c r="U18" s="49"/>
      <x:c r="V18" s="49"/>
      <x:c r="W18" s="49"/>
      <x:c r="X18" s="49"/>
      <x:c r="Y18" s="49"/>
      <x:c r="Z18" s="49"/>
      <x:c r="AA18" s="49"/>
      <x:c r="AB18" s="49"/>
      <x:c r="AC18" s="49"/>
      <x:c r="AD18" s="49"/>
      <x:c r="AE18" s="49"/>
      <x:c r="AF18" s="49"/>
      <x:c r="AG18" s="49"/>
      <x:c r="AH18" s="49"/>
      <x:c r="AI18" s="49"/>
      <x:c r="AJ18" s="49"/>
      <x:c r="AK18" s="49"/>
      <x:c r="AL18" s="49"/>
      <x:c r="AM18" s="49"/>
      <x:c r="AN18" s="49"/>
      <x:c r="AO18" s="49"/>
      <x:c r="AP18" s="49"/>
      <x:c r="AQ18" s="49"/>
      <x:c r="AR18" s="49"/>
      <x:c r="AS18" s="49"/>
      <x:c r="AT18" s="49"/>
      <x:c r="AU18" s="49"/>
      <x:c r="AV18" s="49"/>
      <x:c r="AW18" s="49"/>
      <x:c r="AX18" s="49"/>
      <x:c r="AY18" s="49"/>
      <x:c r="AZ18" s="49"/>
    </x:row>
    <x:row r="19">
      <x:c r="A19" s="49" t="str">
        <x:v>S014</x:v>
      </x:c>
      <x:c r="B19" s="49" t="str">
        <x:v>Supplier_S014_DE</x:v>
      </x:c>
      <x:c r="C19" s="49" t="str">
        <x:v>M005</x:v>
      </x:c>
      <x:c r="D19" s="49" t="str">
        <x:v>PVD靶材</x:v>
      </x:c>
      <x:c r="E19" s="49" t="str">
        <x:v>件</x:v>
      </x:c>
      <x:c r="F19" s="49" t="str">
        <x:v>DE</x:v>
      </x:c>
      <x:c r="G19" s="49" t="str">
        <x:v>EUR</x:v>
      </x:c>
      <x:c r="H19" s="134" t="n">
        <x:v>61</x:v>
      </x:c>
      <x:c r="I19" s="134" t="n">
        <x:v>68</x:v>
      </x:c>
      <x:c r="J19" s="134" t="n">
        <x:v>314</x:v>
      </x:c>
      <x:c r="K19" s="164" t="n">
        <x:v>0.9798</x:v>
      </x:c>
      <x:c r="L19" s="134" t="n">
        <x:v>30</x:v>
      </x:c>
      <x:c r="M19" s="134" t="n">
        <x:v>1</x:v>
      </x:c>
      <x:c r="N19" s="134" t="n">
        <x:v>3</x:v>
      </x:c>
      <x:c r="O19" s="134" t="str">
        <x:v>合格</x:v>
      </x:c>
      <x:c r="P19" s="165" t="n">
        <x:v>1110.9947</x:v>
      </x:c>
      <x:c r="Q19" s="165" t="n">
        <x:v>16.7958</x:v>
      </x:c>
      <x:c r="R19" s="134" t="n">
        <x:v>95</x:v>
      </x:c>
      <x:c r="S19" s="164" t="n">
        <x:v>0.0148</x:v>
      </x:c>
      <x:c r="T19" s="166" t="b">
        <x:v>1</x:v>
      </x:c>
      <x:c r="U19" s="49"/>
      <x:c r="V19" s="49"/>
      <x:c r="W19" s="49"/>
      <x:c r="X19" s="49"/>
      <x:c r="Y19" s="49"/>
      <x:c r="Z19" s="49"/>
      <x:c r="AA19" s="49"/>
      <x:c r="AB19" s="49"/>
      <x:c r="AC19" s="49"/>
      <x:c r="AD19" s="49"/>
      <x:c r="AE19" s="49"/>
      <x:c r="AF19" s="49"/>
      <x:c r="AG19" s="49"/>
      <x:c r="AH19" s="49"/>
      <x:c r="AI19" s="49"/>
      <x:c r="AJ19" s="49"/>
      <x:c r="AK19" s="49"/>
      <x:c r="AL19" s="49"/>
      <x:c r="AM19" s="49"/>
      <x:c r="AN19" s="49"/>
      <x:c r="AO19" s="49"/>
      <x:c r="AP19" s="49"/>
      <x:c r="AQ19" s="49"/>
      <x:c r="AR19" s="49"/>
      <x:c r="AS19" s="49"/>
      <x:c r="AT19" s="49"/>
      <x:c r="AU19" s="49"/>
      <x:c r="AV19" s="49"/>
      <x:c r="AW19" s="49"/>
      <x:c r="AX19" s="49"/>
      <x:c r="AY19" s="49"/>
      <x:c r="AZ19" s="49"/>
    </x:row>
    <x:row r="20">
      <x:c r="A20" s="49" t="str">
        <x:v>S015</x:v>
      </x:c>
      <x:c r="B20" s="49" t="str">
        <x:v>Supplier_S015_SG</x:v>
      </x:c>
      <x:c r="C20" s="49" t="str">
        <x:v>M005</x:v>
      </x:c>
      <x:c r="D20" s="49" t="str">
        <x:v>PVD靶材</x:v>
      </x:c>
      <x:c r="E20" s="49" t="str">
        <x:v>件</x:v>
      </x:c>
      <x:c r="F20" s="49" t="str">
        <x:v>SG</x:v>
      </x:c>
      <x:c r="G20" s="49" t="str">
        <x:v>SGD</x:v>
      </x:c>
      <x:c r="H20" s="134" t="n">
        <x:v>61</x:v>
      </x:c>
      <x:c r="I20" s="134" t="n">
        <x:v>87</x:v>
      </x:c>
      <x:c r="J20" s="134" t="n">
        <x:v>43</x:v>
      </x:c>
      <x:c r="K20" s="164" t="n">
        <x:v>0.897</x:v>
      </x:c>
      <x:c r="L20" s="134" t="n">
        <x:v>30</x:v>
      </x:c>
      <x:c r="M20" s="134" t="n">
        <x:v>5</x:v>
      </x:c>
      <x:c r="N20" s="134" t="n">
        <x:v>2</x:v>
      </x:c>
      <x:c r="O20" s="134" t="str">
        <x:v>合格</x:v>
      </x:c>
      <x:c r="P20" s="165" t="n">
        <x:v>1759.0002</x:v>
      </x:c>
      <x:c r="Q20" s="165" t="n">
        <x:v>35.9614</x:v>
      </x:c>
      <x:c r="R20" s="134" t="n">
        <x:v>114</x:v>
      </x:c>
      <x:c r="S20" s="164" t="n">
        <x:v>0.0354</x:v>
      </x:c>
      <x:c r="T20" s="166" t="b">
        <x:v>1</x:v>
      </x:c>
      <x:c r="U20" s="49"/>
      <x:c r="V20" s="49"/>
      <x:c r="W20" s="49"/>
      <x:c r="X20" s="49"/>
      <x:c r="Y20" s="49"/>
      <x:c r="Z20" s="49"/>
      <x:c r="AA20" s="49"/>
      <x:c r="AB20" s="49"/>
      <x:c r="AC20" s="49"/>
      <x:c r="AD20" s="49"/>
      <x:c r="AE20" s="49"/>
      <x:c r="AF20" s="49"/>
      <x:c r="AG20" s="49"/>
      <x:c r="AH20" s="49"/>
      <x:c r="AI20" s="49"/>
      <x:c r="AJ20" s="49"/>
      <x:c r="AK20" s="49"/>
      <x:c r="AL20" s="49"/>
      <x:c r="AM20" s="49"/>
      <x:c r="AN20" s="49"/>
      <x:c r="AO20" s="49"/>
      <x:c r="AP20" s="49"/>
      <x:c r="AQ20" s="49"/>
      <x:c r="AR20" s="49"/>
      <x:c r="AS20" s="49"/>
      <x:c r="AT20" s="49"/>
      <x:c r="AU20" s="49"/>
      <x:c r="AV20" s="49"/>
      <x:c r="AW20" s="49"/>
      <x:c r="AX20" s="49"/>
      <x:c r="AY20" s="49"/>
      <x:c r="AZ20" s="49"/>
    </x:row>
    <x:row r="21">
      <x:c r="A21" s="49" t="str">
        <x:v>S016</x:v>
      </x:c>
      <x:c r="B21" s="49" t="str">
        <x:v>Supplier_S016_DE</x:v>
      </x:c>
      <x:c r="C21" s="49" t="str">
        <x:v>M006</x:v>
      </x:c>
      <x:c r="D21" s="49" t="str">
        <x:v>封装基板</x:v>
      </x:c>
      <x:c r="E21" s="49" t="str">
        <x:v>件</x:v>
      </x:c>
      <x:c r="F21" s="49" t="str">
        <x:v>DE</x:v>
      </x:c>
      <x:c r="G21" s="49" t="str">
        <x:v>EUR</x:v>
      </x:c>
      <x:c r="H21" s="134" t="n">
        <x:v>30</x:v>
      </x:c>
      <x:c r="I21" s="134" t="n">
        <x:v>178448</x:v>
      </x:c>
      <x:c r="J21" s="134" t="n">
        <x:v>201</x:v>
      </x:c>
      <x:c r="K21" s="164" t="n">
        <x:v>0.9731</x:v>
      </x:c>
      <x:c r="L21" s="134" t="n">
        <x:v>30</x:v>
      </x:c>
      <x:c r="M21" s="134" t="n">
        <x:v>2</x:v>
      </x:c>
      <x:c r="N21" s="134" t="n">
        <x:v>2</x:v>
      </x:c>
      <x:c r="O21" s="134" t="str">
        <x:v>合格</x:v>
      </x:c>
      <x:c r="P21" s="165" t="n">
        <x:v>6.1629</x:v>
      </x:c>
      <x:c r="Q21" s="165" t="n">
        <x:v>0.1066</x:v>
      </x:c>
      <x:c r="R21" s="134" t="n">
        <x:v>205404</x:v>
      </x:c>
      <x:c r="S21" s="164" t="n">
        <x:v>0.042</x:v>
      </x:c>
      <x:c r="T21" s="166" t="b">
        <x:v>1</x:v>
      </x:c>
      <x:c r="U21" s="49"/>
      <x:c r="V21" s="49"/>
      <x:c r="W21" s="49"/>
      <x:c r="X21" s="49"/>
      <x:c r="Y21" s="49"/>
      <x:c r="Z21" s="49"/>
      <x:c r="AA21" s="49"/>
      <x:c r="AB21" s="49"/>
      <x:c r="AC21" s="49"/>
      <x:c r="AD21" s="49"/>
      <x:c r="AE21" s="49"/>
      <x:c r="AF21" s="49"/>
      <x:c r="AG21" s="49"/>
      <x:c r="AH21" s="49"/>
      <x:c r="AI21" s="49"/>
      <x:c r="AJ21" s="49"/>
      <x:c r="AK21" s="49"/>
      <x:c r="AL21" s="49"/>
      <x:c r="AM21" s="49"/>
      <x:c r="AN21" s="49"/>
      <x:c r="AO21" s="49"/>
      <x:c r="AP21" s="49"/>
      <x:c r="AQ21" s="49"/>
      <x:c r="AR21" s="49"/>
      <x:c r="AS21" s="49"/>
      <x:c r="AT21" s="49"/>
      <x:c r="AU21" s="49"/>
      <x:c r="AV21" s="49"/>
      <x:c r="AW21" s="49"/>
      <x:c r="AX21" s="49"/>
      <x:c r="AY21" s="49"/>
      <x:c r="AZ21" s="49"/>
    </x:row>
    <x:row r="22">
      <x:c r="A22" s="49" t="str">
        <x:v>S017</x:v>
      </x:c>
      <x:c r="B22" s="49" t="str">
        <x:v>Supplier_S017_JP</x:v>
      </x:c>
      <x:c r="C22" s="49" t="str">
        <x:v>M006</x:v>
      </x:c>
      <x:c r="D22" s="49" t="str">
        <x:v>封装基板</x:v>
      </x:c>
      <x:c r="E22" s="49" t="str">
        <x:v>件</x:v>
      </x:c>
      <x:c r="F22" s="49" t="str">
        <x:v>JP</x:v>
      </x:c>
      <x:c r="G22" s="49" t="str">
        <x:v>JPY</x:v>
      </x:c>
      <x:c r="H22" s="134" t="n">
        <x:v>20</x:v>
      </x:c>
      <x:c r="I22" s="134" t="n">
        <x:v>189653</x:v>
      </x:c>
      <x:c r="J22" s="134" t="n">
        <x:v>161</x:v>
      </x:c>
      <x:c r="K22" s="164" t="n">
        <x:v>0.9631</x:v>
      </x:c>
      <x:c r="L22" s="134" t="n">
        <x:v>90</x:v>
      </x:c>
      <x:c r="M22" s="134" t="n">
        <x:v>5</x:v>
      </x:c>
      <x:c r="N22" s="134" t="n">
        <x:v>3</x:v>
      </x:c>
      <x:c r="O22" s="134" t="str">
        <x:v>合格</x:v>
      </x:c>
      <x:c r="P22" s="165" t="n">
        <x:v>802.4521</x:v>
      </x:c>
      <x:c r="Q22" s="165" t="n">
        <x:v>9.6582</x:v>
      </x:c>
      <x:c r="R22" s="134" t="n">
        <x:v>156702</x:v>
      </x:c>
      <x:c r="S22" s="164" t="n">
        <x:v>0.0118</x:v>
      </x:c>
      <x:c r="T22" s="166" t="b">
        <x:v>1</x:v>
      </x:c>
      <x:c r="U22" s="49"/>
      <x:c r="V22" s="49"/>
      <x:c r="W22" s="49"/>
      <x:c r="X22" s="49"/>
      <x:c r="Y22" s="49"/>
      <x:c r="Z22" s="49"/>
      <x:c r="AA22" s="49"/>
      <x:c r="AB22" s="49"/>
      <x:c r="AC22" s="49"/>
      <x:c r="AD22" s="49"/>
      <x:c r="AE22" s="49"/>
      <x:c r="AF22" s="49"/>
      <x:c r="AG22" s="49"/>
      <x:c r="AH22" s="49"/>
      <x:c r="AI22" s="49"/>
      <x:c r="AJ22" s="49"/>
      <x:c r="AK22" s="49"/>
      <x:c r="AL22" s="49"/>
      <x:c r="AM22" s="49"/>
      <x:c r="AN22" s="49"/>
      <x:c r="AO22" s="49"/>
      <x:c r="AP22" s="49"/>
      <x:c r="AQ22" s="49"/>
      <x:c r="AR22" s="49"/>
      <x:c r="AS22" s="49"/>
      <x:c r="AT22" s="49"/>
      <x:c r="AU22" s="49"/>
      <x:c r="AV22" s="49"/>
      <x:c r="AW22" s="49"/>
      <x:c r="AX22" s="49"/>
      <x:c r="AY22" s="49"/>
      <x:c r="AZ22" s="49"/>
    </x:row>
    <x:row r="23">
      <x:c r="A23" s="49" t="str">
        <x:v>S018</x:v>
      </x:c>
      <x:c r="B23" s="49" t="str">
        <x:v>Supplier_S018_KR</x:v>
      </x:c>
      <x:c r="C23" s="49" t="str">
        <x:v>M006</x:v>
      </x:c>
      <x:c r="D23" s="49" t="str">
        <x:v>封装基板</x:v>
      </x:c>
      <x:c r="E23" s="49" t="str">
        <x:v>件</x:v>
      </x:c>
      <x:c r="F23" s="49" t="str">
        <x:v>KR</x:v>
      </x:c>
      <x:c r="G23" s="49" t="str">
        <x:v>KRW</x:v>
      </x:c>
      <x:c r="H23" s="134" t="n">
        <x:v>22</x:v>
      </x:c>
      <x:c r="I23" s="134" t="n">
        <x:v>122663</x:v>
      </x:c>
      <x:c r="J23" s="134" t="n">
        <x:v>176</x:v>
      </x:c>
      <x:c r="K23" s="164" t="n">
        <x:v>0.9864</x:v>
      </x:c>
      <x:c r="L23" s="134" t="n">
        <x:v>30</x:v>
      </x:c>
      <x:c r="M23" s="134" t="n">
        <x:v>2</x:v>
      </x:c>
      <x:c r="N23" s="134" t="n">
        <x:v>2</x:v>
      </x:c>
      <x:c r="O23" s="134" t="str">
        <x:v>合格</x:v>
      </x:c>
      <x:c r="P23" s="165" t="n">
        <x:v>7606.7349</x:v>
      </x:c>
      <x:c r="Q23" s="165" t="n">
        <x:v>138.6293</x:v>
      </x:c>
      <x:c r="R23" s="134" t="n">
        <x:v>116972</x:v>
      </x:c>
      <x:c r="S23" s="164" t="n">
        <x:v>0.0349</x:v>
      </x:c>
      <x:c r="T23" s="166" t="b">
        <x:v>1</x:v>
      </x:c>
      <x:c r="U23" s="49"/>
      <x:c r="V23" s="49"/>
      <x:c r="W23" s="49"/>
      <x:c r="X23" s="49"/>
      <x:c r="Y23" s="49"/>
      <x:c r="Z23" s="49"/>
      <x:c r="AA23" s="49"/>
      <x:c r="AB23" s="49"/>
      <x:c r="AC23" s="49"/>
      <x:c r="AD23" s="49"/>
      <x:c r="AE23" s="49"/>
      <x:c r="AF23" s="49"/>
      <x:c r="AG23" s="49"/>
      <x:c r="AH23" s="49"/>
      <x:c r="AI23" s="49"/>
      <x:c r="AJ23" s="49"/>
      <x:c r="AK23" s="49"/>
      <x:c r="AL23" s="49"/>
      <x:c r="AM23" s="49"/>
      <x:c r="AN23" s="49"/>
      <x:c r="AO23" s="49"/>
      <x:c r="AP23" s="49"/>
      <x:c r="AQ23" s="49"/>
      <x:c r="AR23" s="49"/>
      <x:c r="AS23" s="49"/>
      <x:c r="AT23" s="49"/>
      <x:c r="AU23" s="49"/>
      <x:c r="AV23" s="49"/>
      <x:c r="AW23" s="49"/>
      <x:c r="AX23" s="49"/>
      <x:c r="AY23" s="49"/>
      <x:c r="AZ23" s="49"/>
    </x:row>
    <x:row r="24">
      <x:c r="A24" s="49" t="str">
        <x:v>S019</x:v>
      </x:c>
      <x:c r="B24" s="49" t="str">
        <x:v>Supplier_S019_DE</x:v>
      </x:c>
      <x:c r="C24" s="49" t="str">
        <x:v>M007</x:v>
      </x:c>
      <x:c r="D24" s="49" t="str">
        <x:v>引线框架</x:v>
      </x:c>
      <x:c r="E24" s="49" t="str">
        <x:v>千件</x:v>
      </x:c>
      <x:c r="F24" s="49" t="str">
        <x:v>DE</x:v>
      </x:c>
      <x:c r="G24" s="49" t="str">
        <x:v>EUR</x:v>
      </x:c>
      <x:c r="H24" s="134" t="n">
        <x:v>65</x:v>
      </x:c>
      <x:c r="I24" s="134" t="n">
        <x:v>183</x:v>
      </x:c>
      <x:c r="J24" s="134" t="n">
        <x:v>167</x:v>
      </x:c>
      <x:c r="K24" s="164" t="n">
        <x:v>0.9161</x:v>
      </x:c>
      <x:c r="L24" s="134" t="n">
        <x:v>90</x:v>
      </x:c>
      <x:c r="M24" s="134" t="n">
        <x:v>4</x:v>
      </x:c>
      <x:c r="N24" s="134" t="n">
        <x:v>2</x:v>
      </x:c>
      <x:c r="O24" s="134" t="str">
        <x:v>合格</x:v>
      </x:c>
      <x:c r="P24" s="165" t="n">
        <x:v>9.4711</x:v>
      </x:c>
      <x:c r="Q24" s="165" t="n">
        <x:v>0.1313</x:v>
      </x:c>
      <x:c r="R24" s="134" t="n">
        <x:v>112</x:v>
      </x:c>
      <x:c r="S24" s="164" t="n">
        <x:v>0.0209</x:v>
      </x:c>
      <x:c r="T24" s="166" t="b">
        <x:v>1</x:v>
      </x:c>
      <x:c r="U24" s="49"/>
      <x:c r="V24" s="49"/>
      <x:c r="W24" s="49"/>
      <x:c r="X24" s="49"/>
      <x:c r="Y24" s="49"/>
      <x:c r="Z24" s="49"/>
      <x:c r="AA24" s="49"/>
      <x:c r="AB24" s="49"/>
      <x:c r="AC24" s="49"/>
      <x:c r="AD24" s="49"/>
      <x:c r="AE24" s="49"/>
      <x:c r="AF24" s="49"/>
      <x:c r="AG24" s="49"/>
      <x:c r="AH24" s="49"/>
      <x:c r="AI24" s="49"/>
      <x:c r="AJ24" s="49"/>
      <x:c r="AK24" s="49"/>
      <x:c r="AL24" s="49"/>
      <x:c r="AM24" s="49"/>
      <x:c r="AN24" s="49"/>
      <x:c r="AO24" s="49"/>
      <x:c r="AP24" s="49"/>
      <x:c r="AQ24" s="49"/>
      <x:c r="AR24" s="49"/>
      <x:c r="AS24" s="49"/>
      <x:c r="AT24" s="49"/>
      <x:c r="AU24" s="49"/>
      <x:c r="AV24" s="49"/>
      <x:c r="AW24" s="49"/>
      <x:c r="AX24" s="49"/>
      <x:c r="AY24" s="49"/>
      <x:c r="AZ24" s="49"/>
    </x:row>
    <x:row r="25">
      <x:c r="A25" s="49" t="str">
        <x:v>S020</x:v>
      </x:c>
      <x:c r="B25" s="49" t="str">
        <x:v>Supplier_S020_CN</x:v>
      </x:c>
      <x:c r="C25" s="49" t="str">
        <x:v>M007</x:v>
      </x:c>
      <x:c r="D25" s="49" t="str">
        <x:v>引线框架</x:v>
      </x:c>
      <x:c r="E25" s="49" t="str">
        <x:v>千件</x:v>
      </x:c>
      <x:c r="F25" s="49" t="str">
        <x:v>CN</x:v>
      </x:c>
      <x:c r="G25" s="49" t="str">
        <x:v>CNY</x:v>
      </x:c>
      <x:c r="H25" s="134" t="n">
        <x:v>38</x:v>
      </x:c>
      <x:c r="I25" s="134" t="n">
        <x:v>138</x:v>
      </x:c>
      <x:c r="J25" s="134" t="n">
        <x:v>229</x:v>
      </x:c>
      <x:c r="K25" s="164" t="n">
        <x:v>0.9038</x:v>
      </x:c>
      <x:c r="L25" s="134" t="n">
        <x:v>90</x:v>
      </x:c>
      <x:c r="M25" s="134" t="n">
        <x:v>2</x:v>
      </x:c>
      <x:c r="N25" s="134" t="n">
        <x:v>2</x:v>
      </x:c>
      <x:c r="O25" s="134" t="str">
        <x:v>合格</x:v>
      </x:c>
      <x:c r="P25" s="165" t="n">
        <x:v>74.7444</x:v>
      </x:c>
      <x:c r="Q25" s="165" t="n">
        <x:v>1.5087</x:v>
      </x:c>
      <x:c r="R25" s="134" t="n">
        <x:v>192</x:v>
      </x:c>
      <x:c r="S25" s="164" t="n">
        <x:v>0.014</x:v>
      </x:c>
      <x:c r="T25" s="166" t="b">
        <x:v>1</x:v>
      </x:c>
      <x:c r="U25" s="49"/>
      <x:c r="V25" s="49"/>
      <x:c r="W25" s="49"/>
      <x:c r="X25" s="49"/>
      <x:c r="Y25" s="49"/>
      <x:c r="Z25" s="49"/>
      <x:c r="AA25" s="49"/>
      <x:c r="AB25" s="49"/>
      <x:c r="AC25" s="49"/>
      <x:c r="AD25" s="49"/>
      <x:c r="AE25" s="49"/>
      <x:c r="AF25" s="49"/>
      <x:c r="AG25" s="49"/>
      <x:c r="AH25" s="49"/>
      <x:c r="AI25" s="49"/>
      <x:c r="AJ25" s="49"/>
      <x:c r="AK25" s="49"/>
      <x:c r="AL25" s="49"/>
      <x:c r="AM25" s="49"/>
      <x:c r="AN25" s="49"/>
      <x:c r="AO25" s="49"/>
      <x:c r="AP25" s="49"/>
      <x:c r="AQ25" s="49"/>
      <x:c r="AR25" s="49"/>
      <x:c r="AS25" s="49"/>
      <x:c r="AT25" s="49"/>
      <x:c r="AU25" s="49"/>
      <x:c r="AV25" s="49"/>
      <x:c r="AW25" s="49"/>
      <x:c r="AX25" s="49"/>
      <x:c r="AY25" s="49"/>
      <x:c r="AZ25" s="49"/>
    </x:row>
    <x:row r="26">
      <x:c r="A26" s="49" t="str">
        <x:v>S021</x:v>
      </x:c>
      <x:c r="B26" s="49" t="str">
        <x:v>Supplier_S021_KR</x:v>
      </x:c>
      <x:c r="C26" s="49" t="str">
        <x:v>M007</x:v>
      </x:c>
      <x:c r="D26" s="49" t="str">
        <x:v>引线框架</x:v>
      </x:c>
      <x:c r="E26" s="49" t="str">
        <x:v>千件</x:v>
      </x:c>
      <x:c r="F26" s="49" t="str">
        <x:v>KR</x:v>
      </x:c>
      <x:c r="G26" s="49" t="str">
        <x:v>KRW</x:v>
      </x:c>
      <x:c r="H26" s="134" t="n">
        <x:v>46</x:v>
      </x:c>
      <x:c r="I26" s="134" t="n">
        <x:v>189</x:v>
      </x:c>
      <x:c r="J26" s="134" t="n">
        <x:v>203</x:v>
      </x:c>
      <x:c r="K26" s="164" t="n">
        <x:v>0.9183</x:v>
      </x:c>
      <x:c r="L26" s="134" t="n">
        <x:v>30</x:v>
      </x:c>
      <x:c r="M26" s="134" t="n">
        <x:v>4</x:v>
      </x:c>
      <x:c r="N26" s="134" t="n">
        <x:v>2</x:v>
      </x:c>
      <x:c r="O26" s="134" t="str">
        <x:v>合格</x:v>
      </x:c>
      <x:c r="P26" s="165" t="n">
        <x:v>14241.07</x:v>
      </x:c>
      <x:c r="Q26" s="165" t="n">
        <x:v>126.3469</x:v>
      </x:c>
      <x:c r="R26" s="134" t="n">
        <x:v>233</x:v>
      </x:c>
      <x:c r="S26" s="164" t="n">
        <x:v>0.0192</x:v>
      </x:c>
      <x:c r="T26" s="166" t="b">
        <x:v>1</x:v>
      </x:c>
      <x:c r="U26" s="49"/>
      <x:c r="V26" s="49"/>
      <x:c r="W26" s="49"/>
      <x:c r="X26" s="49"/>
      <x:c r="Y26" s="49"/>
      <x:c r="Z26" s="49"/>
      <x:c r="AA26" s="49"/>
      <x:c r="AB26" s="49"/>
      <x:c r="AC26" s="49"/>
      <x:c r="AD26" s="49"/>
      <x:c r="AE26" s="49"/>
      <x:c r="AF26" s="49"/>
      <x:c r="AG26" s="49"/>
      <x:c r="AH26" s="49"/>
      <x:c r="AI26" s="49"/>
      <x:c r="AJ26" s="49"/>
      <x:c r="AK26" s="49"/>
      <x:c r="AL26" s="49"/>
      <x:c r="AM26" s="49"/>
      <x:c r="AN26" s="49"/>
      <x:c r="AO26" s="49"/>
      <x:c r="AP26" s="49"/>
      <x:c r="AQ26" s="49"/>
      <x:c r="AR26" s="49"/>
      <x:c r="AS26" s="49"/>
      <x:c r="AT26" s="49"/>
      <x:c r="AU26" s="49"/>
      <x:c r="AV26" s="49"/>
      <x:c r="AW26" s="49"/>
      <x:c r="AX26" s="49"/>
      <x:c r="AY26" s="49"/>
      <x:c r="AZ26" s="49"/>
    </x:row>
    <x:row r="27">
      <x:c r="A27" s="49" t="str">
        <x:v>S022</x:v>
      </x:c>
      <x:c r="B27" s="49" t="str">
        <x:v>Supplier_S022_KR</x:v>
      </x:c>
      <x:c r="C27" s="49" t="str">
        <x:v>M008</x:v>
      </x:c>
      <x:c r="D27" s="49" t="str">
        <x:v>特种化学品</x:v>
      </x:c>
      <x:c r="E27" s="49" t="str">
        <x:v>升</x:v>
      </x:c>
      <x:c r="F27" s="49" t="str">
        <x:v>KR</x:v>
      </x:c>
      <x:c r="G27" s="49" t="str">
        <x:v>KRW</x:v>
      </x:c>
      <x:c r="H27" s="134" t="n">
        <x:v>20</x:v>
      </x:c>
      <x:c r="I27" s="134" t="n">
        <x:v>4368</x:v>
      </x:c>
      <x:c r="J27" s="134" t="n">
        <x:v>92</x:v>
      </x:c>
      <x:c r="K27" s="164" t="n">
        <x:v>0.9136</x:v>
      </x:c>
      <x:c r="L27" s="134" t="n">
        <x:v>90</x:v>
      </x:c>
      <x:c r="M27" s="134" t="n">
        <x:v>4</x:v>
      </x:c>
      <x:c r="N27" s="134" t="n">
        <x:v>2</x:v>
      </x:c>
      <x:c r="O27" s="134" t="str">
        <x:v>合格</x:v>
      </x:c>
      <x:c r="P27" s="165" t="n">
        <x:v>30652.3325</x:v>
      </x:c>
      <x:c r="Q27" s="165" t="n">
        <x:v>202.9043</x:v>
      </x:c>
      <x:c r="R27" s="134" t="n">
        <x:v>3889</x:v>
      </x:c>
      <x:c r="S27" s="164" t="n">
        <x:v>0.0466</x:v>
      </x:c>
      <x:c r="T27" s="166" t="b">
        <x:v>1</x:v>
      </x:c>
      <x:c r="U27" s="49"/>
      <x:c r="V27" s="49"/>
      <x:c r="W27" s="49"/>
      <x:c r="X27" s="49"/>
      <x:c r="Y27" s="49"/>
      <x:c r="Z27" s="49"/>
      <x:c r="AA27" s="49"/>
      <x:c r="AB27" s="49"/>
      <x:c r="AC27" s="49"/>
      <x:c r="AD27" s="49"/>
      <x:c r="AE27" s="49"/>
      <x:c r="AF27" s="49"/>
      <x:c r="AG27" s="49"/>
      <x:c r="AH27" s="49"/>
      <x:c r="AI27" s="49"/>
      <x:c r="AJ27" s="49"/>
      <x:c r="AK27" s="49"/>
      <x:c r="AL27" s="49"/>
      <x:c r="AM27" s="49"/>
      <x:c r="AN27" s="49"/>
      <x:c r="AO27" s="49"/>
      <x:c r="AP27" s="49"/>
      <x:c r="AQ27" s="49"/>
      <x:c r="AR27" s="49"/>
      <x:c r="AS27" s="49"/>
      <x:c r="AT27" s="49"/>
      <x:c r="AU27" s="49"/>
      <x:c r="AV27" s="49"/>
      <x:c r="AW27" s="49"/>
      <x:c r="AX27" s="49"/>
      <x:c r="AY27" s="49"/>
      <x:c r="AZ27" s="49"/>
    </x:row>
    <x:row r="28">
      <x:c r="A28" s="49" t="str">
        <x:v>S023</x:v>
      </x:c>
      <x:c r="B28" s="49" t="str">
        <x:v>Supplier_S023_DE</x:v>
      </x:c>
      <x:c r="C28" s="49" t="str">
        <x:v>M008</x:v>
      </x:c>
      <x:c r="D28" s="49" t="str">
        <x:v>特种化学品</x:v>
      </x:c>
      <x:c r="E28" s="49" t="str">
        <x:v>升</x:v>
      </x:c>
      <x:c r="F28" s="49" t="str">
        <x:v>DE</x:v>
      </x:c>
      <x:c r="G28" s="49" t="str">
        <x:v>EUR</x:v>
      </x:c>
      <x:c r="H28" s="134" t="n">
        <x:v>34</x:v>
      </x:c>
      <x:c r="I28" s="134" t="n">
        <x:v>4145</x:v>
      </x:c>
      <x:c r="J28" s="134" t="n">
        <x:v>134</x:v>
      </x:c>
      <x:c r="K28" s="164" t="n">
        <x:v>0.9422</x:v>
      </x:c>
      <x:c r="L28" s="134" t="n">
        <x:v>45</x:v>
      </x:c>
      <x:c r="M28" s="134" t="n">
        <x:v>1</x:v>
      </x:c>
      <x:c r="N28" s="134" t="n">
        <x:v>3</x:v>
      </x:c>
      <x:c r="O28" s="134" t="str">
        <x:v>合格</x:v>
      </x:c>
      <x:c r="P28" s="165" t="n">
        <x:v>22.4259</x:v>
      </x:c>
      <x:c r="Q28" s="165" t="n">
        <x:v>0.5091</x:v>
      </x:c>
      <x:c r="R28" s="134" t="n">
        <x:v>5708</x:v>
      </x:c>
      <x:c r="S28" s="164" t="n">
        <x:v>0.0104</x:v>
      </x:c>
      <x:c r="T28" s="166" t="b">
        <x:v>1</x:v>
      </x:c>
      <x:c r="U28" s="49"/>
      <x:c r="V28" s="49"/>
      <x:c r="W28" s="49"/>
      <x:c r="X28" s="49"/>
      <x:c r="Y28" s="49"/>
      <x:c r="Z28" s="49"/>
      <x:c r="AA28" s="49"/>
      <x:c r="AB28" s="49"/>
      <x:c r="AC28" s="49"/>
      <x:c r="AD28" s="49"/>
      <x:c r="AE28" s="49"/>
      <x:c r="AF28" s="49"/>
      <x:c r="AG28" s="49"/>
      <x:c r="AH28" s="49"/>
      <x:c r="AI28" s="49"/>
      <x:c r="AJ28" s="49"/>
      <x:c r="AK28" s="49"/>
      <x:c r="AL28" s="49"/>
      <x:c r="AM28" s="49"/>
      <x:c r="AN28" s="49"/>
      <x:c r="AO28" s="49"/>
      <x:c r="AP28" s="49"/>
      <x:c r="AQ28" s="49"/>
      <x:c r="AR28" s="49"/>
      <x:c r="AS28" s="49"/>
      <x:c r="AT28" s="49"/>
      <x:c r="AU28" s="49"/>
      <x:c r="AV28" s="49"/>
      <x:c r="AW28" s="49"/>
      <x:c r="AX28" s="49"/>
      <x:c r="AY28" s="49"/>
      <x:c r="AZ28" s="49"/>
    </x:row>
    <x:row r="29">
      <x:c r="A29" s="49" t="str">
        <x:v>S024</x:v>
      </x:c>
      <x:c r="B29" s="49" t="str">
        <x:v>Supplier_S024_JP</x:v>
      </x:c>
      <x:c r="C29" s="49" t="str">
        <x:v>M008</x:v>
      </x:c>
      <x:c r="D29" s="49" t="str">
        <x:v>特种化学品</x:v>
      </x:c>
      <x:c r="E29" s="49" t="str">
        <x:v>升</x:v>
      </x:c>
      <x:c r="F29" s="49" t="str">
        <x:v>JP</x:v>
      </x:c>
      <x:c r="G29" s="49" t="str">
        <x:v>JPY</x:v>
      </x:c>
      <x:c r="H29" s="134" t="n">
        <x:v>56</x:v>
      </x:c>
      <x:c r="I29" s="134" t="n">
        <x:v>4653</x:v>
      </x:c>
      <x:c r="J29" s="134" t="n">
        <x:v>259</x:v>
      </x:c>
      <x:c r="K29" s="164" t="n">
        <x:v>0.9581</x:v>
      </x:c>
      <x:c r="L29" s="134" t="n">
        <x:v>30</x:v>
      </x:c>
      <x:c r="M29" s="134" t="n">
        <x:v>2</x:v>
      </x:c>
      <x:c r="N29" s="134" t="n">
        <x:v>2</x:v>
      </x:c>
      <x:c r="O29" s="134" t="str">
        <x:v>合格</x:v>
      </x:c>
      <x:c r="P29" s="165" t="n">
        <x:v>3175.2188</x:v>
      </x:c>
      <x:c r="Q29" s="165" t="n">
        <x:v>30.5306</x:v>
      </x:c>
      <x:c r="R29" s="134" t="n">
        <x:v>3223</x:v>
      </x:c>
      <x:c r="S29" s="164" t="n">
        <x:v>0.0403</x:v>
      </x:c>
      <x:c r="T29" s="166" t="b">
        <x:v>1</x:v>
      </x:c>
      <x:c r="U29" s="49"/>
      <x:c r="V29" s="49"/>
      <x:c r="W29" s="49"/>
      <x:c r="X29" s="49"/>
      <x:c r="Y29" s="49"/>
      <x:c r="Z29" s="49"/>
      <x:c r="AA29" s="49"/>
      <x:c r="AB29" s="49"/>
      <x:c r="AC29" s="49"/>
      <x:c r="AD29" s="49"/>
      <x:c r="AE29" s="49"/>
      <x:c r="AF29" s="49"/>
      <x:c r="AG29" s="49"/>
      <x:c r="AH29" s="49"/>
      <x:c r="AI29" s="49"/>
      <x:c r="AJ29" s="49"/>
      <x:c r="AK29" s="49"/>
      <x:c r="AL29" s="49"/>
      <x:c r="AM29" s="49"/>
      <x:c r="AN29" s="49"/>
      <x:c r="AO29" s="49"/>
      <x:c r="AP29" s="49"/>
      <x:c r="AQ29" s="49"/>
      <x:c r="AR29" s="49"/>
      <x:c r="AS29" s="49"/>
      <x:c r="AT29" s="49"/>
      <x:c r="AU29" s="49"/>
      <x:c r="AV29" s="49"/>
      <x:c r="AW29" s="49"/>
      <x:c r="AX29" s="49"/>
      <x:c r="AY29" s="49"/>
      <x:c r="AZ29" s="49"/>
    </x:row>
    <x:row r="30">
      <x:c r="A30" s="49"/>
      <x:c r="B30" s="49"/>
      <x:c r="C30" s="49"/>
      <x:c r="D30" s="49"/>
      <x:c r="E30" s="49"/>
      <x:c r="F30" s="49"/>
      <x:c r="G30" s="49"/>
      <x:c r="H30" s="49"/>
      <x:c r="I30" s="49"/>
      <x:c r="J30" s="49"/>
      <x:c r="K30" s="49"/>
      <x:c r="L30" s="49"/>
      <x:c r="M30" s="49"/>
      <x:c r="N30" s="49"/>
      <x:c r="O30" s="49"/>
      <x:c r="P30" s="49"/>
      <x:c r="Q30" s="49"/>
      <x:c r="R30" s="49"/>
      <x:c r="S30" s="49"/>
      <x:c r="T30" s="49"/>
      <x:c r="U30" s="49"/>
      <x:c r="V30" s="49"/>
      <x:c r="W30" s="49"/>
      <x:c r="X30" s="49"/>
      <x:c r="Y30" s="49"/>
      <x:c r="Z30" s="49"/>
      <x:c r="AA30" s="49"/>
      <x:c r="AB30" s="49"/>
      <x:c r="AC30" s="49"/>
      <x:c r="AD30" s="49"/>
      <x:c r="AE30" s="49"/>
      <x:c r="AF30" s="49"/>
      <x:c r="AG30" s="49"/>
      <x:c r="AH30" s="49"/>
      <x:c r="AI30" s="49"/>
      <x:c r="AJ30" s="49"/>
      <x:c r="AK30" s="49"/>
      <x:c r="AL30" s="49"/>
      <x:c r="AM30" s="49"/>
      <x:c r="AN30" s="49"/>
      <x:c r="AO30" s="49"/>
      <x:c r="AP30" s="49"/>
      <x:c r="AQ30" s="49"/>
      <x:c r="AR30" s="49"/>
      <x:c r="AS30" s="49"/>
      <x:c r="AT30" s="49"/>
      <x:c r="AU30" s="49"/>
      <x:c r="AV30" s="49"/>
      <x:c r="AW30" s="49"/>
      <x:c r="AX30" s="49"/>
      <x:c r="AY30" s="49"/>
      <x:c r="AZ30" s="49"/>
    </x:row>
    <x:row r="31">
      <x:c r="A31" s="49"/>
      <x:c r="B31" s="49"/>
      <x:c r="C31" s="49"/>
      <x:c r="D31" s="49"/>
      <x:c r="E31" s="49"/>
      <x:c r="F31" s="49"/>
      <x:c r="G31" s="49"/>
      <x:c r="H31" s="49"/>
      <x:c r="I31" s="49"/>
      <x:c r="J31" s="49"/>
      <x:c r="K31" s="49"/>
      <x:c r="L31" s="49"/>
      <x:c r="M31" s="49"/>
      <x:c r="N31" s="49"/>
      <x:c r="O31" s="49"/>
      <x:c r="P31" s="49"/>
      <x:c r="Q31" s="49"/>
      <x:c r="R31" s="49"/>
      <x:c r="S31" s="49"/>
      <x:c r="T31" s="49"/>
      <x:c r="U31" s="49"/>
      <x:c r="V31" s="49"/>
      <x:c r="W31" s="49"/>
      <x:c r="X31" s="49"/>
      <x:c r="Y31" s="49"/>
      <x:c r="Z31" s="49"/>
      <x:c r="AA31" s="49"/>
      <x:c r="AB31" s="49"/>
      <x:c r="AC31" s="49"/>
      <x:c r="AD31" s="49"/>
      <x:c r="AE31" s="49"/>
      <x:c r="AF31" s="49"/>
      <x:c r="AG31" s="49"/>
      <x:c r="AH31" s="49"/>
      <x:c r="AI31" s="49"/>
      <x:c r="AJ31" s="49"/>
      <x:c r="AK31" s="49"/>
      <x:c r="AL31" s="49"/>
      <x:c r="AM31" s="49"/>
      <x:c r="AN31" s="49"/>
      <x:c r="AO31" s="49"/>
      <x:c r="AP31" s="49"/>
      <x:c r="AQ31" s="49"/>
      <x:c r="AR31" s="49"/>
      <x:c r="AS31" s="49"/>
      <x:c r="AT31" s="49"/>
      <x:c r="AU31" s="49"/>
      <x:c r="AV31" s="49"/>
      <x:c r="AW31" s="49"/>
      <x:c r="AX31" s="49"/>
      <x:c r="AY31" s="49"/>
      <x:c r="AZ31" s="49"/>
    </x:row>
    <x:row r="32">
      <x:c r="A32" s="49"/>
      <x:c r="B32" s="49"/>
      <x:c r="C32" s="49"/>
      <x:c r="D32" s="49"/>
      <x:c r="E32" s="49"/>
      <x:c r="F32" s="49"/>
      <x:c r="G32" s="49"/>
      <x:c r="H32" s="49"/>
      <x:c r="I32" s="49"/>
      <x:c r="J32" s="49"/>
      <x:c r="K32" s="49"/>
      <x:c r="L32" s="49"/>
      <x:c r="M32" s="49"/>
      <x:c r="N32" s="49"/>
      <x:c r="O32" s="49"/>
      <x:c r="P32" s="49"/>
      <x:c r="Q32" s="49"/>
      <x:c r="R32" s="49"/>
      <x:c r="S32" s="49"/>
      <x:c r="T32" s="49"/>
      <x:c r="U32" s="49"/>
      <x:c r="V32" s="49"/>
      <x:c r="W32" s="49"/>
      <x:c r="X32" s="49"/>
      <x:c r="Y32" s="49"/>
      <x:c r="Z32" s="49"/>
      <x:c r="AA32" s="49"/>
      <x:c r="AB32" s="49"/>
      <x:c r="AC32" s="49"/>
      <x:c r="AD32" s="49"/>
      <x:c r="AE32" s="49"/>
      <x:c r="AF32" s="49"/>
      <x:c r="AG32" s="49"/>
      <x:c r="AH32" s="49"/>
      <x:c r="AI32" s="49"/>
      <x:c r="AJ32" s="49"/>
      <x:c r="AK32" s="49"/>
      <x:c r="AL32" s="49"/>
      <x:c r="AM32" s="49"/>
      <x:c r="AN32" s="49"/>
      <x:c r="AO32" s="49"/>
      <x:c r="AP32" s="49"/>
      <x:c r="AQ32" s="49"/>
      <x:c r="AR32" s="49"/>
      <x:c r="AS32" s="49"/>
      <x:c r="AT32" s="49"/>
      <x:c r="AU32" s="49"/>
      <x:c r="AV32" s="49"/>
      <x:c r="AW32" s="49"/>
      <x:c r="AX32" s="49"/>
      <x:c r="AY32" s="49"/>
      <x:c r="AZ32" s="49"/>
    </x:row>
    <x:row r="33">
      <x:c r="A33" s="49"/>
      <x:c r="B33" s="49"/>
      <x:c r="C33" s="49"/>
      <x:c r="D33" s="49"/>
      <x:c r="E33" s="49"/>
      <x:c r="F33" s="49"/>
      <x:c r="G33" s="49"/>
      <x:c r="H33" s="49"/>
      <x:c r="I33" s="49"/>
      <x:c r="J33" s="49"/>
      <x:c r="K33" s="49"/>
      <x:c r="L33" s="49"/>
      <x:c r="M33" s="49"/>
      <x:c r="N33" s="49"/>
      <x:c r="O33" s="49"/>
      <x:c r="P33" s="49"/>
      <x:c r="Q33" s="49"/>
      <x:c r="R33" s="49"/>
      <x:c r="S33" s="49"/>
      <x:c r="T33" s="49"/>
      <x:c r="U33" s="49"/>
      <x:c r="V33" s="49"/>
      <x:c r="W33" s="49"/>
      <x:c r="X33" s="49"/>
      <x:c r="Y33" s="49"/>
      <x:c r="Z33" s="49"/>
      <x:c r="AA33" s="49"/>
      <x:c r="AB33" s="49"/>
      <x:c r="AC33" s="49"/>
      <x:c r="AD33" s="49"/>
      <x:c r="AE33" s="49"/>
      <x:c r="AF33" s="49"/>
      <x:c r="AG33" s="49"/>
      <x:c r="AH33" s="49"/>
      <x:c r="AI33" s="49"/>
      <x:c r="AJ33" s="49"/>
      <x:c r="AK33" s="49"/>
      <x:c r="AL33" s="49"/>
      <x:c r="AM33" s="49"/>
      <x:c r="AN33" s="49"/>
      <x:c r="AO33" s="49"/>
      <x:c r="AP33" s="49"/>
      <x:c r="AQ33" s="49"/>
      <x:c r="AR33" s="49"/>
      <x:c r="AS33" s="49"/>
      <x:c r="AT33" s="49"/>
      <x:c r="AU33" s="49"/>
      <x:c r="AV33" s="49"/>
      <x:c r="AW33" s="49"/>
      <x:c r="AX33" s="49"/>
      <x:c r="AY33" s="49"/>
      <x:c r="AZ33" s="49"/>
    </x:row>
    <x:row r="34">
      <x:c r="A34" s="49"/>
      <x:c r="B34" s="49"/>
      <x:c r="C34" s="49"/>
      <x:c r="D34" s="49"/>
      <x:c r="E34" s="49"/>
      <x:c r="F34" s="49"/>
      <x:c r="G34" s="49"/>
      <x:c r="H34" s="49"/>
      <x:c r="I34" s="49"/>
      <x:c r="J34" s="49"/>
      <x:c r="K34" s="49"/>
      <x:c r="L34" s="49"/>
      <x:c r="M34" s="49"/>
      <x:c r="N34" s="49"/>
      <x:c r="O34" s="49"/>
      <x:c r="P34" s="49"/>
      <x:c r="Q34" s="49"/>
      <x:c r="R34" s="49"/>
      <x:c r="S34" s="49"/>
      <x:c r="T34" s="49"/>
      <x:c r="U34" s="49"/>
      <x:c r="V34" s="49"/>
      <x:c r="W34" s="49"/>
      <x:c r="X34" s="49"/>
      <x:c r="Y34" s="49"/>
      <x:c r="Z34" s="49"/>
      <x:c r="AA34" s="49"/>
      <x:c r="AB34" s="49"/>
      <x:c r="AC34" s="49"/>
      <x:c r="AD34" s="49"/>
      <x:c r="AE34" s="49"/>
      <x:c r="AF34" s="49"/>
      <x:c r="AG34" s="49"/>
      <x:c r="AH34" s="49"/>
      <x:c r="AI34" s="49"/>
      <x:c r="AJ34" s="49"/>
      <x:c r="AK34" s="49"/>
      <x:c r="AL34" s="49"/>
      <x:c r="AM34" s="49"/>
      <x:c r="AN34" s="49"/>
      <x:c r="AO34" s="49"/>
      <x:c r="AP34" s="49"/>
      <x:c r="AQ34" s="49"/>
      <x:c r="AR34" s="49"/>
      <x:c r="AS34" s="49"/>
      <x:c r="AT34" s="49"/>
      <x:c r="AU34" s="49"/>
      <x:c r="AV34" s="49"/>
      <x:c r="AW34" s="49"/>
      <x:c r="AX34" s="49"/>
      <x:c r="AY34" s="49"/>
      <x:c r="AZ34" s="49"/>
    </x:row>
    <x:row r="35">
      <x:c r="A35" s="49"/>
      <x:c r="B35" s="49"/>
      <x:c r="C35" s="49"/>
      <x:c r="D35" s="49"/>
      <x:c r="E35" s="49"/>
      <x:c r="F35" s="49"/>
      <x:c r="G35" s="49"/>
      <x:c r="H35" s="49"/>
      <x:c r="I35" s="49"/>
      <x:c r="J35" s="49"/>
      <x:c r="K35" s="49"/>
      <x:c r="L35" s="49"/>
      <x:c r="M35" s="49"/>
      <x:c r="N35" s="49"/>
      <x:c r="O35" s="49"/>
      <x:c r="P35" s="49"/>
      <x:c r="Q35" s="49"/>
      <x:c r="R35" s="49"/>
      <x:c r="S35" s="49"/>
      <x:c r="T35" s="49"/>
      <x:c r="U35" s="49"/>
      <x:c r="V35" s="49"/>
      <x:c r="W35" s="49"/>
      <x:c r="X35" s="49"/>
      <x:c r="Y35" s="49"/>
      <x:c r="Z35" s="49"/>
      <x:c r="AA35" s="49"/>
      <x:c r="AB35" s="49"/>
      <x:c r="AC35" s="49"/>
      <x:c r="AD35" s="49"/>
      <x:c r="AE35" s="49"/>
      <x:c r="AF35" s="49"/>
      <x:c r="AG35" s="49"/>
      <x:c r="AH35" s="49"/>
      <x:c r="AI35" s="49"/>
      <x:c r="AJ35" s="49"/>
      <x:c r="AK35" s="49"/>
      <x:c r="AL35" s="49"/>
      <x:c r="AM35" s="49"/>
      <x:c r="AN35" s="49"/>
      <x:c r="AO35" s="49"/>
      <x:c r="AP35" s="49"/>
      <x:c r="AQ35" s="49"/>
      <x:c r="AR35" s="49"/>
      <x:c r="AS35" s="49"/>
      <x:c r="AT35" s="49"/>
      <x:c r="AU35" s="49"/>
      <x:c r="AV35" s="49"/>
      <x:c r="AW35" s="49"/>
      <x:c r="AX35" s="49"/>
      <x:c r="AY35" s="49"/>
      <x:c r="AZ35" s="49"/>
    </x:row>
    <x:row r="36">
      <x:c r="A36" s="49"/>
      <x:c r="B36" s="49"/>
      <x:c r="C36" s="49"/>
      <x:c r="D36" s="49"/>
      <x:c r="E36" s="49"/>
      <x:c r="F36" s="49"/>
      <x:c r="G36" s="49"/>
      <x:c r="H36" s="49"/>
      <x:c r="I36" s="49"/>
      <x:c r="J36" s="49"/>
      <x:c r="K36" s="49"/>
      <x:c r="L36" s="49"/>
      <x:c r="M36" s="49"/>
      <x:c r="N36" s="49"/>
      <x:c r="O36" s="49"/>
      <x:c r="P36" s="49"/>
      <x:c r="Q36" s="49"/>
      <x:c r="R36" s="49"/>
      <x:c r="S36" s="49"/>
      <x:c r="T36" s="49"/>
      <x:c r="U36" s="49"/>
      <x:c r="V36" s="49"/>
      <x:c r="W36" s="49"/>
      <x:c r="X36" s="49"/>
      <x:c r="Y36" s="49"/>
      <x:c r="Z36" s="49"/>
      <x:c r="AA36" s="49"/>
      <x:c r="AB36" s="49"/>
      <x:c r="AC36" s="49"/>
      <x:c r="AD36" s="49"/>
      <x:c r="AE36" s="49"/>
      <x:c r="AF36" s="49"/>
      <x:c r="AG36" s="49"/>
      <x:c r="AH36" s="49"/>
      <x:c r="AI36" s="49"/>
      <x:c r="AJ36" s="49"/>
      <x:c r="AK36" s="49"/>
      <x:c r="AL36" s="49"/>
      <x:c r="AM36" s="49"/>
      <x:c r="AN36" s="49"/>
      <x:c r="AO36" s="49"/>
      <x:c r="AP36" s="49"/>
      <x:c r="AQ36" s="49"/>
      <x:c r="AR36" s="49"/>
      <x:c r="AS36" s="49"/>
      <x:c r="AT36" s="49"/>
      <x:c r="AU36" s="49"/>
      <x:c r="AV36" s="49"/>
      <x:c r="AW36" s="49"/>
      <x:c r="AX36" s="49"/>
      <x:c r="AY36" s="49"/>
      <x:c r="AZ36" s="49"/>
    </x:row>
    <x:row r="37">
      <x:c r="A37" s="49"/>
      <x:c r="B37" s="49"/>
      <x:c r="C37" s="49"/>
      <x:c r="D37" s="49"/>
      <x:c r="E37" s="49"/>
      <x:c r="F37" s="49"/>
      <x:c r="G37" s="49"/>
      <x:c r="H37" s="49"/>
      <x:c r="I37" s="49"/>
      <x:c r="J37" s="49"/>
      <x:c r="K37" s="49"/>
      <x:c r="L37" s="49"/>
      <x:c r="M37" s="49"/>
      <x:c r="N37" s="49"/>
      <x:c r="O37" s="49"/>
      <x:c r="P37" s="49"/>
      <x:c r="Q37" s="49"/>
      <x:c r="R37" s="49"/>
      <x:c r="S37" s="49"/>
      <x:c r="T37" s="49"/>
      <x:c r="U37" s="49"/>
      <x:c r="V37" s="49"/>
      <x:c r="W37" s="49"/>
      <x:c r="X37" s="49"/>
      <x:c r="Y37" s="49"/>
      <x:c r="Z37" s="49"/>
      <x:c r="AA37" s="49"/>
      <x:c r="AB37" s="49"/>
      <x:c r="AC37" s="49"/>
      <x:c r="AD37" s="49"/>
      <x:c r="AE37" s="49"/>
      <x:c r="AF37" s="49"/>
      <x:c r="AG37" s="49"/>
      <x:c r="AH37" s="49"/>
      <x:c r="AI37" s="49"/>
      <x:c r="AJ37" s="49"/>
      <x:c r="AK37" s="49"/>
      <x:c r="AL37" s="49"/>
      <x:c r="AM37" s="49"/>
      <x:c r="AN37" s="49"/>
      <x:c r="AO37" s="49"/>
      <x:c r="AP37" s="49"/>
      <x:c r="AQ37" s="49"/>
      <x:c r="AR37" s="49"/>
      <x:c r="AS37" s="49"/>
      <x:c r="AT37" s="49"/>
      <x:c r="AU37" s="49"/>
      <x:c r="AV37" s="49"/>
      <x:c r="AW37" s="49"/>
      <x:c r="AX37" s="49"/>
      <x:c r="AY37" s="49"/>
      <x:c r="AZ37" s="49"/>
    </x:row>
    <x:row r="38">
      <x:c r="A38" s="49"/>
      <x:c r="B38" s="49"/>
      <x:c r="C38" s="49"/>
      <x:c r="D38" s="49"/>
      <x:c r="E38" s="49"/>
      <x:c r="F38" s="49"/>
      <x:c r="G38" s="49"/>
      <x:c r="H38" s="49"/>
      <x:c r="I38" s="49"/>
      <x:c r="J38" s="49"/>
      <x:c r="K38" s="49"/>
      <x:c r="L38" s="49"/>
      <x:c r="M38" s="49"/>
      <x:c r="N38" s="49"/>
      <x:c r="O38" s="49"/>
      <x:c r="P38" s="49"/>
      <x:c r="Q38" s="49"/>
      <x:c r="R38" s="49"/>
      <x:c r="S38" s="49"/>
      <x:c r="T38" s="49"/>
      <x:c r="U38" s="49"/>
      <x:c r="V38" s="49"/>
      <x:c r="W38" s="49"/>
      <x:c r="X38" s="49"/>
      <x:c r="Y38" s="49"/>
      <x:c r="Z38" s="49"/>
      <x:c r="AA38" s="49"/>
      <x:c r="AB38" s="49"/>
      <x:c r="AC38" s="49"/>
      <x:c r="AD38" s="49"/>
      <x:c r="AE38" s="49"/>
      <x:c r="AF38" s="49"/>
      <x:c r="AG38" s="49"/>
      <x:c r="AH38" s="49"/>
      <x:c r="AI38" s="49"/>
      <x:c r="AJ38" s="49"/>
      <x:c r="AK38" s="49"/>
      <x:c r="AL38" s="49"/>
      <x:c r="AM38" s="49"/>
      <x:c r="AN38" s="49"/>
      <x:c r="AO38" s="49"/>
      <x:c r="AP38" s="49"/>
      <x:c r="AQ38" s="49"/>
      <x:c r="AR38" s="49"/>
      <x:c r="AS38" s="49"/>
      <x:c r="AT38" s="49"/>
      <x:c r="AU38" s="49"/>
      <x:c r="AV38" s="49"/>
      <x:c r="AW38" s="49"/>
      <x:c r="AX38" s="49"/>
      <x:c r="AY38" s="49"/>
      <x:c r="AZ38" s="49"/>
    </x:row>
    <x:row r="39">
      <x:c r="A39" s="49"/>
      <x:c r="B39" s="49"/>
      <x:c r="C39" s="49"/>
      <x:c r="D39" s="49"/>
      <x:c r="E39" s="49"/>
      <x:c r="F39" s="49"/>
      <x:c r="G39" s="49"/>
      <x:c r="H39" s="49"/>
      <x:c r="I39" s="49"/>
      <x:c r="J39" s="49"/>
      <x:c r="K39" s="49"/>
      <x:c r="L39" s="49"/>
      <x:c r="M39" s="49"/>
      <x:c r="N39" s="49"/>
      <x:c r="O39" s="49"/>
      <x:c r="P39" s="49"/>
      <x:c r="Q39" s="49"/>
      <x:c r="R39" s="49"/>
      <x:c r="S39" s="49"/>
      <x:c r="T39" s="49"/>
      <x:c r="U39" s="49"/>
      <x:c r="V39" s="49"/>
      <x:c r="W39" s="49"/>
      <x:c r="X39" s="49"/>
      <x:c r="Y39" s="49"/>
      <x:c r="Z39" s="49"/>
      <x:c r="AA39" s="49"/>
      <x:c r="AB39" s="49"/>
      <x:c r="AC39" s="49"/>
      <x:c r="AD39" s="49"/>
      <x:c r="AE39" s="49"/>
      <x:c r="AF39" s="49"/>
      <x:c r="AG39" s="49"/>
      <x:c r="AH39" s="49"/>
      <x:c r="AI39" s="49"/>
      <x:c r="AJ39" s="49"/>
      <x:c r="AK39" s="49"/>
      <x:c r="AL39" s="49"/>
      <x:c r="AM39" s="49"/>
      <x:c r="AN39" s="49"/>
      <x:c r="AO39" s="49"/>
      <x:c r="AP39" s="49"/>
      <x:c r="AQ39" s="49"/>
      <x:c r="AR39" s="49"/>
      <x:c r="AS39" s="49"/>
      <x:c r="AT39" s="49"/>
      <x:c r="AU39" s="49"/>
      <x:c r="AV39" s="49"/>
      <x:c r="AW39" s="49"/>
      <x:c r="AX39" s="49"/>
      <x:c r="AY39" s="49"/>
      <x:c r="AZ39" s="49"/>
    </x:row>
    <x:row r="40">
      <x:c r="A40" s="49"/>
      <x:c r="B40" s="49"/>
      <x:c r="C40" s="49"/>
      <x:c r="D40" s="49"/>
      <x:c r="E40" s="49"/>
      <x:c r="F40" s="49"/>
      <x:c r="G40" s="49"/>
      <x:c r="H40" s="49"/>
      <x:c r="I40" s="49"/>
      <x:c r="J40" s="49"/>
      <x:c r="K40" s="49"/>
      <x:c r="L40" s="49"/>
      <x:c r="M40" s="49"/>
      <x:c r="N40" s="49"/>
      <x:c r="O40" s="49"/>
      <x:c r="P40" s="49"/>
      <x:c r="Q40" s="49"/>
      <x:c r="R40" s="49"/>
      <x:c r="S40" s="49"/>
      <x:c r="T40" s="49"/>
      <x:c r="U40" s="49"/>
      <x:c r="V40" s="49"/>
      <x:c r="W40" s="49"/>
      <x:c r="X40" s="49"/>
      <x:c r="Y40" s="49"/>
      <x:c r="Z40" s="49"/>
      <x:c r="AA40" s="49"/>
      <x:c r="AB40" s="49"/>
      <x:c r="AC40" s="49"/>
      <x:c r="AD40" s="49"/>
      <x:c r="AE40" s="49"/>
      <x:c r="AF40" s="49"/>
      <x:c r="AG40" s="49"/>
      <x:c r="AH40" s="49"/>
      <x:c r="AI40" s="49"/>
      <x:c r="AJ40" s="49"/>
      <x:c r="AK40" s="49"/>
      <x:c r="AL40" s="49"/>
      <x:c r="AM40" s="49"/>
      <x:c r="AN40" s="49"/>
      <x:c r="AO40" s="49"/>
      <x:c r="AP40" s="49"/>
      <x:c r="AQ40" s="49"/>
      <x:c r="AR40" s="49"/>
      <x:c r="AS40" s="49"/>
      <x:c r="AT40" s="49"/>
      <x:c r="AU40" s="49"/>
      <x:c r="AV40" s="49"/>
      <x:c r="AW40" s="49"/>
      <x:c r="AX40" s="49"/>
      <x:c r="AY40" s="49"/>
      <x:c r="AZ40" s="49"/>
    </x:row>
    <x:row r="41">
      <x:c r="A41" s="49"/>
      <x:c r="B41" s="49"/>
      <x:c r="C41" s="49"/>
      <x:c r="D41" s="49"/>
      <x:c r="E41" s="49"/>
      <x:c r="F41" s="49"/>
      <x:c r="G41" s="49"/>
      <x:c r="H41" s="49"/>
      <x:c r="I41" s="49"/>
      <x:c r="J41" s="49"/>
      <x:c r="K41" s="49"/>
      <x:c r="L41" s="49"/>
      <x:c r="M41" s="49"/>
      <x:c r="N41" s="49"/>
      <x:c r="O41" s="49"/>
      <x:c r="P41" s="49"/>
      <x:c r="Q41" s="49"/>
      <x:c r="R41" s="49"/>
      <x:c r="S41" s="49"/>
      <x:c r="T41" s="49"/>
      <x:c r="U41" s="49"/>
      <x:c r="V41" s="49"/>
      <x:c r="W41" s="49"/>
      <x:c r="X41" s="49"/>
      <x:c r="Y41" s="49"/>
      <x:c r="Z41" s="49"/>
      <x:c r="AA41" s="49"/>
      <x:c r="AB41" s="49"/>
      <x:c r="AC41" s="49"/>
      <x:c r="AD41" s="49"/>
      <x:c r="AE41" s="49"/>
      <x:c r="AF41" s="49"/>
      <x:c r="AG41" s="49"/>
      <x:c r="AH41" s="49"/>
      <x:c r="AI41" s="49"/>
      <x:c r="AJ41" s="49"/>
      <x:c r="AK41" s="49"/>
      <x:c r="AL41" s="49"/>
      <x:c r="AM41" s="49"/>
      <x:c r="AN41" s="49"/>
      <x:c r="AO41" s="49"/>
      <x:c r="AP41" s="49"/>
      <x:c r="AQ41" s="49"/>
      <x:c r="AR41" s="49"/>
      <x:c r="AS41" s="49"/>
      <x:c r="AT41" s="49"/>
      <x:c r="AU41" s="49"/>
      <x:c r="AV41" s="49"/>
      <x:c r="AW41" s="49"/>
      <x:c r="AX41" s="49"/>
      <x:c r="AY41" s="49"/>
      <x:c r="AZ41" s="49"/>
    </x:row>
    <x:row r="42">
      <x:c r="A42" s="49"/>
      <x:c r="B42" s="49"/>
      <x:c r="C42" s="49"/>
      <x:c r="D42" s="49"/>
      <x:c r="E42" s="49"/>
      <x:c r="F42" s="49"/>
      <x:c r="G42" s="49"/>
      <x:c r="H42" s="49"/>
      <x:c r="I42" s="49"/>
      <x:c r="J42" s="49"/>
      <x:c r="K42" s="49"/>
      <x:c r="L42" s="49"/>
      <x:c r="M42" s="49"/>
      <x:c r="N42" s="49"/>
      <x:c r="O42" s="49"/>
      <x:c r="P42" s="49"/>
      <x:c r="Q42" s="49"/>
      <x:c r="R42" s="49"/>
      <x:c r="S42" s="49"/>
      <x:c r="T42" s="49"/>
      <x:c r="U42" s="49"/>
      <x:c r="V42" s="49"/>
      <x:c r="W42" s="49"/>
      <x:c r="X42" s="49"/>
      <x:c r="Y42" s="49"/>
      <x:c r="Z42" s="49"/>
      <x:c r="AA42" s="49"/>
      <x:c r="AB42" s="49"/>
      <x:c r="AC42" s="49"/>
      <x:c r="AD42" s="49"/>
      <x:c r="AE42" s="49"/>
      <x:c r="AF42" s="49"/>
      <x:c r="AG42" s="49"/>
      <x:c r="AH42" s="49"/>
      <x:c r="AI42" s="49"/>
      <x:c r="AJ42" s="49"/>
      <x:c r="AK42" s="49"/>
      <x:c r="AL42" s="49"/>
      <x:c r="AM42" s="49"/>
      <x:c r="AN42" s="49"/>
      <x:c r="AO42" s="49"/>
      <x:c r="AP42" s="49"/>
      <x:c r="AQ42" s="49"/>
      <x:c r="AR42" s="49"/>
      <x:c r="AS42" s="49"/>
      <x:c r="AT42" s="49"/>
      <x:c r="AU42" s="49"/>
      <x:c r="AV42" s="49"/>
      <x:c r="AW42" s="49"/>
      <x:c r="AX42" s="49"/>
      <x:c r="AY42" s="49"/>
      <x:c r="AZ42" s="49"/>
    </x:row>
    <x:row r="43">
      <x:c r="A43" s="49"/>
      <x:c r="B43" s="49"/>
      <x:c r="C43" s="49"/>
      <x:c r="D43" s="49"/>
      <x:c r="E43" s="49"/>
      <x:c r="F43" s="49"/>
      <x:c r="G43" s="49"/>
      <x:c r="H43" s="49"/>
      <x:c r="I43" s="49"/>
      <x:c r="J43" s="49"/>
      <x:c r="K43" s="49"/>
      <x:c r="L43" s="49"/>
      <x:c r="M43" s="49"/>
      <x:c r="N43" s="49"/>
      <x:c r="O43" s="49"/>
      <x:c r="P43" s="49"/>
      <x:c r="Q43" s="49"/>
      <x:c r="R43" s="49"/>
      <x:c r="S43" s="49"/>
      <x:c r="T43" s="49"/>
      <x:c r="U43" s="49"/>
      <x:c r="V43" s="49"/>
      <x:c r="W43" s="49"/>
      <x:c r="X43" s="49"/>
      <x:c r="Y43" s="49"/>
      <x:c r="Z43" s="49"/>
      <x:c r="AA43" s="49"/>
      <x:c r="AB43" s="49"/>
      <x:c r="AC43" s="49"/>
      <x:c r="AD43" s="49"/>
      <x:c r="AE43" s="49"/>
      <x:c r="AF43" s="49"/>
      <x:c r="AG43" s="49"/>
      <x:c r="AH43" s="49"/>
      <x:c r="AI43" s="49"/>
      <x:c r="AJ43" s="49"/>
      <x:c r="AK43" s="49"/>
      <x:c r="AL43" s="49"/>
      <x:c r="AM43" s="49"/>
      <x:c r="AN43" s="49"/>
      <x:c r="AO43" s="49"/>
      <x:c r="AP43" s="49"/>
      <x:c r="AQ43" s="49"/>
      <x:c r="AR43" s="49"/>
      <x:c r="AS43" s="49"/>
      <x:c r="AT43" s="49"/>
      <x:c r="AU43" s="49"/>
      <x:c r="AV43" s="49"/>
      <x:c r="AW43" s="49"/>
      <x:c r="AX43" s="49"/>
      <x:c r="AY43" s="49"/>
      <x:c r="AZ43" s="49"/>
    </x:row>
    <x:row r="44">
      <x:c r="A44" s="49"/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49"/>
      <x:c r="N44" s="49"/>
      <x:c r="O44" s="49"/>
      <x:c r="P44" s="49"/>
      <x:c r="Q44" s="49"/>
      <x:c r="R44" s="49"/>
      <x:c r="S44" s="49"/>
      <x:c r="T44" s="49"/>
      <x:c r="U44" s="49"/>
      <x:c r="V44" s="49"/>
      <x:c r="W44" s="49"/>
      <x:c r="X44" s="49"/>
      <x:c r="Y44" s="49"/>
      <x:c r="Z44" s="49"/>
      <x:c r="AA44" s="49"/>
      <x:c r="AB44" s="49"/>
      <x:c r="AC44" s="49"/>
      <x:c r="AD44" s="49"/>
      <x:c r="AE44" s="49"/>
      <x:c r="AF44" s="49"/>
      <x:c r="AG44" s="49"/>
      <x:c r="AH44" s="49"/>
      <x:c r="AI44" s="49"/>
      <x:c r="AJ44" s="49"/>
      <x:c r="AK44" s="49"/>
      <x:c r="AL44" s="49"/>
      <x:c r="AM44" s="49"/>
      <x:c r="AN44" s="49"/>
      <x:c r="AO44" s="49"/>
      <x:c r="AP44" s="49"/>
      <x:c r="AQ44" s="49"/>
      <x:c r="AR44" s="49"/>
      <x:c r="AS44" s="49"/>
      <x:c r="AT44" s="49"/>
      <x:c r="AU44" s="49"/>
      <x:c r="AV44" s="49"/>
      <x:c r="AW44" s="49"/>
      <x:c r="AX44" s="49"/>
      <x:c r="AY44" s="49"/>
      <x:c r="AZ44" s="49"/>
    </x:row>
    <x:row r="45">
      <x:c r="A45" s="49"/>
      <x:c r="B45" s="49"/>
      <x:c r="C45" s="49"/>
      <x:c r="D45" s="49"/>
      <x:c r="E45" s="49"/>
      <x:c r="F45" s="49"/>
      <x:c r="G45" s="49"/>
      <x:c r="H45" s="49"/>
      <x:c r="I45" s="49"/>
      <x:c r="J45" s="49"/>
      <x:c r="K45" s="49"/>
      <x:c r="L45" s="49"/>
      <x:c r="M45" s="49"/>
      <x:c r="N45" s="49"/>
      <x:c r="O45" s="49"/>
      <x:c r="P45" s="49"/>
      <x:c r="Q45" s="49"/>
      <x:c r="R45" s="49"/>
      <x:c r="S45" s="49"/>
      <x:c r="T45" s="49"/>
      <x:c r="U45" s="49"/>
      <x:c r="V45" s="49"/>
      <x:c r="W45" s="49"/>
      <x:c r="X45" s="49"/>
      <x:c r="Y45" s="49"/>
      <x:c r="Z45" s="49"/>
      <x:c r="AA45" s="49"/>
      <x:c r="AB45" s="49"/>
      <x:c r="AC45" s="49"/>
      <x:c r="AD45" s="49"/>
      <x:c r="AE45" s="49"/>
      <x:c r="AF45" s="49"/>
      <x:c r="AG45" s="49"/>
      <x:c r="AH45" s="49"/>
      <x:c r="AI45" s="49"/>
      <x:c r="AJ45" s="49"/>
      <x:c r="AK45" s="49"/>
      <x:c r="AL45" s="49"/>
      <x:c r="AM45" s="49"/>
      <x:c r="AN45" s="49"/>
      <x:c r="AO45" s="49"/>
      <x:c r="AP45" s="49"/>
      <x:c r="AQ45" s="49"/>
      <x:c r="AR45" s="49"/>
      <x:c r="AS45" s="49"/>
      <x:c r="AT45" s="49"/>
      <x:c r="AU45" s="49"/>
      <x:c r="AV45" s="49"/>
      <x:c r="AW45" s="49"/>
      <x:c r="AX45" s="49"/>
      <x:c r="AY45" s="49"/>
      <x:c r="AZ45" s="49"/>
    </x:row>
    <x:row r="46">
      <x:c r="A46" s="49"/>
      <x:c r="B46" s="49"/>
      <x:c r="C46" s="49"/>
      <x:c r="D46" s="49"/>
      <x:c r="E46" s="49"/>
      <x:c r="F46" s="49"/>
      <x:c r="G46" s="49"/>
      <x:c r="H46" s="49"/>
      <x:c r="I46" s="49"/>
      <x:c r="J46" s="49"/>
      <x:c r="K46" s="49"/>
      <x:c r="L46" s="49"/>
      <x:c r="M46" s="49"/>
      <x:c r="N46" s="49"/>
      <x:c r="O46" s="49"/>
      <x:c r="P46" s="49"/>
      <x:c r="Q46" s="49"/>
      <x:c r="R46" s="49"/>
      <x:c r="S46" s="49"/>
      <x:c r="T46" s="49"/>
      <x:c r="U46" s="49"/>
      <x:c r="V46" s="49"/>
      <x:c r="W46" s="49"/>
      <x:c r="X46" s="49"/>
      <x:c r="Y46" s="49"/>
      <x:c r="Z46" s="49"/>
      <x:c r="AA46" s="49"/>
      <x:c r="AB46" s="49"/>
      <x:c r="AC46" s="49"/>
      <x:c r="AD46" s="49"/>
      <x:c r="AE46" s="49"/>
      <x:c r="AF46" s="49"/>
      <x:c r="AG46" s="49"/>
      <x:c r="AH46" s="49"/>
      <x:c r="AI46" s="49"/>
      <x:c r="AJ46" s="49"/>
      <x:c r="AK46" s="49"/>
      <x:c r="AL46" s="49"/>
      <x:c r="AM46" s="49"/>
      <x:c r="AN46" s="49"/>
      <x:c r="AO46" s="49"/>
      <x:c r="AP46" s="49"/>
      <x:c r="AQ46" s="49"/>
      <x:c r="AR46" s="49"/>
      <x:c r="AS46" s="49"/>
      <x:c r="AT46" s="49"/>
      <x:c r="AU46" s="49"/>
      <x:c r="AV46" s="49"/>
      <x:c r="AW46" s="49"/>
      <x:c r="AX46" s="49"/>
      <x:c r="AY46" s="49"/>
      <x:c r="AZ46" s="49"/>
    </x:row>
    <x:row r="47">
      <x:c r="A47" s="49"/>
      <x:c r="B47" s="49"/>
      <x:c r="C47" s="49"/>
      <x:c r="D47" s="49"/>
      <x:c r="E47" s="49"/>
      <x:c r="F47" s="49"/>
      <x:c r="G47" s="49"/>
      <x:c r="H47" s="49"/>
      <x:c r="I47" s="49"/>
      <x:c r="J47" s="49"/>
      <x:c r="K47" s="49"/>
      <x:c r="L47" s="49"/>
      <x:c r="M47" s="49"/>
      <x:c r="N47" s="49"/>
      <x:c r="O47" s="49"/>
      <x:c r="P47" s="49"/>
      <x:c r="Q47" s="49"/>
      <x:c r="R47" s="49"/>
      <x:c r="S47" s="49"/>
      <x:c r="T47" s="49"/>
      <x:c r="U47" s="49"/>
      <x:c r="V47" s="49"/>
      <x:c r="W47" s="49"/>
      <x:c r="X47" s="49"/>
      <x:c r="Y47" s="49"/>
      <x:c r="Z47" s="49"/>
      <x:c r="AA47" s="49"/>
      <x:c r="AB47" s="49"/>
      <x:c r="AC47" s="49"/>
      <x:c r="AD47" s="49"/>
      <x:c r="AE47" s="49"/>
      <x:c r="AF47" s="49"/>
      <x:c r="AG47" s="49"/>
      <x:c r="AH47" s="49"/>
      <x:c r="AI47" s="49"/>
      <x:c r="AJ47" s="49"/>
      <x:c r="AK47" s="49"/>
      <x:c r="AL47" s="49"/>
      <x:c r="AM47" s="49"/>
      <x:c r="AN47" s="49"/>
      <x:c r="AO47" s="49"/>
      <x:c r="AP47" s="49"/>
      <x:c r="AQ47" s="49"/>
      <x:c r="AR47" s="49"/>
      <x:c r="AS47" s="49"/>
      <x:c r="AT47" s="49"/>
      <x:c r="AU47" s="49"/>
      <x:c r="AV47" s="49"/>
      <x:c r="AW47" s="49"/>
      <x:c r="AX47" s="49"/>
      <x:c r="AY47" s="49"/>
      <x:c r="AZ47" s="49"/>
    </x:row>
    <x:row r="48">
      <x:c r="A48" s="49"/>
      <x:c r="B48" s="49"/>
      <x:c r="C48" s="49"/>
      <x:c r="D48" s="49"/>
      <x:c r="E48" s="49"/>
      <x:c r="F48" s="49"/>
      <x:c r="G48" s="49"/>
      <x:c r="H48" s="49"/>
      <x:c r="I48" s="49"/>
      <x:c r="J48" s="49"/>
      <x:c r="K48" s="49"/>
      <x:c r="L48" s="49"/>
      <x:c r="M48" s="49"/>
      <x:c r="N48" s="49"/>
      <x:c r="O48" s="49"/>
      <x:c r="P48" s="49"/>
      <x:c r="Q48" s="49"/>
      <x:c r="R48" s="49"/>
      <x:c r="S48" s="49"/>
      <x:c r="T48" s="49"/>
      <x:c r="U48" s="49"/>
      <x:c r="V48" s="49"/>
      <x:c r="W48" s="49"/>
      <x:c r="X48" s="49"/>
      <x:c r="Y48" s="49"/>
      <x:c r="Z48" s="49"/>
      <x:c r="AA48" s="49"/>
      <x:c r="AB48" s="49"/>
      <x:c r="AC48" s="49"/>
      <x:c r="AD48" s="49"/>
      <x:c r="AE48" s="49"/>
      <x:c r="AF48" s="49"/>
      <x:c r="AG48" s="49"/>
      <x:c r="AH48" s="49"/>
      <x:c r="AI48" s="49"/>
      <x:c r="AJ48" s="49"/>
      <x:c r="AK48" s="49"/>
      <x:c r="AL48" s="49"/>
      <x:c r="AM48" s="49"/>
      <x:c r="AN48" s="49"/>
      <x:c r="AO48" s="49"/>
      <x:c r="AP48" s="49"/>
      <x:c r="AQ48" s="49"/>
      <x:c r="AR48" s="49"/>
      <x:c r="AS48" s="49"/>
      <x:c r="AT48" s="49"/>
      <x:c r="AU48" s="49"/>
      <x:c r="AV48" s="49"/>
      <x:c r="AW48" s="49"/>
      <x:c r="AX48" s="49"/>
      <x:c r="AY48" s="49"/>
      <x:c r="AZ48" s="49"/>
    </x:row>
    <x:row r="49">
      <x:c r="A49" s="49"/>
      <x:c r="B49" s="49"/>
      <x:c r="C49" s="49"/>
      <x:c r="D49" s="49"/>
      <x:c r="E49" s="49"/>
      <x:c r="F49" s="49"/>
      <x:c r="G49" s="49"/>
      <x:c r="H49" s="49"/>
      <x:c r="I49" s="49"/>
      <x:c r="J49" s="49"/>
      <x:c r="K49" s="49"/>
      <x:c r="L49" s="49"/>
      <x:c r="M49" s="49"/>
      <x:c r="N49" s="49"/>
      <x:c r="O49" s="49"/>
      <x:c r="P49" s="49"/>
      <x:c r="Q49" s="49"/>
      <x:c r="R49" s="49"/>
      <x:c r="S49" s="49"/>
      <x:c r="T49" s="49"/>
      <x:c r="U49" s="49"/>
      <x:c r="V49" s="49"/>
      <x:c r="W49" s="49"/>
      <x:c r="X49" s="49"/>
      <x:c r="Y49" s="49"/>
      <x:c r="Z49" s="49"/>
      <x:c r="AA49" s="49"/>
      <x:c r="AB49" s="49"/>
      <x:c r="AC49" s="49"/>
      <x:c r="AD49" s="49"/>
      <x:c r="AE49" s="49"/>
      <x:c r="AF49" s="49"/>
      <x:c r="AG49" s="49"/>
      <x:c r="AH49" s="49"/>
      <x:c r="AI49" s="49"/>
      <x:c r="AJ49" s="49"/>
      <x:c r="AK49" s="49"/>
      <x:c r="AL49" s="49"/>
      <x:c r="AM49" s="49"/>
      <x:c r="AN49" s="49"/>
      <x:c r="AO49" s="49"/>
      <x:c r="AP49" s="49"/>
      <x:c r="AQ49" s="49"/>
      <x:c r="AR49" s="49"/>
      <x:c r="AS49" s="49"/>
      <x:c r="AT49" s="49"/>
      <x:c r="AU49" s="49"/>
      <x:c r="AV49" s="49"/>
      <x:c r="AW49" s="49"/>
      <x:c r="AX49" s="49"/>
      <x:c r="AY49" s="49"/>
      <x:c r="AZ49" s="49"/>
    </x:row>
    <x:row r="50">
      <x:c r="A50" s="49"/>
      <x:c r="B50" s="49"/>
      <x:c r="C50" s="49"/>
      <x:c r="D50" s="49"/>
      <x:c r="E50" s="49"/>
      <x:c r="F50" s="49"/>
      <x:c r="G50" s="49"/>
      <x:c r="H50" s="49"/>
      <x:c r="I50" s="49"/>
      <x:c r="J50" s="49"/>
      <x:c r="K50" s="49"/>
      <x:c r="L50" s="49"/>
      <x:c r="M50" s="49"/>
      <x:c r="N50" s="49"/>
      <x:c r="O50" s="49"/>
      <x:c r="P50" s="49"/>
      <x:c r="Q50" s="49"/>
      <x:c r="R50" s="49"/>
      <x:c r="S50" s="49"/>
      <x:c r="T50" s="49"/>
      <x:c r="U50" s="49"/>
      <x:c r="V50" s="49"/>
      <x:c r="W50" s="49"/>
      <x:c r="X50" s="49"/>
      <x:c r="Y50" s="49"/>
      <x:c r="Z50" s="49"/>
      <x:c r="AA50" s="49"/>
      <x:c r="AB50" s="49"/>
      <x:c r="AC50" s="49"/>
      <x:c r="AD50" s="49"/>
      <x:c r="AE50" s="49"/>
      <x:c r="AF50" s="49"/>
      <x:c r="AG50" s="49"/>
      <x:c r="AH50" s="49"/>
      <x:c r="AI50" s="49"/>
      <x:c r="AJ50" s="49"/>
      <x:c r="AK50" s="49"/>
      <x:c r="AL50" s="49"/>
      <x:c r="AM50" s="49"/>
      <x:c r="AN50" s="49"/>
      <x:c r="AO50" s="49"/>
      <x:c r="AP50" s="49"/>
      <x:c r="AQ50" s="49"/>
      <x:c r="AR50" s="49"/>
      <x:c r="AS50" s="49"/>
      <x:c r="AT50" s="49"/>
      <x:c r="AU50" s="49"/>
      <x:c r="AV50" s="49"/>
      <x:c r="AW50" s="49"/>
      <x:c r="AX50" s="49"/>
      <x:c r="AY50" s="49"/>
      <x:c r="AZ50" s="49"/>
    </x:row>
    <x:row r="51">
      <x:c r="A51" s="49"/>
      <x:c r="B51" s="49"/>
      <x:c r="C51" s="49"/>
      <x:c r="D51" s="49"/>
      <x:c r="E51" s="49"/>
      <x:c r="F51" s="49"/>
      <x:c r="G51" s="49"/>
      <x:c r="H51" s="49"/>
      <x:c r="I51" s="49"/>
      <x:c r="J51" s="49"/>
      <x:c r="K51" s="49"/>
      <x:c r="L51" s="49"/>
      <x:c r="M51" s="49"/>
      <x:c r="N51" s="49"/>
      <x:c r="O51" s="49"/>
      <x:c r="P51" s="49"/>
      <x:c r="Q51" s="49"/>
      <x:c r="R51" s="49"/>
      <x:c r="S51" s="49"/>
      <x:c r="T51" s="49"/>
      <x:c r="U51" s="49"/>
      <x:c r="V51" s="49"/>
      <x:c r="W51" s="49"/>
      <x:c r="X51" s="49"/>
      <x:c r="Y51" s="49"/>
      <x:c r="Z51" s="49"/>
      <x:c r="AA51" s="49"/>
      <x:c r="AB51" s="49"/>
      <x:c r="AC51" s="49"/>
      <x:c r="AD51" s="49"/>
      <x:c r="AE51" s="49"/>
      <x:c r="AF51" s="49"/>
      <x:c r="AG51" s="49"/>
      <x:c r="AH51" s="49"/>
      <x:c r="AI51" s="49"/>
      <x:c r="AJ51" s="49"/>
      <x:c r="AK51" s="49"/>
      <x:c r="AL51" s="49"/>
      <x:c r="AM51" s="49"/>
      <x:c r="AN51" s="49"/>
      <x:c r="AO51" s="49"/>
      <x:c r="AP51" s="49"/>
      <x:c r="AQ51" s="49"/>
      <x:c r="AR51" s="49"/>
      <x:c r="AS51" s="49"/>
      <x:c r="AT51" s="49"/>
      <x:c r="AU51" s="49"/>
      <x:c r="AV51" s="49"/>
      <x:c r="AW51" s="49"/>
      <x:c r="AX51" s="49"/>
      <x:c r="AY51" s="49"/>
      <x:c r="AZ51" s="49"/>
    </x:row>
    <x:row r="52">
      <x:c r="A52" s="49"/>
      <x:c r="B52" s="49"/>
      <x:c r="C52" s="49"/>
      <x:c r="D52" s="49"/>
      <x:c r="E52" s="49"/>
      <x:c r="F52" s="49"/>
      <x:c r="G52" s="49"/>
      <x:c r="H52" s="49"/>
      <x:c r="I52" s="49"/>
      <x:c r="J52" s="49"/>
      <x:c r="K52" s="49"/>
      <x:c r="L52" s="49"/>
      <x:c r="M52" s="49"/>
      <x:c r="N52" s="49"/>
      <x:c r="O52" s="49"/>
      <x:c r="P52" s="49"/>
      <x:c r="Q52" s="49"/>
      <x:c r="R52" s="49"/>
      <x:c r="S52" s="49"/>
      <x:c r="T52" s="49"/>
      <x:c r="U52" s="49"/>
      <x:c r="V52" s="49"/>
      <x:c r="W52" s="49"/>
      <x:c r="X52" s="49"/>
      <x:c r="Y52" s="49"/>
      <x:c r="Z52" s="49"/>
      <x:c r="AA52" s="49"/>
      <x:c r="AB52" s="49"/>
      <x:c r="AC52" s="49"/>
      <x:c r="AD52" s="49"/>
      <x:c r="AE52" s="49"/>
      <x:c r="AF52" s="49"/>
      <x:c r="AG52" s="49"/>
      <x:c r="AH52" s="49"/>
      <x:c r="AI52" s="49"/>
      <x:c r="AJ52" s="49"/>
      <x:c r="AK52" s="49"/>
      <x:c r="AL52" s="49"/>
      <x:c r="AM52" s="49"/>
      <x:c r="AN52" s="49"/>
      <x:c r="AO52" s="49"/>
      <x:c r="AP52" s="49"/>
      <x:c r="AQ52" s="49"/>
      <x:c r="AR52" s="49"/>
      <x:c r="AS52" s="49"/>
      <x:c r="AT52" s="49"/>
      <x:c r="AU52" s="49"/>
      <x:c r="AV52" s="49"/>
      <x:c r="AW52" s="49"/>
      <x:c r="AX52" s="49"/>
      <x:c r="AY52" s="49"/>
      <x:c r="AZ52" s="49"/>
    </x:row>
    <x:row r="53">
      <x:c r="A53" s="49"/>
      <x:c r="B53" s="49"/>
      <x:c r="C53" s="49"/>
      <x:c r="D53" s="49"/>
      <x:c r="E53" s="49"/>
      <x:c r="F53" s="49"/>
      <x:c r="G53" s="49"/>
      <x:c r="H53" s="49"/>
      <x:c r="I53" s="49"/>
      <x:c r="J53" s="49"/>
      <x:c r="K53" s="49"/>
      <x:c r="L53" s="49"/>
      <x:c r="M53" s="49"/>
      <x:c r="N53" s="49"/>
      <x:c r="O53" s="49"/>
      <x:c r="P53" s="49"/>
      <x:c r="Q53" s="49"/>
      <x:c r="R53" s="49"/>
      <x:c r="S53" s="49"/>
      <x:c r="T53" s="49"/>
      <x:c r="U53" s="49"/>
      <x:c r="V53" s="49"/>
      <x:c r="W53" s="49"/>
      <x:c r="X53" s="49"/>
      <x:c r="Y53" s="49"/>
      <x:c r="Z53" s="49"/>
      <x:c r="AA53" s="49"/>
      <x:c r="AB53" s="49"/>
      <x:c r="AC53" s="49"/>
      <x:c r="AD53" s="49"/>
      <x:c r="AE53" s="49"/>
      <x:c r="AF53" s="49"/>
      <x:c r="AG53" s="49"/>
      <x:c r="AH53" s="49"/>
      <x:c r="AI53" s="49"/>
      <x:c r="AJ53" s="49"/>
      <x:c r="AK53" s="49"/>
      <x:c r="AL53" s="49"/>
      <x:c r="AM53" s="49"/>
      <x:c r="AN53" s="49"/>
      <x:c r="AO53" s="49"/>
      <x:c r="AP53" s="49"/>
      <x:c r="AQ53" s="49"/>
      <x:c r="AR53" s="49"/>
      <x:c r="AS53" s="49"/>
      <x:c r="AT53" s="49"/>
      <x:c r="AU53" s="49"/>
      <x:c r="AV53" s="49"/>
      <x:c r="AW53" s="49"/>
      <x:c r="AX53" s="49"/>
      <x:c r="AY53" s="49"/>
      <x:c r="AZ53" s="49"/>
    </x:row>
    <x:row r="54">
      <x:c r="A54" s="49"/>
      <x:c r="B54" s="49"/>
      <x:c r="C54" s="49"/>
      <x:c r="D54" s="49"/>
      <x:c r="E54" s="49"/>
      <x:c r="F54" s="49"/>
      <x:c r="G54" s="49"/>
      <x:c r="H54" s="49"/>
      <x:c r="I54" s="49"/>
      <x:c r="J54" s="49"/>
      <x:c r="K54" s="49"/>
      <x:c r="L54" s="49"/>
      <x:c r="M54" s="49"/>
      <x:c r="N54" s="49"/>
      <x:c r="O54" s="49"/>
      <x:c r="P54" s="49"/>
      <x:c r="Q54" s="49"/>
      <x:c r="R54" s="49"/>
      <x:c r="S54" s="49"/>
      <x:c r="T54" s="49"/>
      <x:c r="U54" s="49"/>
      <x:c r="V54" s="49"/>
      <x:c r="W54" s="49"/>
      <x:c r="X54" s="49"/>
      <x:c r="Y54" s="49"/>
      <x:c r="Z54" s="49"/>
      <x:c r="AA54" s="49"/>
      <x:c r="AB54" s="49"/>
      <x:c r="AC54" s="49"/>
      <x:c r="AD54" s="49"/>
      <x:c r="AE54" s="49"/>
      <x:c r="AF54" s="49"/>
      <x:c r="AG54" s="49"/>
      <x:c r="AH54" s="49"/>
      <x:c r="AI54" s="49"/>
      <x:c r="AJ54" s="49"/>
      <x:c r="AK54" s="49"/>
      <x:c r="AL54" s="49"/>
      <x:c r="AM54" s="49"/>
      <x:c r="AN54" s="49"/>
      <x:c r="AO54" s="49"/>
      <x:c r="AP54" s="49"/>
      <x:c r="AQ54" s="49"/>
      <x:c r="AR54" s="49"/>
      <x:c r="AS54" s="49"/>
      <x:c r="AT54" s="49"/>
      <x:c r="AU54" s="49"/>
      <x:c r="AV54" s="49"/>
      <x:c r="AW54" s="49"/>
      <x:c r="AX54" s="49"/>
      <x:c r="AY54" s="49"/>
      <x:c r="AZ54" s="49"/>
    </x:row>
    <x:row r="55">
      <x:c r="A55" s="49"/>
      <x:c r="B55" s="49"/>
      <x:c r="C55" s="49"/>
      <x:c r="D55" s="49"/>
      <x:c r="E55" s="49"/>
      <x:c r="F55" s="49"/>
      <x:c r="G55" s="49"/>
      <x:c r="H55" s="49"/>
      <x:c r="I55" s="49"/>
      <x:c r="J55" s="49"/>
      <x:c r="K55" s="49"/>
      <x:c r="L55" s="49"/>
      <x:c r="M55" s="49"/>
      <x:c r="N55" s="49"/>
      <x:c r="O55" s="49"/>
      <x:c r="P55" s="49"/>
      <x:c r="Q55" s="49"/>
      <x:c r="R55" s="49"/>
      <x:c r="S55" s="49"/>
      <x:c r="T55" s="49"/>
      <x:c r="U55" s="49"/>
      <x:c r="V55" s="49"/>
      <x:c r="W55" s="49"/>
      <x:c r="X55" s="49"/>
      <x:c r="Y55" s="49"/>
      <x:c r="Z55" s="49"/>
      <x:c r="AA55" s="49"/>
      <x:c r="AB55" s="49"/>
      <x:c r="AC55" s="49"/>
      <x:c r="AD55" s="49"/>
      <x:c r="AE55" s="49"/>
      <x:c r="AF55" s="49"/>
      <x:c r="AG55" s="49"/>
      <x:c r="AH55" s="49"/>
      <x:c r="AI55" s="49"/>
      <x:c r="AJ55" s="49"/>
      <x:c r="AK55" s="49"/>
      <x:c r="AL55" s="49"/>
      <x:c r="AM55" s="49"/>
      <x:c r="AN55" s="49"/>
      <x:c r="AO55" s="49"/>
      <x:c r="AP55" s="49"/>
      <x:c r="AQ55" s="49"/>
      <x:c r="AR55" s="49"/>
      <x:c r="AS55" s="49"/>
      <x:c r="AT55" s="49"/>
      <x:c r="AU55" s="49"/>
      <x:c r="AV55" s="49"/>
      <x:c r="AW55" s="49"/>
      <x:c r="AX55" s="49"/>
      <x:c r="AY55" s="49"/>
      <x:c r="AZ55" s="49"/>
    </x:row>
    <x:row r="56">
      <x:c r="A56" s="49"/>
      <x:c r="B56" s="49"/>
      <x:c r="C56" s="49"/>
      <x:c r="D56" s="49"/>
      <x:c r="E56" s="49"/>
      <x:c r="F56" s="49"/>
      <x:c r="G56" s="49"/>
      <x:c r="H56" s="49"/>
      <x:c r="I56" s="49"/>
      <x:c r="J56" s="49"/>
      <x:c r="K56" s="49"/>
      <x:c r="L56" s="49"/>
      <x:c r="M56" s="49"/>
      <x:c r="N56" s="49"/>
      <x:c r="O56" s="49"/>
      <x:c r="P56" s="49"/>
      <x:c r="Q56" s="49"/>
      <x:c r="R56" s="49"/>
      <x:c r="S56" s="49"/>
      <x:c r="T56" s="49"/>
      <x:c r="U56" s="49"/>
      <x:c r="V56" s="49"/>
      <x:c r="W56" s="49"/>
      <x:c r="X56" s="49"/>
      <x:c r="Y56" s="49"/>
      <x:c r="Z56" s="49"/>
      <x:c r="AA56" s="49"/>
      <x:c r="AB56" s="49"/>
      <x:c r="AC56" s="49"/>
      <x:c r="AD56" s="49"/>
      <x:c r="AE56" s="49"/>
      <x:c r="AF56" s="49"/>
      <x:c r="AG56" s="49"/>
      <x:c r="AH56" s="49"/>
      <x:c r="AI56" s="49"/>
      <x:c r="AJ56" s="49"/>
      <x:c r="AK56" s="49"/>
      <x:c r="AL56" s="49"/>
      <x:c r="AM56" s="49"/>
      <x:c r="AN56" s="49"/>
      <x:c r="AO56" s="49"/>
      <x:c r="AP56" s="49"/>
      <x:c r="AQ56" s="49"/>
      <x:c r="AR56" s="49"/>
      <x:c r="AS56" s="49"/>
      <x:c r="AT56" s="49"/>
      <x:c r="AU56" s="49"/>
      <x:c r="AV56" s="49"/>
      <x:c r="AW56" s="49"/>
      <x:c r="AX56" s="49"/>
      <x:c r="AY56" s="49"/>
      <x:c r="AZ56" s="49"/>
    </x:row>
    <x:row r="57">
      <x:c r="A57" s="49"/>
      <x:c r="B57" s="49"/>
      <x:c r="C57" s="49"/>
      <x:c r="D57" s="49"/>
      <x:c r="E57" s="49"/>
      <x:c r="F57" s="49"/>
      <x:c r="G57" s="49"/>
      <x:c r="H57" s="49"/>
      <x:c r="I57" s="49"/>
      <x:c r="J57" s="49"/>
      <x:c r="K57" s="49"/>
      <x:c r="L57" s="49"/>
      <x:c r="M57" s="49"/>
      <x:c r="N57" s="49"/>
      <x:c r="O57" s="49"/>
      <x:c r="P57" s="49"/>
      <x:c r="Q57" s="49"/>
      <x:c r="R57" s="49"/>
      <x:c r="S57" s="49"/>
      <x:c r="T57" s="49"/>
      <x:c r="U57" s="49"/>
      <x:c r="V57" s="49"/>
      <x:c r="W57" s="49"/>
      <x:c r="X57" s="49"/>
      <x:c r="Y57" s="49"/>
      <x:c r="Z57" s="49"/>
      <x:c r="AA57" s="49"/>
      <x:c r="AB57" s="49"/>
      <x:c r="AC57" s="49"/>
      <x:c r="AD57" s="49"/>
      <x:c r="AE57" s="49"/>
      <x:c r="AF57" s="49"/>
      <x:c r="AG57" s="49"/>
      <x:c r="AH57" s="49"/>
      <x:c r="AI57" s="49"/>
      <x:c r="AJ57" s="49"/>
      <x:c r="AK57" s="49"/>
      <x:c r="AL57" s="49"/>
      <x:c r="AM57" s="49"/>
      <x:c r="AN57" s="49"/>
      <x:c r="AO57" s="49"/>
      <x:c r="AP57" s="49"/>
      <x:c r="AQ57" s="49"/>
      <x:c r="AR57" s="49"/>
      <x:c r="AS57" s="49"/>
      <x:c r="AT57" s="49"/>
      <x:c r="AU57" s="49"/>
      <x:c r="AV57" s="49"/>
      <x:c r="AW57" s="49"/>
      <x:c r="AX57" s="49"/>
      <x:c r="AY57" s="49"/>
      <x:c r="AZ57" s="49"/>
    </x:row>
    <x:row r="58">
      <x:c r="A58" s="49"/>
      <x:c r="B58" s="49"/>
      <x:c r="C58" s="49"/>
      <x:c r="D58" s="49"/>
      <x:c r="E58" s="49"/>
      <x:c r="F58" s="49"/>
      <x:c r="G58" s="49"/>
      <x:c r="H58" s="49"/>
      <x:c r="I58" s="49"/>
      <x:c r="J58" s="49"/>
      <x:c r="K58" s="49"/>
      <x:c r="L58" s="49"/>
      <x:c r="M58" s="49"/>
      <x:c r="N58" s="49"/>
      <x:c r="O58" s="49"/>
      <x:c r="P58" s="49"/>
      <x:c r="Q58" s="49"/>
      <x:c r="R58" s="49"/>
      <x:c r="S58" s="49"/>
      <x:c r="T58" s="49"/>
      <x:c r="U58" s="49"/>
      <x:c r="V58" s="49"/>
      <x:c r="W58" s="49"/>
      <x:c r="X58" s="49"/>
      <x:c r="Y58" s="49"/>
      <x:c r="Z58" s="49"/>
      <x:c r="AA58" s="49"/>
      <x:c r="AB58" s="49"/>
      <x:c r="AC58" s="49"/>
      <x:c r="AD58" s="49"/>
      <x:c r="AE58" s="49"/>
      <x:c r="AF58" s="49"/>
      <x:c r="AG58" s="49"/>
      <x:c r="AH58" s="49"/>
      <x:c r="AI58" s="49"/>
      <x:c r="AJ58" s="49"/>
      <x:c r="AK58" s="49"/>
      <x:c r="AL58" s="49"/>
      <x:c r="AM58" s="49"/>
      <x:c r="AN58" s="49"/>
      <x:c r="AO58" s="49"/>
      <x:c r="AP58" s="49"/>
      <x:c r="AQ58" s="49"/>
      <x:c r="AR58" s="49"/>
      <x:c r="AS58" s="49"/>
      <x:c r="AT58" s="49"/>
      <x:c r="AU58" s="49"/>
      <x:c r="AV58" s="49"/>
      <x:c r="AW58" s="49"/>
      <x:c r="AX58" s="49"/>
      <x:c r="AY58" s="49"/>
      <x:c r="AZ58" s="49"/>
    </x:row>
    <x:row r="59">
      <x:c r="A59" s="49"/>
      <x:c r="B59" s="49"/>
      <x:c r="C59" s="49"/>
      <x:c r="D59" s="49"/>
      <x:c r="E59" s="49"/>
      <x:c r="F59" s="49"/>
      <x:c r="G59" s="49"/>
      <x:c r="H59" s="49"/>
      <x:c r="I59" s="49"/>
      <x:c r="J59" s="49"/>
      <x:c r="K59" s="49"/>
      <x:c r="L59" s="49"/>
      <x:c r="M59" s="49"/>
      <x:c r="N59" s="49"/>
      <x:c r="O59" s="49"/>
      <x:c r="P59" s="49"/>
      <x:c r="Q59" s="49"/>
      <x:c r="R59" s="49"/>
      <x:c r="S59" s="49"/>
      <x:c r="T59" s="49"/>
      <x:c r="U59" s="49"/>
      <x:c r="V59" s="49"/>
      <x:c r="W59" s="49"/>
      <x:c r="X59" s="49"/>
      <x:c r="Y59" s="49"/>
      <x:c r="Z59" s="49"/>
      <x:c r="AA59" s="49"/>
      <x:c r="AB59" s="49"/>
      <x:c r="AC59" s="49"/>
      <x:c r="AD59" s="49"/>
      <x:c r="AE59" s="49"/>
      <x:c r="AF59" s="49"/>
      <x:c r="AG59" s="49"/>
      <x:c r="AH59" s="49"/>
      <x:c r="AI59" s="49"/>
      <x:c r="AJ59" s="49"/>
      <x:c r="AK59" s="49"/>
      <x:c r="AL59" s="49"/>
      <x:c r="AM59" s="49"/>
      <x:c r="AN59" s="49"/>
      <x:c r="AO59" s="49"/>
      <x:c r="AP59" s="49"/>
      <x:c r="AQ59" s="49"/>
      <x:c r="AR59" s="49"/>
      <x:c r="AS59" s="49"/>
      <x:c r="AT59" s="49"/>
      <x:c r="AU59" s="49"/>
      <x:c r="AV59" s="49"/>
      <x:c r="AW59" s="49"/>
      <x:c r="AX59" s="49"/>
      <x:c r="AY59" s="49"/>
      <x:c r="AZ59" s="49"/>
    </x:row>
    <x:row r="60">
      <x:c r="A60" s="49"/>
      <x:c r="B60" s="49"/>
      <x:c r="C60" s="49"/>
      <x:c r="D60" s="49"/>
      <x:c r="E60" s="49"/>
      <x:c r="F60" s="49"/>
      <x:c r="G60" s="49"/>
      <x:c r="H60" s="49"/>
      <x:c r="I60" s="49"/>
      <x:c r="J60" s="49"/>
      <x:c r="K60" s="49"/>
      <x:c r="L60" s="49"/>
      <x:c r="M60" s="49"/>
      <x:c r="N60" s="49"/>
      <x:c r="O60" s="49"/>
      <x:c r="P60" s="49"/>
      <x:c r="Q60" s="49"/>
      <x:c r="R60" s="49"/>
      <x:c r="S60" s="49"/>
      <x:c r="T60" s="49"/>
      <x:c r="U60" s="49"/>
      <x:c r="V60" s="49"/>
      <x:c r="W60" s="49"/>
      <x:c r="X60" s="49"/>
      <x:c r="Y60" s="49"/>
      <x:c r="Z60" s="49"/>
      <x:c r="AA60" s="49"/>
      <x:c r="AB60" s="49"/>
      <x:c r="AC60" s="49"/>
      <x:c r="AD60" s="49"/>
      <x:c r="AE60" s="49"/>
      <x:c r="AF60" s="49"/>
      <x:c r="AG60" s="49"/>
      <x:c r="AH60" s="49"/>
      <x:c r="AI60" s="49"/>
      <x:c r="AJ60" s="49"/>
      <x:c r="AK60" s="49"/>
      <x:c r="AL60" s="49"/>
      <x:c r="AM60" s="49"/>
      <x:c r="AN60" s="49"/>
      <x:c r="AO60" s="49"/>
      <x:c r="AP60" s="49"/>
      <x:c r="AQ60" s="49"/>
      <x:c r="AR60" s="49"/>
      <x:c r="AS60" s="49"/>
      <x:c r="AT60" s="49"/>
      <x:c r="AU60" s="49"/>
      <x:c r="AV60" s="49"/>
      <x:c r="AW60" s="49"/>
      <x:c r="AX60" s="49"/>
      <x:c r="AY60" s="49"/>
      <x:c r="AZ60" s="49"/>
    </x:row>
    <x:row r="61">
      <x:c r="A61" s="49"/>
      <x:c r="B61" s="49"/>
      <x:c r="C61" s="49"/>
      <x:c r="D61" s="49"/>
      <x:c r="E61" s="49"/>
      <x:c r="F61" s="49"/>
      <x:c r="G61" s="49"/>
      <x:c r="H61" s="49"/>
      <x:c r="I61" s="49"/>
      <x:c r="J61" s="49"/>
      <x:c r="K61" s="49"/>
      <x:c r="L61" s="49"/>
      <x:c r="M61" s="49"/>
      <x:c r="N61" s="49"/>
      <x:c r="O61" s="49"/>
      <x:c r="P61" s="49"/>
      <x:c r="Q61" s="49"/>
      <x:c r="R61" s="49"/>
      <x:c r="S61" s="49"/>
      <x:c r="T61" s="49"/>
      <x:c r="U61" s="49"/>
      <x:c r="V61" s="49"/>
      <x:c r="W61" s="49"/>
      <x:c r="X61" s="49"/>
      <x:c r="Y61" s="49"/>
      <x:c r="Z61" s="49"/>
      <x:c r="AA61" s="49"/>
      <x:c r="AB61" s="49"/>
      <x:c r="AC61" s="49"/>
      <x:c r="AD61" s="49"/>
      <x:c r="AE61" s="49"/>
      <x:c r="AF61" s="49"/>
      <x:c r="AG61" s="49"/>
      <x:c r="AH61" s="49"/>
      <x:c r="AI61" s="49"/>
      <x:c r="AJ61" s="49"/>
      <x:c r="AK61" s="49"/>
      <x:c r="AL61" s="49"/>
      <x:c r="AM61" s="49"/>
      <x:c r="AN61" s="49"/>
      <x:c r="AO61" s="49"/>
      <x:c r="AP61" s="49"/>
      <x:c r="AQ61" s="49"/>
      <x:c r="AR61" s="49"/>
      <x:c r="AS61" s="49"/>
      <x:c r="AT61" s="49"/>
      <x:c r="AU61" s="49"/>
      <x:c r="AV61" s="49"/>
      <x:c r="AW61" s="49"/>
      <x:c r="AX61" s="49"/>
      <x:c r="AY61" s="49"/>
      <x:c r="AZ61" s="49"/>
    </x:row>
    <x:row r="62">
      <x:c r="A62" s="49"/>
      <x:c r="B62" s="49"/>
      <x:c r="C62" s="49"/>
      <x:c r="D62" s="49"/>
      <x:c r="E62" s="49"/>
      <x:c r="F62" s="49"/>
      <x:c r="G62" s="49"/>
      <x:c r="H62" s="49"/>
      <x:c r="I62" s="49"/>
      <x:c r="J62" s="49"/>
      <x:c r="K62" s="49"/>
      <x:c r="L62" s="49"/>
      <x:c r="M62" s="49"/>
      <x:c r="N62" s="49"/>
      <x:c r="O62" s="49"/>
      <x:c r="P62" s="49"/>
      <x:c r="Q62" s="49"/>
      <x:c r="R62" s="49"/>
      <x:c r="S62" s="49"/>
      <x:c r="T62" s="49"/>
      <x:c r="U62" s="49"/>
      <x:c r="V62" s="49"/>
      <x:c r="W62" s="49"/>
      <x:c r="X62" s="49"/>
      <x:c r="Y62" s="49"/>
      <x:c r="Z62" s="49"/>
      <x:c r="AA62" s="49"/>
      <x:c r="AB62" s="49"/>
      <x:c r="AC62" s="49"/>
      <x:c r="AD62" s="49"/>
      <x:c r="AE62" s="49"/>
      <x:c r="AF62" s="49"/>
      <x:c r="AG62" s="49"/>
      <x:c r="AH62" s="49"/>
      <x:c r="AI62" s="49"/>
      <x:c r="AJ62" s="49"/>
      <x:c r="AK62" s="49"/>
      <x:c r="AL62" s="49"/>
      <x:c r="AM62" s="49"/>
      <x:c r="AN62" s="49"/>
      <x:c r="AO62" s="49"/>
      <x:c r="AP62" s="49"/>
      <x:c r="AQ62" s="49"/>
      <x:c r="AR62" s="49"/>
      <x:c r="AS62" s="49"/>
      <x:c r="AT62" s="49"/>
      <x:c r="AU62" s="49"/>
      <x:c r="AV62" s="49"/>
      <x:c r="AW62" s="49"/>
      <x:c r="AX62" s="49"/>
      <x:c r="AY62" s="49"/>
      <x:c r="AZ62" s="49"/>
    </x:row>
    <x:row r="63">
      <x:c r="A63" s="49"/>
      <x:c r="B63" s="49"/>
      <x:c r="C63" s="49"/>
      <x:c r="D63" s="49"/>
      <x:c r="E63" s="49"/>
      <x:c r="F63" s="49"/>
      <x:c r="G63" s="49"/>
      <x:c r="H63" s="49"/>
      <x:c r="I63" s="49"/>
      <x:c r="J63" s="49"/>
      <x:c r="K63" s="49"/>
      <x:c r="L63" s="49"/>
      <x:c r="M63" s="49"/>
      <x:c r="N63" s="49"/>
      <x:c r="O63" s="49"/>
      <x:c r="P63" s="49"/>
      <x:c r="Q63" s="49"/>
      <x:c r="R63" s="49"/>
      <x:c r="S63" s="49"/>
      <x:c r="T63" s="49"/>
      <x:c r="U63" s="49"/>
      <x:c r="V63" s="49"/>
      <x:c r="W63" s="49"/>
      <x:c r="X63" s="49"/>
      <x:c r="Y63" s="49"/>
      <x:c r="Z63" s="49"/>
      <x:c r="AA63" s="49"/>
      <x:c r="AB63" s="49"/>
      <x:c r="AC63" s="49"/>
      <x:c r="AD63" s="49"/>
      <x:c r="AE63" s="49"/>
      <x:c r="AF63" s="49"/>
      <x:c r="AG63" s="49"/>
      <x:c r="AH63" s="49"/>
      <x:c r="AI63" s="49"/>
      <x:c r="AJ63" s="49"/>
      <x:c r="AK63" s="49"/>
      <x:c r="AL63" s="49"/>
      <x:c r="AM63" s="49"/>
      <x:c r="AN63" s="49"/>
      <x:c r="AO63" s="49"/>
      <x:c r="AP63" s="49"/>
      <x:c r="AQ63" s="49"/>
      <x:c r="AR63" s="49"/>
      <x:c r="AS63" s="49"/>
      <x:c r="AT63" s="49"/>
      <x:c r="AU63" s="49"/>
      <x:c r="AV63" s="49"/>
      <x:c r="AW63" s="49"/>
      <x:c r="AX63" s="49"/>
      <x:c r="AY63" s="49"/>
      <x:c r="AZ63" s="49"/>
    </x:row>
    <x:row r="64">
      <x:c r="A64" s="49"/>
      <x:c r="B64" s="49"/>
      <x:c r="C64" s="49"/>
      <x:c r="D64" s="49"/>
      <x:c r="E64" s="49"/>
      <x:c r="F64" s="49"/>
      <x:c r="G64" s="49"/>
      <x:c r="H64" s="49"/>
      <x:c r="I64" s="49"/>
      <x:c r="J64" s="49"/>
      <x:c r="K64" s="49"/>
      <x:c r="L64" s="49"/>
      <x:c r="M64" s="49"/>
      <x:c r="N64" s="49"/>
      <x:c r="O64" s="49"/>
      <x:c r="P64" s="49"/>
      <x:c r="Q64" s="49"/>
      <x:c r="R64" s="49"/>
      <x:c r="S64" s="49"/>
      <x:c r="T64" s="49"/>
      <x:c r="U64" s="49"/>
      <x:c r="V64" s="49"/>
      <x:c r="W64" s="49"/>
      <x:c r="X64" s="49"/>
      <x:c r="Y64" s="49"/>
      <x:c r="Z64" s="49"/>
      <x:c r="AA64" s="49"/>
      <x:c r="AB64" s="49"/>
      <x:c r="AC64" s="49"/>
      <x:c r="AD64" s="49"/>
      <x:c r="AE64" s="49"/>
      <x:c r="AF64" s="49"/>
      <x:c r="AG64" s="49"/>
      <x:c r="AH64" s="49"/>
      <x:c r="AI64" s="49"/>
      <x:c r="AJ64" s="49"/>
      <x:c r="AK64" s="49"/>
      <x:c r="AL64" s="49"/>
      <x:c r="AM64" s="49"/>
      <x:c r="AN64" s="49"/>
      <x:c r="AO64" s="49"/>
      <x:c r="AP64" s="49"/>
      <x:c r="AQ64" s="49"/>
      <x:c r="AR64" s="49"/>
      <x:c r="AS64" s="49"/>
      <x:c r="AT64" s="49"/>
      <x:c r="AU64" s="49"/>
      <x:c r="AV64" s="49"/>
      <x:c r="AW64" s="49"/>
      <x:c r="AX64" s="49"/>
      <x:c r="AY64" s="49"/>
      <x:c r="AZ64" s="49"/>
    </x:row>
    <x:row r="65">
      <x:c r="A65" s="49"/>
      <x:c r="B65" s="49"/>
      <x:c r="C65" s="49"/>
      <x:c r="D65" s="49"/>
      <x:c r="E65" s="49"/>
      <x:c r="F65" s="49"/>
      <x:c r="G65" s="49"/>
      <x:c r="H65" s="49"/>
      <x:c r="I65" s="49"/>
      <x:c r="J65" s="49"/>
      <x:c r="K65" s="49"/>
      <x:c r="L65" s="49"/>
      <x:c r="M65" s="49"/>
      <x:c r="N65" s="49"/>
      <x:c r="O65" s="49"/>
      <x:c r="P65" s="49"/>
      <x:c r="Q65" s="49"/>
      <x:c r="R65" s="49"/>
      <x:c r="S65" s="49"/>
      <x:c r="T65" s="49"/>
      <x:c r="U65" s="49"/>
      <x:c r="V65" s="49"/>
      <x:c r="W65" s="49"/>
      <x:c r="X65" s="49"/>
      <x:c r="Y65" s="49"/>
      <x:c r="Z65" s="49"/>
      <x:c r="AA65" s="49"/>
      <x:c r="AB65" s="49"/>
      <x:c r="AC65" s="49"/>
      <x:c r="AD65" s="49"/>
      <x:c r="AE65" s="49"/>
      <x:c r="AF65" s="49"/>
      <x:c r="AG65" s="49"/>
      <x:c r="AH65" s="49"/>
      <x:c r="AI65" s="49"/>
      <x:c r="AJ65" s="49"/>
      <x:c r="AK65" s="49"/>
      <x:c r="AL65" s="49"/>
      <x:c r="AM65" s="49"/>
      <x:c r="AN65" s="49"/>
      <x:c r="AO65" s="49"/>
      <x:c r="AP65" s="49"/>
      <x:c r="AQ65" s="49"/>
      <x:c r="AR65" s="49"/>
      <x:c r="AS65" s="49"/>
      <x:c r="AT65" s="49"/>
      <x:c r="AU65" s="49"/>
      <x:c r="AV65" s="49"/>
      <x:c r="AW65" s="49"/>
      <x:c r="AX65" s="49"/>
      <x:c r="AY65" s="49"/>
      <x:c r="AZ65" s="49"/>
    </x:row>
    <x:row r="66">
      <x:c r="A66" s="49"/>
      <x:c r="B66" s="49"/>
      <x:c r="C66" s="49"/>
      <x:c r="D66" s="49"/>
      <x:c r="E66" s="49"/>
      <x:c r="F66" s="49"/>
      <x:c r="G66" s="49"/>
      <x:c r="H66" s="49"/>
      <x:c r="I66" s="49"/>
      <x:c r="J66" s="49"/>
      <x:c r="K66" s="49"/>
      <x:c r="L66" s="49"/>
      <x:c r="M66" s="49"/>
      <x:c r="N66" s="49"/>
      <x:c r="O66" s="49"/>
      <x:c r="P66" s="49"/>
      <x:c r="Q66" s="49"/>
      <x:c r="R66" s="49"/>
      <x:c r="S66" s="49"/>
      <x:c r="T66" s="49"/>
      <x:c r="U66" s="49"/>
      <x:c r="V66" s="49"/>
      <x:c r="W66" s="49"/>
      <x:c r="X66" s="49"/>
      <x:c r="Y66" s="49"/>
      <x:c r="Z66" s="49"/>
      <x:c r="AA66" s="49"/>
      <x:c r="AB66" s="49"/>
      <x:c r="AC66" s="49"/>
      <x:c r="AD66" s="49"/>
      <x:c r="AE66" s="49"/>
      <x:c r="AF66" s="49"/>
      <x:c r="AG66" s="49"/>
      <x:c r="AH66" s="49"/>
      <x:c r="AI66" s="49"/>
      <x:c r="AJ66" s="49"/>
      <x:c r="AK66" s="49"/>
      <x:c r="AL66" s="49"/>
      <x:c r="AM66" s="49"/>
      <x:c r="AN66" s="49"/>
      <x:c r="AO66" s="49"/>
      <x:c r="AP66" s="49"/>
      <x:c r="AQ66" s="49"/>
      <x:c r="AR66" s="49"/>
      <x:c r="AS66" s="49"/>
      <x:c r="AT66" s="49"/>
      <x:c r="AU66" s="49"/>
      <x:c r="AV66" s="49"/>
      <x:c r="AW66" s="49"/>
      <x:c r="AX66" s="49"/>
      <x:c r="AY66" s="49"/>
      <x:c r="AZ66" s="49"/>
    </x:row>
    <x:row r="67">
      <x:c r="A67" s="49"/>
      <x:c r="B67" s="49"/>
      <x:c r="C67" s="49"/>
      <x:c r="D67" s="49"/>
      <x:c r="E67" s="49"/>
      <x:c r="F67" s="49"/>
      <x:c r="G67" s="49"/>
      <x:c r="H67" s="49"/>
      <x:c r="I67" s="49"/>
      <x:c r="J67" s="49"/>
      <x:c r="K67" s="49"/>
      <x:c r="L67" s="49"/>
      <x:c r="M67" s="49"/>
      <x:c r="N67" s="49"/>
      <x:c r="O67" s="49"/>
      <x:c r="P67" s="49"/>
      <x:c r="Q67" s="49"/>
      <x:c r="R67" s="49"/>
      <x:c r="S67" s="49"/>
      <x:c r="T67" s="49"/>
      <x:c r="U67" s="49"/>
      <x:c r="V67" s="49"/>
      <x:c r="W67" s="49"/>
      <x:c r="X67" s="49"/>
      <x:c r="Y67" s="49"/>
      <x:c r="Z67" s="49"/>
      <x:c r="AA67" s="49"/>
      <x:c r="AB67" s="49"/>
      <x:c r="AC67" s="49"/>
      <x:c r="AD67" s="49"/>
      <x:c r="AE67" s="49"/>
      <x:c r="AF67" s="49"/>
      <x:c r="AG67" s="49"/>
      <x:c r="AH67" s="49"/>
      <x:c r="AI67" s="49"/>
      <x:c r="AJ67" s="49"/>
      <x:c r="AK67" s="49"/>
      <x:c r="AL67" s="49"/>
      <x:c r="AM67" s="49"/>
      <x:c r="AN67" s="49"/>
      <x:c r="AO67" s="49"/>
      <x:c r="AP67" s="49"/>
      <x:c r="AQ67" s="49"/>
      <x:c r="AR67" s="49"/>
      <x:c r="AS67" s="49"/>
      <x:c r="AT67" s="49"/>
      <x:c r="AU67" s="49"/>
      <x:c r="AV67" s="49"/>
      <x:c r="AW67" s="49"/>
      <x:c r="AX67" s="49"/>
      <x:c r="AY67" s="49"/>
      <x:c r="AZ67" s="49"/>
    </x:row>
    <x:row r="68">
      <x:c r="A68" s="49"/>
      <x:c r="B68" s="49"/>
      <x:c r="C68" s="49"/>
      <x:c r="D68" s="49"/>
      <x:c r="E68" s="49"/>
      <x:c r="F68" s="49"/>
      <x:c r="G68" s="49"/>
      <x:c r="H68" s="49"/>
      <x:c r="I68" s="49"/>
      <x:c r="J68" s="49"/>
      <x:c r="K68" s="49"/>
      <x:c r="L68" s="49"/>
      <x:c r="M68" s="49"/>
      <x:c r="N68" s="49"/>
      <x:c r="O68" s="49"/>
      <x:c r="P68" s="49"/>
      <x:c r="Q68" s="49"/>
      <x:c r="R68" s="49"/>
      <x:c r="S68" s="49"/>
      <x:c r="T68" s="49"/>
      <x:c r="U68" s="49"/>
      <x:c r="V68" s="49"/>
      <x:c r="W68" s="49"/>
      <x:c r="X68" s="49"/>
      <x:c r="Y68" s="49"/>
      <x:c r="Z68" s="49"/>
      <x:c r="AA68" s="49"/>
      <x:c r="AB68" s="49"/>
      <x:c r="AC68" s="49"/>
      <x:c r="AD68" s="49"/>
      <x:c r="AE68" s="49"/>
      <x:c r="AF68" s="49"/>
      <x:c r="AG68" s="49"/>
      <x:c r="AH68" s="49"/>
      <x:c r="AI68" s="49"/>
      <x:c r="AJ68" s="49"/>
      <x:c r="AK68" s="49"/>
      <x:c r="AL68" s="49"/>
      <x:c r="AM68" s="49"/>
      <x:c r="AN68" s="49"/>
      <x:c r="AO68" s="49"/>
      <x:c r="AP68" s="49"/>
      <x:c r="AQ68" s="49"/>
      <x:c r="AR68" s="49"/>
      <x:c r="AS68" s="49"/>
      <x:c r="AT68" s="49"/>
      <x:c r="AU68" s="49"/>
      <x:c r="AV68" s="49"/>
      <x:c r="AW68" s="49"/>
      <x:c r="AX68" s="49"/>
      <x:c r="AY68" s="49"/>
      <x:c r="AZ68" s="49"/>
    </x:row>
    <x:row r="69">
      <x:c r="A69" s="49"/>
      <x:c r="B69" s="49"/>
      <x:c r="C69" s="49"/>
      <x:c r="D69" s="49"/>
      <x:c r="E69" s="49"/>
      <x:c r="F69" s="49"/>
      <x:c r="G69" s="49"/>
      <x:c r="H69" s="49"/>
      <x:c r="I69" s="49"/>
      <x:c r="J69" s="49"/>
      <x:c r="K69" s="49"/>
      <x:c r="L69" s="49"/>
      <x:c r="M69" s="49"/>
      <x:c r="N69" s="49"/>
      <x:c r="O69" s="49"/>
      <x:c r="P69" s="49"/>
      <x:c r="Q69" s="49"/>
      <x:c r="R69" s="49"/>
      <x:c r="S69" s="49"/>
      <x:c r="T69" s="49"/>
      <x:c r="U69" s="49"/>
      <x:c r="V69" s="49"/>
      <x:c r="W69" s="49"/>
      <x:c r="X69" s="49"/>
      <x:c r="Y69" s="49"/>
      <x:c r="Z69" s="49"/>
      <x:c r="AA69" s="49"/>
      <x:c r="AB69" s="49"/>
      <x:c r="AC69" s="49"/>
      <x:c r="AD69" s="49"/>
      <x:c r="AE69" s="49"/>
      <x:c r="AF69" s="49"/>
      <x:c r="AG69" s="49"/>
      <x:c r="AH69" s="49"/>
      <x:c r="AI69" s="49"/>
      <x:c r="AJ69" s="49"/>
      <x:c r="AK69" s="49"/>
      <x:c r="AL69" s="49"/>
      <x:c r="AM69" s="49"/>
      <x:c r="AN69" s="49"/>
      <x:c r="AO69" s="49"/>
      <x:c r="AP69" s="49"/>
      <x:c r="AQ69" s="49"/>
      <x:c r="AR69" s="49"/>
      <x:c r="AS69" s="49"/>
      <x:c r="AT69" s="49"/>
      <x:c r="AU69" s="49"/>
      <x:c r="AV69" s="49"/>
      <x:c r="AW69" s="49"/>
      <x:c r="AX69" s="49"/>
      <x:c r="AY69" s="49"/>
      <x:c r="AZ69" s="49"/>
    </x:row>
    <x:row r="70">
      <x:c r="A70" s="49"/>
      <x:c r="B70" s="49"/>
      <x:c r="C70" s="49"/>
      <x:c r="D70" s="49"/>
      <x:c r="E70" s="49"/>
      <x:c r="F70" s="49"/>
      <x:c r="G70" s="49"/>
      <x:c r="H70" s="49"/>
      <x:c r="I70" s="49"/>
      <x:c r="J70" s="49"/>
      <x:c r="K70" s="49"/>
      <x:c r="L70" s="49"/>
      <x:c r="M70" s="49"/>
      <x:c r="N70" s="49"/>
      <x:c r="O70" s="49"/>
      <x:c r="P70" s="49"/>
      <x:c r="Q70" s="49"/>
      <x:c r="R70" s="49"/>
      <x:c r="S70" s="49"/>
      <x:c r="T70" s="49"/>
      <x:c r="U70" s="49"/>
      <x:c r="V70" s="49"/>
      <x:c r="W70" s="49"/>
      <x:c r="X70" s="49"/>
      <x:c r="Y70" s="49"/>
      <x:c r="Z70" s="49"/>
      <x:c r="AA70" s="49"/>
      <x:c r="AB70" s="49"/>
      <x:c r="AC70" s="49"/>
      <x:c r="AD70" s="49"/>
      <x:c r="AE70" s="49"/>
      <x:c r="AF70" s="49"/>
      <x:c r="AG70" s="49"/>
      <x:c r="AH70" s="49"/>
      <x:c r="AI70" s="49"/>
      <x:c r="AJ70" s="49"/>
      <x:c r="AK70" s="49"/>
      <x:c r="AL70" s="49"/>
      <x:c r="AM70" s="49"/>
      <x:c r="AN70" s="49"/>
      <x:c r="AO70" s="49"/>
      <x:c r="AP70" s="49"/>
      <x:c r="AQ70" s="49"/>
      <x:c r="AR70" s="49"/>
      <x:c r="AS70" s="49"/>
      <x:c r="AT70" s="49"/>
      <x:c r="AU70" s="49"/>
      <x:c r="AV70" s="49"/>
      <x:c r="AW70" s="49"/>
      <x:c r="AX70" s="49"/>
      <x:c r="AY70" s="49"/>
      <x:c r="AZ70" s="49"/>
    </x:row>
    <x:row r="71">
      <x:c r="A71" s="49"/>
      <x:c r="B71" s="49"/>
      <x:c r="C71" s="49"/>
      <x:c r="D71" s="49"/>
      <x:c r="E71" s="49"/>
      <x:c r="F71" s="49"/>
      <x:c r="G71" s="49"/>
      <x:c r="H71" s="49"/>
      <x:c r="I71" s="49"/>
      <x:c r="J71" s="49"/>
      <x:c r="K71" s="49"/>
      <x:c r="L71" s="49"/>
      <x:c r="M71" s="49"/>
      <x:c r="N71" s="49"/>
      <x:c r="O71" s="49"/>
      <x:c r="P71" s="49"/>
      <x:c r="Q71" s="49"/>
      <x:c r="R71" s="49"/>
      <x:c r="S71" s="49"/>
      <x:c r="T71" s="49"/>
      <x:c r="U71" s="49"/>
      <x:c r="V71" s="49"/>
      <x:c r="W71" s="49"/>
      <x:c r="X71" s="49"/>
      <x:c r="Y71" s="49"/>
      <x:c r="Z71" s="49"/>
      <x:c r="AA71" s="49"/>
      <x:c r="AB71" s="49"/>
      <x:c r="AC71" s="49"/>
      <x:c r="AD71" s="49"/>
      <x:c r="AE71" s="49"/>
      <x:c r="AF71" s="49"/>
      <x:c r="AG71" s="49"/>
      <x:c r="AH71" s="49"/>
      <x:c r="AI71" s="49"/>
      <x:c r="AJ71" s="49"/>
      <x:c r="AK71" s="49"/>
      <x:c r="AL71" s="49"/>
      <x:c r="AM71" s="49"/>
      <x:c r="AN71" s="49"/>
      <x:c r="AO71" s="49"/>
      <x:c r="AP71" s="49"/>
      <x:c r="AQ71" s="49"/>
      <x:c r="AR71" s="49"/>
      <x:c r="AS71" s="49"/>
      <x:c r="AT71" s="49"/>
      <x:c r="AU71" s="49"/>
      <x:c r="AV71" s="49"/>
      <x:c r="AW71" s="49"/>
      <x:c r="AX71" s="49"/>
      <x:c r="AY71" s="49"/>
      <x:c r="AZ71" s="49"/>
    </x:row>
    <x:row r="72">
      <x:c r="A72" s="49"/>
      <x:c r="B72" s="49"/>
      <x:c r="C72" s="49"/>
      <x:c r="D72" s="49"/>
      <x:c r="E72" s="49"/>
      <x:c r="F72" s="49"/>
      <x:c r="G72" s="49"/>
      <x:c r="H72" s="49"/>
      <x:c r="I72" s="49"/>
      <x:c r="J72" s="49"/>
      <x:c r="K72" s="49"/>
      <x:c r="L72" s="49"/>
      <x:c r="M72" s="49"/>
      <x:c r="N72" s="49"/>
      <x:c r="O72" s="49"/>
      <x:c r="P72" s="49"/>
      <x:c r="Q72" s="49"/>
      <x:c r="R72" s="49"/>
      <x:c r="S72" s="49"/>
      <x:c r="T72" s="49"/>
      <x:c r="U72" s="49"/>
      <x:c r="V72" s="49"/>
      <x:c r="W72" s="49"/>
      <x:c r="X72" s="49"/>
      <x:c r="Y72" s="49"/>
      <x:c r="Z72" s="49"/>
      <x:c r="AA72" s="49"/>
      <x:c r="AB72" s="49"/>
      <x:c r="AC72" s="49"/>
      <x:c r="AD72" s="49"/>
      <x:c r="AE72" s="49"/>
      <x:c r="AF72" s="49"/>
      <x:c r="AG72" s="49"/>
      <x:c r="AH72" s="49"/>
      <x:c r="AI72" s="49"/>
      <x:c r="AJ72" s="49"/>
      <x:c r="AK72" s="49"/>
      <x:c r="AL72" s="49"/>
      <x:c r="AM72" s="49"/>
      <x:c r="AN72" s="49"/>
      <x:c r="AO72" s="49"/>
      <x:c r="AP72" s="49"/>
      <x:c r="AQ72" s="49"/>
      <x:c r="AR72" s="49"/>
      <x:c r="AS72" s="49"/>
      <x:c r="AT72" s="49"/>
      <x:c r="AU72" s="49"/>
      <x:c r="AV72" s="49"/>
      <x:c r="AW72" s="49"/>
      <x:c r="AX72" s="49"/>
      <x:c r="AY72" s="49"/>
      <x:c r="AZ72" s="49"/>
    </x:row>
    <x:row r="73">
      <x:c r="A73" s="49"/>
      <x:c r="B73" s="49"/>
      <x:c r="C73" s="49"/>
      <x:c r="D73" s="49"/>
      <x:c r="E73" s="49"/>
      <x:c r="F73" s="49"/>
      <x:c r="G73" s="49"/>
      <x:c r="H73" s="49"/>
      <x:c r="I73" s="49"/>
      <x:c r="J73" s="49"/>
      <x:c r="K73" s="49"/>
      <x:c r="L73" s="49"/>
      <x:c r="M73" s="49"/>
      <x:c r="N73" s="49"/>
      <x:c r="O73" s="49"/>
      <x:c r="P73" s="49"/>
      <x:c r="Q73" s="49"/>
      <x:c r="R73" s="49"/>
      <x:c r="S73" s="49"/>
      <x:c r="T73" s="49"/>
      <x:c r="U73" s="49"/>
      <x:c r="V73" s="49"/>
      <x:c r="W73" s="49"/>
      <x:c r="X73" s="49"/>
      <x:c r="Y73" s="49"/>
      <x:c r="Z73" s="49"/>
      <x:c r="AA73" s="49"/>
      <x:c r="AB73" s="49"/>
      <x:c r="AC73" s="49"/>
      <x:c r="AD73" s="49"/>
      <x:c r="AE73" s="49"/>
      <x:c r="AF73" s="49"/>
      <x:c r="AG73" s="49"/>
      <x:c r="AH73" s="49"/>
      <x:c r="AI73" s="49"/>
      <x:c r="AJ73" s="49"/>
      <x:c r="AK73" s="49"/>
      <x:c r="AL73" s="49"/>
      <x:c r="AM73" s="49"/>
      <x:c r="AN73" s="49"/>
      <x:c r="AO73" s="49"/>
      <x:c r="AP73" s="49"/>
      <x:c r="AQ73" s="49"/>
      <x:c r="AR73" s="49"/>
      <x:c r="AS73" s="49"/>
      <x:c r="AT73" s="49"/>
      <x:c r="AU73" s="49"/>
      <x:c r="AV73" s="49"/>
      <x:c r="AW73" s="49"/>
      <x:c r="AX73" s="49"/>
      <x:c r="AY73" s="49"/>
      <x:c r="AZ73" s="49"/>
    </x:row>
    <x:row r="74">
      <x:c r="A74" s="49"/>
      <x:c r="B74" s="49"/>
      <x:c r="C74" s="49"/>
      <x:c r="D74" s="49"/>
      <x:c r="E74" s="49"/>
      <x:c r="F74" s="49"/>
      <x:c r="G74" s="49"/>
      <x:c r="H74" s="49"/>
      <x:c r="I74" s="49"/>
      <x:c r="J74" s="49"/>
      <x:c r="K74" s="49"/>
      <x:c r="L74" s="49"/>
      <x:c r="M74" s="49"/>
      <x:c r="N74" s="49"/>
      <x:c r="O74" s="49"/>
      <x:c r="P74" s="49"/>
      <x:c r="Q74" s="49"/>
      <x:c r="R74" s="49"/>
      <x:c r="S74" s="49"/>
      <x:c r="T74" s="49"/>
      <x:c r="U74" s="49"/>
      <x:c r="V74" s="49"/>
      <x:c r="W74" s="49"/>
      <x:c r="X74" s="49"/>
      <x:c r="Y74" s="49"/>
      <x:c r="Z74" s="49"/>
      <x:c r="AA74" s="49"/>
      <x:c r="AB74" s="49"/>
      <x:c r="AC74" s="49"/>
      <x:c r="AD74" s="49"/>
      <x:c r="AE74" s="49"/>
      <x:c r="AF74" s="49"/>
      <x:c r="AG74" s="49"/>
      <x:c r="AH74" s="49"/>
      <x:c r="AI74" s="49"/>
      <x:c r="AJ74" s="49"/>
      <x:c r="AK74" s="49"/>
      <x:c r="AL74" s="49"/>
      <x:c r="AM74" s="49"/>
      <x:c r="AN74" s="49"/>
      <x:c r="AO74" s="49"/>
      <x:c r="AP74" s="49"/>
      <x:c r="AQ74" s="49"/>
      <x:c r="AR74" s="49"/>
      <x:c r="AS74" s="49"/>
      <x:c r="AT74" s="49"/>
      <x:c r="AU74" s="49"/>
      <x:c r="AV74" s="49"/>
      <x:c r="AW74" s="49"/>
      <x:c r="AX74" s="49"/>
      <x:c r="AY74" s="49"/>
      <x:c r="AZ74" s="49"/>
    </x:row>
    <x:row r="75">
      <x:c r="A75" s="49"/>
      <x:c r="B75" s="49"/>
      <x:c r="C75" s="49"/>
      <x:c r="D75" s="49"/>
      <x:c r="E75" s="49"/>
      <x:c r="F75" s="49"/>
      <x:c r="G75" s="49"/>
      <x:c r="H75" s="49"/>
      <x:c r="I75" s="49"/>
      <x:c r="J75" s="49"/>
      <x:c r="K75" s="49"/>
      <x:c r="L75" s="49"/>
      <x:c r="M75" s="49"/>
      <x:c r="N75" s="49"/>
      <x:c r="O75" s="49"/>
      <x:c r="P75" s="49"/>
      <x:c r="Q75" s="49"/>
      <x:c r="R75" s="49"/>
      <x:c r="S75" s="49"/>
      <x:c r="T75" s="49"/>
      <x:c r="U75" s="49"/>
      <x:c r="V75" s="49"/>
      <x:c r="W75" s="49"/>
      <x:c r="X75" s="49"/>
      <x:c r="Y75" s="49"/>
      <x:c r="Z75" s="49"/>
      <x:c r="AA75" s="49"/>
      <x:c r="AB75" s="49"/>
      <x:c r="AC75" s="49"/>
      <x:c r="AD75" s="49"/>
      <x:c r="AE75" s="49"/>
      <x:c r="AF75" s="49"/>
      <x:c r="AG75" s="49"/>
      <x:c r="AH75" s="49"/>
      <x:c r="AI75" s="49"/>
      <x:c r="AJ75" s="49"/>
      <x:c r="AK75" s="49"/>
      <x:c r="AL75" s="49"/>
      <x:c r="AM75" s="49"/>
      <x:c r="AN75" s="49"/>
      <x:c r="AO75" s="49"/>
      <x:c r="AP75" s="49"/>
      <x:c r="AQ75" s="49"/>
      <x:c r="AR75" s="49"/>
      <x:c r="AS75" s="49"/>
      <x:c r="AT75" s="49"/>
      <x:c r="AU75" s="49"/>
      <x:c r="AV75" s="49"/>
      <x:c r="AW75" s="49"/>
      <x:c r="AX75" s="49"/>
      <x:c r="AY75" s="49"/>
      <x:c r="AZ75" s="49"/>
    </x:row>
    <x:row r="76">
      <x:c r="A76" s="49"/>
      <x:c r="B76" s="49"/>
      <x:c r="C76" s="49"/>
      <x:c r="D76" s="49"/>
      <x:c r="E76" s="49"/>
      <x:c r="F76" s="49"/>
      <x:c r="G76" s="49"/>
      <x:c r="H76" s="49"/>
      <x:c r="I76" s="49"/>
      <x:c r="J76" s="49"/>
      <x:c r="K76" s="49"/>
      <x:c r="L76" s="49"/>
      <x:c r="M76" s="49"/>
      <x:c r="N76" s="49"/>
      <x:c r="O76" s="49"/>
      <x:c r="P76" s="49"/>
      <x:c r="Q76" s="49"/>
      <x:c r="R76" s="49"/>
      <x:c r="S76" s="49"/>
      <x:c r="T76" s="49"/>
      <x:c r="U76" s="49"/>
      <x:c r="V76" s="49"/>
      <x:c r="W76" s="49"/>
      <x:c r="X76" s="49"/>
      <x:c r="Y76" s="49"/>
      <x:c r="Z76" s="49"/>
      <x:c r="AA76" s="49"/>
      <x:c r="AB76" s="49"/>
      <x:c r="AC76" s="49"/>
      <x:c r="AD76" s="49"/>
      <x:c r="AE76" s="49"/>
      <x:c r="AF76" s="49"/>
      <x:c r="AG76" s="49"/>
      <x:c r="AH76" s="49"/>
      <x:c r="AI76" s="49"/>
      <x:c r="AJ76" s="49"/>
      <x:c r="AK76" s="49"/>
      <x:c r="AL76" s="49"/>
      <x:c r="AM76" s="49"/>
      <x:c r="AN76" s="49"/>
      <x:c r="AO76" s="49"/>
      <x:c r="AP76" s="49"/>
      <x:c r="AQ76" s="49"/>
      <x:c r="AR76" s="49"/>
      <x:c r="AS76" s="49"/>
      <x:c r="AT76" s="49"/>
      <x:c r="AU76" s="49"/>
      <x:c r="AV76" s="49"/>
      <x:c r="AW76" s="49"/>
      <x:c r="AX76" s="49"/>
      <x:c r="AY76" s="49"/>
      <x:c r="AZ76" s="49"/>
    </x:row>
    <x:row r="77">
      <x:c r="A77" s="49"/>
      <x:c r="B77" s="49"/>
      <x:c r="C77" s="49"/>
      <x:c r="D77" s="49"/>
      <x:c r="E77" s="49"/>
      <x:c r="F77" s="49"/>
      <x:c r="G77" s="49"/>
      <x:c r="H77" s="49"/>
      <x:c r="I77" s="49"/>
      <x:c r="J77" s="49"/>
      <x:c r="K77" s="49"/>
      <x:c r="L77" s="49"/>
      <x:c r="M77" s="49"/>
      <x:c r="N77" s="49"/>
      <x:c r="O77" s="49"/>
      <x:c r="P77" s="49"/>
      <x:c r="Q77" s="49"/>
      <x:c r="R77" s="49"/>
      <x:c r="S77" s="49"/>
      <x:c r="T77" s="49"/>
      <x:c r="U77" s="49"/>
      <x:c r="V77" s="49"/>
      <x:c r="W77" s="49"/>
      <x:c r="X77" s="49"/>
      <x:c r="Y77" s="49"/>
      <x:c r="Z77" s="49"/>
      <x:c r="AA77" s="49"/>
      <x:c r="AB77" s="49"/>
      <x:c r="AC77" s="49"/>
      <x:c r="AD77" s="49"/>
      <x:c r="AE77" s="49"/>
      <x:c r="AF77" s="49"/>
      <x:c r="AG77" s="49"/>
      <x:c r="AH77" s="49"/>
      <x:c r="AI77" s="49"/>
      <x:c r="AJ77" s="49"/>
      <x:c r="AK77" s="49"/>
      <x:c r="AL77" s="49"/>
      <x:c r="AM77" s="49"/>
      <x:c r="AN77" s="49"/>
      <x:c r="AO77" s="49"/>
      <x:c r="AP77" s="49"/>
      <x:c r="AQ77" s="49"/>
      <x:c r="AR77" s="49"/>
      <x:c r="AS77" s="49"/>
      <x:c r="AT77" s="49"/>
      <x:c r="AU77" s="49"/>
      <x:c r="AV77" s="49"/>
      <x:c r="AW77" s="49"/>
      <x:c r="AX77" s="49"/>
      <x:c r="AY77" s="49"/>
      <x:c r="AZ77" s="49"/>
    </x:row>
    <x:row r="78">
      <x:c r="A78" s="49"/>
      <x:c r="B78" s="49"/>
      <x:c r="C78" s="49"/>
      <x:c r="D78" s="49"/>
      <x:c r="E78" s="49"/>
      <x:c r="F78" s="49"/>
      <x:c r="G78" s="49"/>
      <x:c r="H78" s="49"/>
      <x:c r="I78" s="49"/>
      <x:c r="J78" s="49"/>
      <x:c r="K78" s="49"/>
      <x:c r="L78" s="49"/>
      <x:c r="M78" s="49"/>
      <x:c r="N78" s="49"/>
      <x:c r="O78" s="49"/>
      <x:c r="P78" s="49"/>
      <x:c r="Q78" s="49"/>
      <x:c r="R78" s="49"/>
      <x:c r="S78" s="49"/>
      <x:c r="T78" s="49"/>
      <x:c r="U78" s="49"/>
      <x:c r="V78" s="49"/>
      <x:c r="W78" s="49"/>
      <x:c r="X78" s="49"/>
      <x:c r="Y78" s="49"/>
      <x:c r="Z78" s="49"/>
      <x:c r="AA78" s="49"/>
      <x:c r="AB78" s="49"/>
      <x:c r="AC78" s="49"/>
      <x:c r="AD78" s="49"/>
      <x:c r="AE78" s="49"/>
      <x:c r="AF78" s="49"/>
      <x:c r="AG78" s="49"/>
      <x:c r="AH78" s="49"/>
      <x:c r="AI78" s="49"/>
      <x:c r="AJ78" s="49"/>
      <x:c r="AK78" s="49"/>
      <x:c r="AL78" s="49"/>
      <x:c r="AM78" s="49"/>
      <x:c r="AN78" s="49"/>
      <x:c r="AO78" s="49"/>
      <x:c r="AP78" s="49"/>
      <x:c r="AQ78" s="49"/>
      <x:c r="AR78" s="49"/>
      <x:c r="AS78" s="49"/>
      <x:c r="AT78" s="49"/>
      <x:c r="AU78" s="49"/>
      <x:c r="AV78" s="49"/>
      <x:c r="AW78" s="49"/>
      <x:c r="AX78" s="49"/>
      <x:c r="AY78" s="49"/>
      <x:c r="AZ78" s="49"/>
    </x:row>
    <x:row r="79">
      <x:c r="A79" s="49"/>
      <x:c r="B79" s="49"/>
      <x:c r="C79" s="49"/>
      <x:c r="D79" s="49"/>
      <x:c r="E79" s="49"/>
      <x:c r="F79" s="49"/>
      <x:c r="G79" s="49"/>
      <x:c r="H79" s="49"/>
      <x:c r="I79" s="49"/>
      <x:c r="J79" s="49"/>
      <x:c r="K79" s="49"/>
      <x:c r="L79" s="49"/>
      <x:c r="M79" s="49"/>
      <x:c r="N79" s="49"/>
      <x:c r="O79" s="49"/>
      <x:c r="P79" s="49"/>
      <x:c r="Q79" s="49"/>
      <x:c r="R79" s="49"/>
      <x:c r="S79" s="49"/>
      <x:c r="T79" s="49"/>
      <x:c r="U79" s="49"/>
      <x:c r="V79" s="49"/>
      <x:c r="W79" s="49"/>
      <x:c r="X79" s="49"/>
      <x:c r="Y79" s="49"/>
      <x:c r="Z79" s="49"/>
      <x:c r="AA79" s="49"/>
      <x:c r="AB79" s="49"/>
      <x:c r="AC79" s="49"/>
      <x:c r="AD79" s="49"/>
      <x:c r="AE79" s="49"/>
      <x:c r="AF79" s="49"/>
      <x:c r="AG79" s="49"/>
      <x:c r="AH79" s="49"/>
      <x:c r="AI79" s="49"/>
      <x:c r="AJ79" s="49"/>
      <x:c r="AK79" s="49"/>
      <x:c r="AL79" s="49"/>
      <x:c r="AM79" s="49"/>
      <x:c r="AN79" s="49"/>
      <x:c r="AO79" s="49"/>
      <x:c r="AP79" s="49"/>
      <x:c r="AQ79" s="49"/>
      <x:c r="AR79" s="49"/>
      <x:c r="AS79" s="49"/>
      <x:c r="AT79" s="49"/>
      <x:c r="AU79" s="49"/>
      <x:c r="AV79" s="49"/>
      <x:c r="AW79" s="49"/>
      <x:c r="AX79" s="49"/>
      <x:c r="AY79" s="49"/>
      <x:c r="AZ79" s="49"/>
    </x:row>
    <x:row r="80">
      <x:c r="A80" s="49"/>
      <x:c r="B80" s="49"/>
      <x:c r="C80" s="49"/>
      <x:c r="D80" s="49"/>
      <x:c r="E80" s="49"/>
      <x:c r="F80" s="49"/>
      <x:c r="G80" s="49"/>
      <x:c r="H80" s="49"/>
      <x:c r="I80" s="49"/>
      <x:c r="J80" s="49"/>
      <x:c r="K80" s="49"/>
      <x:c r="L80" s="49"/>
      <x:c r="M80" s="49"/>
      <x:c r="N80" s="49"/>
      <x:c r="O80" s="49"/>
      <x:c r="P80" s="49"/>
      <x:c r="Q80" s="49"/>
      <x:c r="R80" s="49"/>
      <x:c r="S80" s="49"/>
      <x:c r="T80" s="49"/>
      <x:c r="U80" s="49"/>
      <x:c r="V80" s="49"/>
      <x:c r="W80" s="49"/>
      <x:c r="X80" s="49"/>
      <x:c r="Y80" s="49"/>
      <x:c r="Z80" s="49"/>
      <x:c r="AA80" s="49"/>
      <x:c r="AB80" s="49"/>
      <x:c r="AC80" s="49"/>
      <x:c r="AD80" s="49"/>
      <x:c r="AE80" s="49"/>
      <x:c r="AF80" s="49"/>
      <x:c r="AG80" s="49"/>
      <x:c r="AH80" s="49"/>
      <x:c r="AI80" s="49"/>
      <x:c r="AJ80" s="49"/>
      <x:c r="AK80" s="49"/>
      <x:c r="AL80" s="49"/>
      <x:c r="AM80" s="49"/>
      <x:c r="AN80" s="49"/>
      <x:c r="AO80" s="49"/>
      <x:c r="AP80" s="49"/>
      <x:c r="AQ80" s="49"/>
      <x:c r="AR80" s="49"/>
      <x:c r="AS80" s="49"/>
      <x:c r="AT80" s="49"/>
      <x:c r="AU80" s="49"/>
      <x:c r="AV80" s="49"/>
      <x:c r="AW80" s="49"/>
      <x:c r="AX80" s="49"/>
      <x:c r="AY80" s="49"/>
      <x:c r="AZ80" s="49"/>
    </x:row>
    <x:row r="81">
      <x:c r="A81" s="49"/>
      <x:c r="B81" s="49"/>
      <x:c r="C81" s="49"/>
      <x:c r="D81" s="49"/>
      <x:c r="E81" s="49"/>
      <x:c r="F81" s="49"/>
      <x:c r="G81" s="49"/>
      <x:c r="H81" s="49"/>
      <x:c r="I81" s="49"/>
      <x:c r="J81" s="49"/>
      <x:c r="K81" s="49"/>
      <x:c r="L81" s="49"/>
      <x:c r="M81" s="49"/>
      <x:c r="N81" s="49"/>
      <x:c r="O81" s="49"/>
      <x:c r="P81" s="49"/>
      <x:c r="Q81" s="49"/>
      <x:c r="R81" s="49"/>
      <x:c r="S81" s="49"/>
      <x:c r="T81" s="49"/>
      <x:c r="U81" s="49"/>
      <x:c r="V81" s="49"/>
      <x:c r="W81" s="49"/>
      <x:c r="X81" s="49"/>
      <x:c r="Y81" s="49"/>
      <x:c r="Z81" s="49"/>
      <x:c r="AA81" s="49"/>
      <x:c r="AB81" s="49"/>
      <x:c r="AC81" s="49"/>
      <x:c r="AD81" s="49"/>
      <x:c r="AE81" s="49"/>
      <x:c r="AF81" s="49"/>
      <x:c r="AG81" s="49"/>
      <x:c r="AH81" s="49"/>
      <x:c r="AI81" s="49"/>
      <x:c r="AJ81" s="49"/>
      <x:c r="AK81" s="49"/>
      <x:c r="AL81" s="49"/>
      <x:c r="AM81" s="49"/>
      <x:c r="AN81" s="49"/>
      <x:c r="AO81" s="49"/>
      <x:c r="AP81" s="49"/>
      <x:c r="AQ81" s="49"/>
      <x:c r="AR81" s="49"/>
      <x:c r="AS81" s="49"/>
      <x:c r="AT81" s="49"/>
      <x:c r="AU81" s="49"/>
      <x:c r="AV81" s="49"/>
      <x:c r="AW81" s="49"/>
      <x:c r="AX81" s="49"/>
      <x:c r="AY81" s="49"/>
      <x:c r="AZ81" s="49"/>
    </x:row>
    <x:row r="82">
      <x:c r="A82" s="49"/>
      <x:c r="B82" s="49"/>
      <x:c r="C82" s="49"/>
      <x:c r="D82" s="49"/>
      <x:c r="E82" s="49"/>
      <x:c r="F82" s="49"/>
      <x:c r="G82" s="49"/>
      <x:c r="H82" s="49"/>
      <x:c r="I82" s="49"/>
      <x:c r="J82" s="49"/>
      <x:c r="K82" s="49"/>
      <x:c r="L82" s="49"/>
      <x:c r="M82" s="49"/>
      <x:c r="N82" s="49"/>
      <x:c r="O82" s="49"/>
      <x:c r="P82" s="49"/>
      <x:c r="Q82" s="49"/>
      <x:c r="R82" s="49"/>
      <x:c r="S82" s="49"/>
      <x:c r="T82" s="49"/>
      <x:c r="U82" s="49"/>
      <x:c r="V82" s="49"/>
      <x:c r="W82" s="49"/>
      <x:c r="X82" s="49"/>
      <x:c r="Y82" s="49"/>
      <x:c r="Z82" s="49"/>
      <x:c r="AA82" s="49"/>
      <x:c r="AB82" s="49"/>
      <x:c r="AC82" s="49"/>
      <x:c r="AD82" s="49"/>
      <x:c r="AE82" s="49"/>
      <x:c r="AF82" s="49"/>
      <x:c r="AG82" s="49"/>
      <x:c r="AH82" s="49"/>
      <x:c r="AI82" s="49"/>
      <x:c r="AJ82" s="49"/>
      <x:c r="AK82" s="49"/>
      <x:c r="AL82" s="49"/>
      <x:c r="AM82" s="49"/>
      <x:c r="AN82" s="49"/>
      <x:c r="AO82" s="49"/>
      <x:c r="AP82" s="49"/>
      <x:c r="AQ82" s="49"/>
      <x:c r="AR82" s="49"/>
      <x:c r="AS82" s="49"/>
      <x:c r="AT82" s="49"/>
      <x:c r="AU82" s="49"/>
      <x:c r="AV82" s="49"/>
      <x:c r="AW82" s="49"/>
      <x:c r="AX82" s="49"/>
      <x:c r="AY82" s="49"/>
      <x:c r="AZ82" s="49"/>
    </x:row>
    <x:row r="83">
      <x:c r="A83" s="49"/>
      <x:c r="B83" s="49"/>
      <x:c r="C83" s="49"/>
      <x:c r="D83" s="49"/>
      <x:c r="E83" s="49"/>
      <x:c r="F83" s="49"/>
      <x:c r="G83" s="49"/>
      <x:c r="H83" s="49"/>
      <x:c r="I83" s="49"/>
      <x:c r="J83" s="49"/>
      <x:c r="K83" s="49"/>
      <x:c r="L83" s="49"/>
      <x:c r="M83" s="49"/>
      <x:c r="N83" s="49"/>
      <x:c r="O83" s="49"/>
      <x:c r="P83" s="49"/>
      <x:c r="Q83" s="49"/>
      <x:c r="R83" s="49"/>
      <x:c r="S83" s="49"/>
      <x:c r="T83" s="49"/>
      <x:c r="U83" s="49"/>
      <x:c r="V83" s="49"/>
      <x:c r="W83" s="49"/>
      <x:c r="X83" s="49"/>
      <x:c r="Y83" s="49"/>
      <x:c r="Z83" s="49"/>
      <x:c r="AA83" s="49"/>
      <x:c r="AB83" s="49"/>
      <x:c r="AC83" s="49"/>
      <x:c r="AD83" s="49"/>
      <x:c r="AE83" s="49"/>
      <x:c r="AF83" s="49"/>
      <x:c r="AG83" s="49"/>
      <x:c r="AH83" s="49"/>
      <x:c r="AI83" s="49"/>
      <x:c r="AJ83" s="49"/>
      <x:c r="AK83" s="49"/>
      <x:c r="AL83" s="49"/>
      <x:c r="AM83" s="49"/>
      <x:c r="AN83" s="49"/>
      <x:c r="AO83" s="49"/>
      <x:c r="AP83" s="49"/>
      <x:c r="AQ83" s="49"/>
      <x:c r="AR83" s="49"/>
      <x:c r="AS83" s="49"/>
      <x:c r="AT83" s="49"/>
      <x:c r="AU83" s="49"/>
      <x:c r="AV83" s="49"/>
      <x:c r="AW83" s="49"/>
      <x:c r="AX83" s="49"/>
      <x:c r="AY83" s="49"/>
      <x:c r="AZ83" s="49"/>
    </x:row>
    <x:row r="84">
      <x:c r="A84" s="49"/>
      <x:c r="B84" s="49"/>
      <x:c r="C84" s="49"/>
      <x:c r="D84" s="49"/>
      <x:c r="E84" s="49"/>
      <x:c r="F84" s="49"/>
      <x:c r="G84" s="49"/>
      <x:c r="H84" s="49"/>
      <x:c r="I84" s="49"/>
      <x:c r="J84" s="49"/>
      <x:c r="K84" s="49"/>
      <x:c r="L84" s="49"/>
      <x:c r="M84" s="49"/>
      <x:c r="N84" s="49"/>
      <x:c r="O84" s="49"/>
      <x:c r="P84" s="49"/>
      <x:c r="Q84" s="49"/>
      <x:c r="R84" s="49"/>
      <x:c r="S84" s="49"/>
      <x:c r="T84" s="49"/>
      <x:c r="U84" s="49"/>
      <x:c r="V84" s="49"/>
      <x:c r="W84" s="49"/>
      <x:c r="X84" s="49"/>
      <x:c r="Y84" s="49"/>
      <x:c r="Z84" s="49"/>
      <x:c r="AA84" s="49"/>
      <x:c r="AB84" s="49"/>
      <x:c r="AC84" s="49"/>
      <x:c r="AD84" s="49"/>
      <x:c r="AE84" s="49"/>
      <x:c r="AF84" s="49"/>
      <x:c r="AG84" s="49"/>
      <x:c r="AH84" s="49"/>
      <x:c r="AI84" s="49"/>
      <x:c r="AJ84" s="49"/>
      <x:c r="AK84" s="49"/>
      <x:c r="AL84" s="49"/>
      <x:c r="AM84" s="49"/>
      <x:c r="AN84" s="49"/>
      <x:c r="AO84" s="49"/>
      <x:c r="AP84" s="49"/>
      <x:c r="AQ84" s="49"/>
      <x:c r="AR84" s="49"/>
      <x:c r="AS84" s="49"/>
      <x:c r="AT84" s="49"/>
      <x:c r="AU84" s="49"/>
      <x:c r="AV84" s="49"/>
      <x:c r="AW84" s="49"/>
      <x:c r="AX84" s="49"/>
      <x:c r="AY84" s="49"/>
      <x:c r="AZ84" s="49"/>
    </x:row>
    <x:row r="85">
      <x:c r="A85" s="49"/>
      <x:c r="B85" s="49"/>
      <x:c r="C85" s="49"/>
      <x:c r="D85" s="49"/>
      <x:c r="E85" s="49"/>
      <x:c r="F85" s="49"/>
      <x:c r="G85" s="49"/>
      <x:c r="H85" s="49"/>
      <x:c r="I85" s="49"/>
      <x:c r="J85" s="49"/>
      <x:c r="K85" s="49"/>
      <x:c r="L85" s="49"/>
      <x:c r="M85" s="49"/>
      <x:c r="N85" s="49"/>
      <x:c r="O85" s="49"/>
      <x:c r="P85" s="49"/>
      <x:c r="Q85" s="49"/>
      <x:c r="R85" s="49"/>
      <x:c r="S85" s="49"/>
      <x:c r="T85" s="49"/>
      <x:c r="U85" s="49"/>
      <x:c r="V85" s="49"/>
      <x:c r="W85" s="49"/>
      <x:c r="X85" s="49"/>
      <x:c r="Y85" s="49"/>
      <x:c r="Z85" s="49"/>
      <x:c r="AA85" s="49"/>
      <x:c r="AB85" s="49"/>
      <x:c r="AC85" s="49"/>
      <x:c r="AD85" s="49"/>
      <x:c r="AE85" s="49"/>
      <x:c r="AF85" s="49"/>
      <x:c r="AG85" s="49"/>
      <x:c r="AH85" s="49"/>
      <x:c r="AI85" s="49"/>
      <x:c r="AJ85" s="49"/>
      <x:c r="AK85" s="49"/>
      <x:c r="AL85" s="49"/>
      <x:c r="AM85" s="49"/>
      <x:c r="AN85" s="49"/>
      <x:c r="AO85" s="49"/>
      <x:c r="AP85" s="49"/>
      <x:c r="AQ85" s="49"/>
      <x:c r="AR85" s="49"/>
      <x:c r="AS85" s="49"/>
      <x:c r="AT85" s="49"/>
      <x:c r="AU85" s="49"/>
      <x:c r="AV85" s="49"/>
      <x:c r="AW85" s="49"/>
      <x:c r="AX85" s="49"/>
      <x:c r="AY85" s="49"/>
      <x:c r="AZ85" s="49"/>
    </x:row>
    <x:row r="86">
      <x:c r="A86" s="49"/>
      <x:c r="B86" s="49"/>
      <x:c r="C86" s="49"/>
      <x:c r="D86" s="49"/>
      <x:c r="E86" s="49"/>
      <x:c r="F86" s="49"/>
      <x:c r="G86" s="49"/>
      <x:c r="H86" s="49"/>
      <x:c r="I86" s="49"/>
      <x:c r="J86" s="49"/>
      <x:c r="K86" s="49"/>
      <x:c r="L86" s="49"/>
      <x:c r="M86" s="49"/>
      <x:c r="N86" s="49"/>
      <x:c r="O86" s="49"/>
      <x:c r="P86" s="49"/>
      <x:c r="Q86" s="49"/>
      <x:c r="R86" s="49"/>
      <x:c r="S86" s="49"/>
      <x:c r="T86" s="49"/>
      <x:c r="U86" s="49"/>
      <x:c r="V86" s="49"/>
      <x:c r="W86" s="49"/>
      <x:c r="X86" s="49"/>
      <x:c r="Y86" s="49"/>
      <x:c r="Z86" s="49"/>
      <x:c r="AA86" s="49"/>
      <x:c r="AB86" s="49"/>
      <x:c r="AC86" s="49"/>
      <x:c r="AD86" s="49"/>
      <x:c r="AE86" s="49"/>
      <x:c r="AF86" s="49"/>
      <x:c r="AG86" s="49"/>
      <x:c r="AH86" s="49"/>
      <x:c r="AI86" s="49"/>
      <x:c r="AJ86" s="49"/>
      <x:c r="AK86" s="49"/>
      <x:c r="AL86" s="49"/>
      <x:c r="AM86" s="49"/>
      <x:c r="AN86" s="49"/>
      <x:c r="AO86" s="49"/>
      <x:c r="AP86" s="49"/>
      <x:c r="AQ86" s="49"/>
      <x:c r="AR86" s="49"/>
      <x:c r="AS86" s="49"/>
      <x:c r="AT86" s="49"/>
      <x:c r="AU86" s="49"/>
      <x:c r="AV86" s="49"/>
      <x:c r="AW86" s="49"/>
      <x:c r="AX86" s="49"/>
      <x:c r="AY86" s="49"/>
      <x:c r="AZ86" s="49"/>
    </x:row>
    <x:row r="87">
      <x:c r="A87" s="49"/>
      <x:c r="B87" s="49"/>
      <x:c r="C87" s="49"/>
      <x:c r="D87" s="49"/>
      <x:c r="E87" s="49"/>
      <x:c r="F87" s="49"/>
      <x:c r="G87" s="49"/>
      <x:c r="H87" s="49"/>
      <x:c r="I87" s="49"/>
      <x:c r="J87" s="49"/>
      <x:c r="K87" s="49"/>
      <x:c r="L87" s="49"/>
      <x:c r="M87" s="49"/>
      <x:c r="N87" s="49"/>
      <x:c r="O87" s="49"/>
      <x:c r="P87" s="49"/>
      <x:c r="Q87" s="49"/>
      <x:c r="R87" s="49"/>
      <x:c r="S87" s="49"/>
      <x:c r="T87" s="49"/>
      <x:c r="U87" s="49"/>
      <x:c r="V87" s="49"/>
      <x:c r="W87" s="49"/>
      <x:c r="X87" s="49"/>
      <x:c r="Y87" s="49"/>
      <x:c r="Z87" s="49"/>
      <x:c r="AA87" s="49"/>
      <x:c r="AB87" s="49"/>
      <x:c r="AC87" s="49"/>
      <x:c r="AD87" s="49"/>
      <x:c r="AE87" s="49"/>
      <x:c r="AF87" s="49"/>
      <x:c r="AG87" s="49"/>
      <x:c r="AH87" s="49"/>
      <x:c r="AI87" s="49"/>
      <x:c r="AJ87" s="49"/>
      <x:c r="AK87" s="49"/>
      <x:c r="AL87" s="49"/>
      <x:c r="AM87" s="49"/>
      <x:c r="AN87" s="49"/>
      <x:c r="AO87" s="49"/>
      <x:c r="AP87" s="49"/>
      <x:c r="AQ87" s="49"/>
      <x:c r="AR87" s="49"/>
      <x:c r="AS87" s="49"/>
      <x:c r="AT87" s="49"/>
      <x:c r="AU87" s="49"/>
      <x:c r="AV87" s="49"/>
      <x:c r="AW87" s="49"/>
      <x:c r="AX87" s="49"/>
      <x:c r="AY87" s="49"/>
      <x:c r="AZ87" s="49"/>
    </x:row>
    <x:row r="88">
      <x:c r="A88" s="49"/>
      <x:c r="B88" s="49"/>
      <x:c r="C88" s="49"/>
      <x:c r="D88" s="49"/>
      <x:c r="E88" s="49"/>
      <x:c r="F88" s="49"/>
      <x:c r="G88" s="49"/>
      <x:c r="H88" s="49"/>
      <x:c r="I88" s="49"/>
      <x:c r="J88" s="49"/>
      <x:c r="K88" s="49"/>
      <x:c r="L88" s="49"/>
      <x:c r="M88" s="49"/>
      <x:c r="N88" s="49"/>
      <x:c r="O88" s="49"/>
      <x:c r="P88" s="49"/>
      <x:c r="Q88" s="49"/>
      <x:c r="R88" s="49"/>
      <x:c r="S88" s="49"/>
      <x:c r="T88" s="49"/>
      <x:c r="U88" s="49"/>
      <x:c r="V88" s="49"/>
      <x:c r="W88" s="49"/>
      <x:c r="X88" s="49"/>
      <x:c r="Y88" s="49"/>
      <x:c r="Z88" s="49"/>
      <x:c r="AA88" s="49"/>
      <x:c r="AB88" s="49"/>
      <x:c r="AC88" s="49"/>
      <x:c r="AD88" s="49"/>
      <x:c r="AE88" s="49"/>
      <x:c r="AF88" s="49"/>
      <x:c r="AG88" s="49"/>
      <x:c r="AH88" s="49"/>
      <x:c r="AI88" s="49"/>
      <x:c r="AJ88" s="49"/>
      <x:c r="AK88" s="49"/>
      <x:c r="AL88" s="49"/>
      <x:c r="AM88" s="49"/>
      <x:c r="AN88" s="49"/>
      <x:c r="AO88" s="49"/>
      <x:c r="AP88" s="49"/>
      <x:c r="AQ88" s="49"/>
      <x:c r="AR88" s="49"/>
      <x:c r="AS88" s="49"/>
      <x:c r="AT88" s="49"/>
      <x:c r="AU88" s="49"/>
      <x:c r="AV88" s="49"/>
      <x:c r="AW88" s="49"/>
      <x:c r="AX88" s="49"/>
      <x:c r="AY88" s="49"/>
      <x:c r="AZ88" s="49"/>
    </x:row>
    <x:row r="89">
      <x:c r="A89" s="49"/>
      <x:c r="B89" s="49"/>
      <x:c r="C89" s="49"/>
      <x:c r="D89" s="49"/>
      <x:c r="E89" s="49"/>
      <x:c r="F89" s="49"/>
      <x:c r="G89" s="49"/>
      <x:c r="H89" s="49"/>
      <x:c r="I89" s="49"/>
      <x:c r="J89" s="49"/>
      <x:c r="K89" s="49"/>
      <x:c r="L89" s="49"/>
      <x:c r="M89" s="49"/>
      <x:c r="N89" s="49"/>
      <x:c r="O89" s="49"/>
      <x:c r="P89" s="49"/>
      <x:c r="Q89" s="49"/>
      <x:c r="R89" s="49"/>
      <x:c r="S89" s="49"/>
      <x:c r="T89" s="49"/>
      <x:c r="U89" s="49"/>
      <x:c r="V89" s="49"/>
      <x:c r="W89" s="49"/>
      <x:c r="X89" s="49"/>
      <x:c r="Y89" s="49"/>
      <x:c r="Z89" s="49"/>
      <x:c r="AA89" s="49"/>
      <x:c r="AB89" s="49"/>
      <x:c r="AC89" s="49"/>
      <x:c r="AD89" s="49"/>
      <x:c r="AE89" s="49"/>
      <x:c r="AF89" s="49"/>
      <x:c r="AG89" s="49"/>
      <x:c r="AH89" s="49"/>
      <x:c r="AI89" s="49"/>
      <x:c r="AJ89" s="49"/>
      <x:c r="AK89" s="49"/>
      <x:c r="AL89" s="49"/>
      <x:c r="AM89" s="49"/>
      <x:c r="AN89" s="49"/>
      <x:c r="AO89" s="49"/>
      <x:c r="AP89" s="49"/>
      <x:c r="AQ89" s="49"/>
      <x:c r="AR89" s="49"/>
      <x:c r="AS89" s="49"/>
      <x:c r="AT89" s="49"/>
      <x:c r="AU89" s="49"/>
      <x:c r="AV89" s="49"/>
      <x:c r="AW89" s="49"/>
      <x:c r="AX89" s="49"/>
      <x:c r="AY89" s="49"/>
      <x:c r="AZ89" s="49"/>
    </x:row>
    <x:row r="90">
      <x:c r="A90" s="49"/>
      <x:c r="B90" s="49"/>
      <x:c r="C90" s="49"/>
      <x:c r="D90" s="49"/>
      <x:c r="E90" s="49"/>
      <x:c r="F90" s="49"/>
      <x:c r="G90" s="49"/>
      <x:c r="H90" s="49"/>
      <x:c r="I90" s="49"/>
      <x:c r="J90" s="49"/>
      <x:c r="K90" s="49"/>
      <x:c r="L90" s="49"/>
      <x:c r="M90" s="49"/>
      <x:c r="N90" s="49"/>
      <x:c r="O90" s="49"/>
      <x:c r="P90" s="49"/>
      <x:c r="Q90" s="49"/>
      <x:c r="R90" s="49"/>
      <x:c r="S90" s="49"/>
      <x:c r="T90" s="49"/>
      <x:c r="U90" s="49"/>
      <x:c r="V90" s="49"/>
      <x:c r="W90" s="49"/>
      <x:c r="X90" s="49"/>
      <x:c r="Y90" s="49"/>
      <x:c r="Z90" s="49"/>
      <x:c r="AA90" s="49"/>
      <x:c r="AB90" s="49"/>
      <x:c r="AC90" s="49"/>
      <x:c r="AD90" s="49"/>
      <x:c r="AE90" s="49"/>
      <x:c r="AF90" s="49"/>
      <x:c r="AG90" s="49"/>
      <x:c r="AH90" s="49"/>
      <x:c r="AI90" s="49"/>
      <x:c r="AJ90" s="49"/>
      <x:c r="AK90" s="49"/>
      <x:c r="AL90" s="49"/>
      <x:c r="AM90" s="49"/>
      <x:c r="AN90" s="49"/>
      <x:c r="AO90" s="49"/>
      <x:c r="AP90" s="49"/>
      <x:c r="AQ90" s="49"/>
      <x:c r="AR90" s="49"/>
      <x:c r="AS90" s="49"/>
      <x:c r="AT90" s="49"/>
      <x:c r="AU90" s="49"/>
      <x:c r="AV90" s="49"/>
      <x:c r="AW90" s="49"/>
      <x:c r="AX90" s="49"/>
      <x:c r="AY90" s="49"/>
      <x:c r="AZ90" s="49"/>
    </x:row>
    <x:row r="91">
      <x:c r="A91" s="49"/>
      <x:c r="B91" s="49"/>
      <x:c r="C91" s="49"/>
      <x:c r="D91" s="49"/>
      <x:c r="E91" s="49"/>
      <x:c r="F91" s="49"/>
      <x:c r="G91" s="49"/>
      <x:c r="H91" s="49"/>
      <x:c r="I91" s="49"/>
      <x:c r="J91" s="49"/>
      <x:c r="K91" s="49"/>
      <x:c r="L91" s="49"/>
      <x:c r="M91" s="49"/>
      <x:c r="N91" s="49"/>
      <x:c r="O91" s="49"/>
      <x:c r="P91" s="49"/>
      <x:c r="Q91" s="49"/>
      <x:c r="R91" s="49"/>
      <x:c r="S91" s="49"/>
      <x:c r="T91" s="49"/>
      <x:c r="U91" s="49"/>
      <x:c r="V91" s="49"/>
      <x:c r="W91" s="49"/>
      <x:c r="X91" s="49"/>
      <x:c r="Y91" s="49"/>
      <x:c r="Z91" s="49"/>
      <x:c r="AA91" s="49"/>
      <x:c r="AB91" s="49"/>
      <x:c r="AC91" s="49"/>
      <x:c r="AD91" s="49"/>
      <x:c r="AE91" s="49"/>
      <x:c r="AF91" s="49"/>
      <x:c r="AG91" s="49"/>
      <x:c r="AH91" s="49"/>
      <x:c r="AI91" s="49"/>
      <x:c r="AJ91" s="49"/>
      <x:c r="AK91" s="49"/>
      <x:c r="AL91" s="49"/>
      <x:c r="AM91" s="49"/>
      <x:c r="AN91" s="49"/>
      <x:c r="AO91" s="49"/>
      <x:c r="AP91" s="49"/>
      <x:c r="AQ91" s="49"/>
      <x:c r="AR91" s="49"/>
      <x:c r="AS91" s="49"/>
      <x:c r="AT91" s="49"/>
      <x:c r="AU91" s="49"/>
      <x:c r="AV91" s="49"/>
      <x:c r="AW91" s="49"/>
      <x:c r="AX91" s="49"/>
      <x:c r="AY91" s="49"/>
      <x:c r="AZ91" s="49"/>
    </x:row>
    <x:row r="92">
      <x:c r="A92" s="49"/>
      <x:c r="B92" s="49"/>
      <x:c r="C92" s="49"/>
      <x:c r="D92" s="49"/>
      <x:c r="E92" s="49"/>
      <x:c r="F92" s="49"/>
      <x:c r="G92" s="49"/>
      <x:c r="H92" s="49"/>
      <x:c r="I92" s="49"/>
      <x:c r="J92" s="49"/>
      <x:c r="K92" s="49"/>
      <x:c r="L92" s="49"/>
      <x:c r="M92" s="49"/>
      <x:c r="N92" s="49"/>
      <x:c r="O92" s="49"/>
      <x:c r="P92" s="49"/>
      <x:c r="Q92" s="49"/>
      <x:c r="R92" s="49"/>
      <x:c r="S92" s="49"/>
      <x:c r="T92" s="49"/>
      <x:c r="U92" s="49"/>
      <x:c r="V92" s="49"/>
      <x:c r="W92" s="49"/>
      <x:c r="X92" s="49"/>
      <x:c r="Y92" s="49"/>
      <x:c r="Z92" s="49"/>
      <x:c r="AA92" s="49"/>
      <x:c r="AB92" s="49"/>
      <x:c r="AC92" s="49"/>
      <x:c r="AD92" s="49"/>
      <x:c r="AE92" s="49"/>
      <x:c r="AF92" s="49"/>
      <x:c r="AG92" s="49"/>
      <x:c r="AH92" s="49"/>
      <x:c r="AI92" s="49"/>
      <x:c r="AJ92" s="49"/>
      <x:c r="AK92" s="49"/>
      <x:c r="AL92" s="49"/>
      <x:c r="AM92" s="49"/>
      <x:c r="AN92" s="49"/>
      <x:c r="AO92" s="49"/>
      <x:c r="AP92" s="49"/>
      <x:c r="AQ92" s="49"/>
      <x:c r="AR92" s="49"/>
      <x:c r="AS92" s="49"/>
      <x:c r="AT92" s="49"/>
      <x:c r="AU92" s="49"/>
      <x:c r="AV92" s="49"/>
      <x:c r="AW92" s="49"/>
      <x:c r="AX92" s="49"/>
      <x:c r="AY92" s="49"/>
      <x:c r="AZ92" s="49"/>
    </x:row>
    <x:row r="93">
      <x:c r="A93" s="49"/>
      <x:c r="B93" s="49"/>
      <x:c r="C93" s="49"/>
      <x:c r="D93" s="49"/>
      <x:c r="E93" s="49"/>
      <x:c r="F93" s="49"/>
      <x:c r="G93" s="49"/>
      <x:c r="H93" s="49"/>
      <x:c r="I93" s="49"/>
      <x:c r="J93" s="49"/>
      <x:c r="K93" s="49"/>
      <x:c r="L93" s="49"/>
      <x:c r="M93" s="49"/>
      <x:c r="N93" s="49"/>
      <x:c r="O93" s="49"/>
      <x:c r="P93" s="49"/>
      <x:c r="Q93" s="49"/>
      <x:c r="R93" s="49"/>
      <x:c r="S93" s="49"/>
      <x:c r="T93" s="49"/>
      <x:c r="U93" s="49"/>
      <x:c r="V93" s="49"/>
      <x:c r="W93" s="49"/>
      <x:c r="X93" s="49"/>
      <x:c r="Y93" s="49"/>
      <x:c r="Z93" s="49"/>
      <x:c r="AA93" s="49"/>
      <x:c r="AB93" s="49"/>
      <x:c r="AC93" s="49"/>
      <x:c r="AD93" s="49"/>
      <x:c r="AE93" s="49"/>
      <x:c r="AF93" s="49"/>
      <x:c r="AG93" s="49"/>
      <x:c r="AH93" s="49"/>
      <x:c r="AI93" s="49"/>
      <x:c r="AJ93" s="49"/>
      <x:c r="AK93" s="49"/>
      <x:c r="AL93" s="49"/>
      <x:c r="AM93" s="49"/>
      <x:c r="AN93" s="49"/>
      <x:c r="AO93" s="49"/>
      <x:c r="AP93" s="49"/>
      <x:c r="AQ93" s="49"/>
      <x:c r="AR93" s="49"/>
      <x:c r="AS93" s="49"/>
      <x:c r="AT93" s="49"/>
      <x:c r="AU93" s="49"/>
      <x:c r="AV93" s="49"/>
      <x:c r="AW93" s="49"/>
      <x:c r="AX93" s="49"/>
      <x:c r="AY93" s="49"/>
      <x:c r="AZ93" s="49"/>
    </x:row>
    <x:row r="94">
      <x:c r="A94" s="49"/>
      <x:c r="B94" s="49"/>
      <x:c r="C94" s="49"/>
      <x:c r="D94" s="49"/>
      <x:c r="E94" s="49"/>
      <x:c r="F94" s="49"/>
      <x:c r="G94" s="49"/>
      <x:c r="H94" s="49"/>
      <x:c r="I94" s="49"/>
      <x:c r="J94" s="49"/>
      <x:c r="K94" s="49"/>
      <x:c r="L94" s="49"/>
      <x:c r="M94" s="49"/>
      <x:c r="N94" s="49"/>
      <x:c r="O94" s="49"/>
      <x:c r="P94" s="49"/>
      <x:c r="Q94" s="49"/>
      <x:c r="R94" s="49"/>
      <x:c r="S94" s="49"/>
      <x:c r="T94" s="49"/>
      <x:c r="U94" s="49"/>
      <x:c r="V94" s="49"/>
      <x:c r="W94" s="49"/>
      <x:c r="X94" s="49"/>
      <x:c r="Y94" s="49"/>
      <x:c r="Z94" s="49"/>
      <x:c r="AA94" s="49"/>
      <x:c r="AB94" s="49"/>
      <x:c r="AC94" s="49"/>
      <x:c r="AD94" s="49"/>
      <x:c r="AE94" s="49"/>
      <x:c r="AF94" s="49"/>
      <x:c r="AG94" s="49"/>
      <x:c r="AH94" s="49"/>
      <x:c r="AI94" s="49"/>
      <x:c r="AJ94" s="49"/>
      <x:c r="AK94" s="49"/>
      <x:c r="AL94" s="49"/>
      <x:c r="AM94" s="49"/>
      <x:c r="AN94" s="49"/>
      <x:c r="AO94" s="49"/>
      <x:c r="AP94" s="49"/>
      <x:c r="AQ94" s="49"/>
      <x:c r="AR94" s="49"/>
      <x:c r="AS94" s="49"/>
      <x:c r="AT94" s="49"/>
      <x:c r="AU94" s="49"/>
      <x:c r="AV94" s="49"/>
      <x:c r="AW94" s="49"/>
      <x:c r="AX94" s="49"/>
      <x:c r="AY94" s="49"/>
      <x:c r="AZ94" s="49"/>
    </x:row>
    <x:row r="95">
      <x:c r="A95" s="49"/>
      <x:c r="B95" s="49"/>
      <x:c r="C95" s="49"/>
      <x:c r="D95" s="49"/>
      <x:c r="E95" s="49"/>
      <x:c r="F95" s="49"/>
      <x:c r="G95" s="49"/>
      <x:c r="H95" s="49"/>
      <x:c r="I95" s="49"/>
      <x:c r="J95" s="49"/>
      <x:c r="K95" s="49"/>
      <x:c r="L95" s="49"/>
      <x:c r="M95" s="49"/>
      <x:c r="N95" s="49"/>
      <x:c r="O95" s="49"/>
      <x:c r="P95" s="49"/>
      <x:c r="Q95" s="49"/>
      <x:c r="R95" s="49"/>
      <x:c r="S95" s="49"/>
      <x:c r="T95" s="49"/>
      <x:c r="U95" s="49"/>
      <x:c r="V95" s="49"/>
      <x:c r="W95" s="49"/>
      <x:c r="X95" s="49"/>
      <x:c r="Y95" s="49"/>
      <x:c r="Z95" s="49"/>
      <x:c r="AA95" s="49"/>
      <x:c r="AB95" s="49"/>
      <x:c r="AC95" s="49"/>
      <x:c r="AD95" s="49"/>
      <x:c r="AE95" s="49"/>
      <x:c r="AF95" s="49"/>
      <x:c r="AG95" s="49"/>
      <x:c r="AH95" s="49"/>
      <x:c r="AI95" s="49"/>
      <x:c r="AJ95" s="49"/>
      <x:c r="AK95" s="49"/>
      <x:c r="AL95" s="49"/>
      <x:c r="AM95" s="49"/>
      <x:c r="AN95" s="49"/>
      <x:c r="AO95" s="49"/>
      <x:c r="AP95" s="49"/>
      <x:c r="AQ95" s="49"/>
      <x:c r="AR95" s="49"/>
      <x:c r="AS95" s="49"/>
      <x:c r="AT95" s="49"/>
      <x:c r="AU95" s="49"/>
      <x:c r="AV95" s="49"/>
      <x:c r="AW95" s="49"/>
      <x:c r="AX95" s="49"/>
      <x:c r="AY95" s="49"/>
      <x:c r="AZ95" s="49"/>
    </x:row>
    <x:row r="96">
      <x:c r="A96" s="49"/>
      <x:c r="B96" s="49"/>
      <x:c r="C96" s="49"/>
      <x:c r="D96" s="49"/>
      <x:c r="E96" s="49"/>
      <x:c r="F96" s="49"/>
      <x:c r="G96" s="49"/>
      <x:c r="H96" s="49"/>
      <x:c r="I96" s="49"/>
      <x:c r="J96" s="49"/>
      <x:c r="K96" s="49"/>
      <x:c r="L96" s="49"/>
      <x:c r="M96" s="49"/>
      <x:c r="N96" s="49"/>
      <x:c r="O96" s="49"/>
      <x:c r="P96" s="49"/>
      <x:c r="Q96" s="49"/>
      <x:c r="R96" s="49"/>
      <x:c r="S96" s="49"/>
      <x:c r="T96" s="49"/>
      <x:c r="U96" s="49"/>
      <x:c r="V96" s="49"/>
      <x:c r="W96" s="49"/>
      <x:c r="X96" s="49"/>
      <x:c r="Y96" s="49"/>
      <x:c r="Z96" s="49"/>
      <x:c r="AA96" s="49"/>
      <x:c r="AB96" s="49"/>
      <x:c r="AC96" s="49"/>
      <x:c r="AD96" s="49"/>
      <x:c r="AE96" s="49"/>
      <x:c r="AF96" s="49"/>
      <x:c r="AG96" s="49"/>
      <x:c r="AH96" s="49"/>
      <x:c r="AI96" s="49"/>
      <x:c r="AJ96" s="49"/>
      <x:c r="AK96" s="49"/>
      <x:c r="AL96" s="49"/>
      <x:c r="AM96" s="49"/>
      <x:c r="AN96" s="49"/>
      <x:c r="AO96" s="49"/>
      <x:c r="AP96" s="49"/>
      <x:c r="AQ96" s="49"/>
      <x:c r="AR96" s="49"/>
      <x:c r="AS96" s="49"/>
      <x:c r="AT96" s="49"/>
      <x:c r="AU96" s="49"/>
      <x:c r="AV96" s="49"/>
      <x:c r="AW96" s="49"/>
      <x:c r="AX96" s="49"/>
      <x:c r="AY96" s="49"/>
      <x:c r="AZ96" s="49"/>
    </x:row>
    <x:row r="97">
      <x:c r="A97" s="49"/>
      <x:c r="B97" s="49"/>
      <x:c r="C97" s="49"/>
      <x:c r="D97" s="49"/>
      <x:c r="E97" s="49"/>
      <x:c r="F97" s="49"/>
      <x:c r="G97" s="49"/>
      <x:c r="H97" s="49"/>
      <x:c r="I97" s="49"/>
      <x:c r="J97" s="49"/>
      <x:c r="K97" s="49"/>
      <x:c r="L97" s="49"/>
      <x:c r="M97" s="49"/>
      <x:c r="N97" s="49"/>
      <x:c r="O97" s="49"/>
      <x:c r="P97" s="49"/>
      <x:c r="Q97" s="49"/>
      <x:c r="R97" s="49"/>
      <x:c r="S97" s="49"/>
      <x:c r="T97" s="49"/>
      <x:c r="U97" s="49"/>
      <x:c r="V97" s="49"/>
      <x:c r="W97" s="49"/>
      <x:c r="X97" s="49"/>
      <x:c r="Y97" s="49"/>
      <x:c r="Z97" s="49"/>
      <x:c r="AA97" s="49"/>
      <x:c r="AB97" s="49"/>
      <x:c r="AC97" s="49"/>
      <x:c r="AD97" s="49"/>
      <x:c r="AE97" s="49"/>
      <x:c r="AF97" s="49"/>
      <x:c r="AG97" s="49"/>
      <x:c r="AH97" s="49"/>
      <x:c r="AI97" s="49"/>
      <x:c r="AJ97" s="49"/>
      <x:c r="AK97" s="49"/>
      <x:c r="AL97" s="49"/>
      <x:c r="AM97" s="49"/>
      <x:c r="AN97" s="49"/>
      <x:c r="AO97" s="49"/>
      <x:c r="AP97" s="49"/>
      <x:c r="AQ97" s="49"/>
      <x:c r="AR97" s="49"/>
      <x:c r="AS97" s="49"/>
      <x:c r="AT97" s="49"/>
      <x:c r="AU97" s="49"/>
      <x:c r="AV97" s="49"/>
      <x:c r="AW97" s="49"/>
      <x:c r="AX97" s="49"/>
      <x:c r="AY97" s="49"/>
      <x:c r="AZ97" s="49"/>
    </x:row>
    <x:row r="98">
      <x:c r="A98" s="49"/>
      <x:c r="B98" s="49"/>
      <x:c r="C98" s="49"/>
      <x:c r="D98" s="49"/>
      <x:c r="E98" s="49"/>
      <x:c r="F98" s="49"/>
      <x:c r="G98" s="49"/>
      <x:c r="H98" s="49"/>
      <x:c r="I98" s="49"/>
      <x:c r="J98" s="49"/>
      <x:c r="K98" s="49"/>
      <x:c r="L98" s="49"/>
      <x:c r="M98" s="49"/>
      <x:c r="N98" s="49"/>
      <x:c r="O98" s="49"/>
      <x:c r="P98" s="49"/>
      <x:c r="Q98" s="49"/>
      <x:c r="R98" s="49"/>
      <x:c r="S98" s="49"/>
      <x:c r="T98" s="49"/>
      <x:c r="U98" s="49"/>
      <x:c r="V98" s="49"/>
      <x:c r="W98" s="49"/>
      <x:c r="X98" s="49"/>
      <x:c r="Y98" s="49"/>
      <x:c r="Z98" s="49"/>
      <x:c r="AA98" s="49"/>
      <x:c r="AB98" s="49"/>
      <x:c r="AC98" s="49"/>
      <x:c r="AD98" s="49"/>
      <x:c r="AE98" s="49"/>
      <x:c r="AF98" s="49"/>
      <x:c r="AG98" s="49"/>
      <x:c r="AH98" s="49"/>
      <x:c r="AI98" s="49"/>
      <x:c r="AJ98" s="49"/>
      <x:c r="AK98" s="49"/>
      <x:c r="AL98" s="49"/>
      <x:c r="AM98" s="49"/>
      <x:c r="AN98" s="49"/>
      <x:c r="AO98" s="49"/>
      <x:c r="AP98" s="49"/>
      <x:c r="AQ98" s="49"/>
      <x:c r="AR98" s="49"/>
      <x:c r="AS98" s="49"/>
      <x:c r="AT98" s="49"/>
      <x:c r="AU98" s="49"/>
      <x:c r="AV98" s="49"/>
      <x:c r="AW98" s="49"/>
      <x:c r="AX98" s="49"/>
      <x:c r="AY98" s="49"/>
      <x:c r="AZ98" s="49"/>
    </x:row>
    <x:row r="99">
      <x:c r="A99" s="49"/>
      <x:c r="B99" s="49"/>
      <x:c r="C99" s="49"/>
      <x:c r="D99" s="49"/>
      <x:c r="E99" s="49"/>
      <x:c r="F99" s="49"/>
      <x:c r="G99" s="49"/>
      <x:c r="H99" s="49"/>
      <x:c r="I99" s="49"/>
      <x:c r="J99" s="49"/>
      <x:c r="K99" s="49"/>
      <x:c r="L99" s="49"/>
      <x:c r="M99" s="49"/>
      <x:c r="N99" s="49"/>
      <x:c r="O99" s="49"/>
      <x:c r="P99" s="49"/>
      <x:c r="Q99" s="49"/>
      <x:c r="R99" s="49"/>
      <x:c r="S99" s="49"/>
      <x:c r="T99" s="49"/>
      <x:c r="U99" s="49"/>
      <x:c r="V99" s="49"/>
      <x:c r="W99" s="49"/>
      <x:c r="X99" s="49"/>
      <x:c r="Y99" s="49"/>
      <x:c r="Z99" s="49"/>
      <x:c r="AA99" s="49"/>
      <x:c r="AB99" s="49"/>
      <x:c r="AC99" s="49"/>
      <x:c r="AD99" s="49"/>
      <x:c r="AE99" s="49"/>
      <x:c r="AF99" s="49"/>
      <x:c r="AG99" s="49"/>
      <x:c r="AH99" s="49"/>
      <x:c r="AI99" s="49"/>
      <x:c r="AJ99" s="49"/>
      <x:c r="AK99" s="49"/>
      <x:c r="AL99" s="49"/>
      <x:c r="AM99" s="49"/>
      <x:c r="AN99" s="49"/>
      <x:c r="AO99" s="49"/>
      <x:c r="AP99" s="49"/>
      <x:c r="AQ99" s="49"/>
      <x:c r="AR99" s="49"/>
      <x:c r="AS99" s="49"/>
      <x:c r="AT99" s="49"/>
      <x:c r="AU99" s="49"/>
      <x:c r="AV99" s="49"/>
      <x:c r="AW99" s="49"/>
      <x:c r="AX99" s="49"/>
      <x:c r="AY99" s="49"/>
      <x:c r="AZ99" s="49"/>
    </x:row>
    <x:row r="100">
      <x:c r="A100" s="49"/>
      <x:c r="B100" s="49"/>
      <x:c r="C100" s="49"/>
      <x:c r="D100" s="49"/>
      <x:c r="E100" s="49"/>
      <x:c r="F100" s="49"/>
      <x:c r="G100" s="49"/>
      <x:c r="H100" s="49"/>
      <x:c r="I100" s="49"/>
      <x:c r="J100" s="49"/>
      <x:c r="K100" s="49"/>
      <x:c r="L100" s="49"/>
      <x:c r="M100" s="49"/>
      <x:c r="N100" s="49"/>
      <x:c r="O100" s="49"/>
      <x:c r="P100" s="49"/>
      <x:c r="Q100" s="49"/>
      <x:c r="R100" s="49"/>
      <x:c r="S100" s="49"/>
      <x:c r="T100" s="49"/>
      <x:c r="U100" s="49"/>
      <x:c r="V100" s="49"/>
      <x:c r="W100" s="49"/>
      <x:c r="X100" s="49"/>
      <x:c r="Y100" s="49"/>
      <x:c r="Z100" s="49"/>
      <x:c r="AA100" s="49"/>
      <x:c r="AB100" s="49"/>
      <x:c r="AC100" s="49"/>
      <x:c r="AD100" s="49"/>
      <x:c r="AE100" s="49"/>
      <x:c r="AF100" s="49"/>
      <x:c r="AG100" s="49"/>
      <x:c r="AH100" s="49"/>
      <x:c r="AI100" s="49"/>
      <x:c r="AJ100" s="49"/>
      <x:c r="AK100" s="49"/>
      <x:c r="AL100" s="49"/>
      <x:c r="AM100" s="49"/>
      <x:c r="AN100" s="49"/>
      <x:c r="AO100" s="49"/>
      <x:c r="AP100" s="49"/>
      <x:c r="AQ100" s="49"/>
      <x:c r="AR100" s="49"/>
      <x:c r="AS100" s="49"/>
      <x:c r="AT100" s="49"/>
      <x:c r="AU100" s="49"/>
      <x:c r="AV100" s="49"/>
      <x:c r="AW100" s="49"/>
      <x:c r="AX100" s="49"/>
      <x:c r="AY100" s="49"/>
      <x:c r="AZ100" s="49"/>
    </x:row>
    <x:row r="101">
      <x:c r="A101" s="49"/>
      <x:c r="B101" s="49"/>
      <x:c r="C101" s="49"/>
      <x:c r="D101" s="49"/>
      <x:c r="E101" s="49"/>
      <x:c r="F101" s="49"/>
      <x:c r="G101" s="49"/>
      <x:c r="H101" s="49"/>
      <x:c r="I101" s="49"/>
      <x:c r="J101" s="49"/>
      <x:c r="K101" s="49"/>
      <x:c r="L101" s="49"/>
      <x:c r="M101" s="49"/>
      <x:c r="N101" s="49"/>
      <x:c r="O101" s="49"/>
      <x:c r="P101" s="49"/>
      <x:c r="Q101" s="49"/>
      <x:c r="R101" s="49"/>
      <x:c r="S101" s="49"/>
      <x:c r="T101" s="49"/>
      <x:c r="U101" s="49"/>
      <x:c r="V101" s="49"/>
      <x:c r="W101" s="49"/>
      <x:c r="X101" s="49"/>
      <x:c r="Y101" s="49"/>
      <x:c r="Z101" s="49"/>
      <x:c r="AA101" s="49"/>
      <x:c r="AB101" s="49"/>
      <x:c r="AC101" s="49"/>
      <x:c r="AD101" s="49"/>
      <x:c r="AE101" s="49"/>
      <x:c r="AF101" s="49"/>
      <x:c r="AG101" s="49"/>
      <x:c r="AH101" s="49"/>
      <x:c r="AI101" s="49"/>
      <x:c r="AJ101" s="49"/>
      <x:c r="AK101" s="49"/>
      <x:c r="AL101" s="49"/>
      <x:c r="AM101" s="49"/>
      <x:c r="AN101" s="49"/>
      <x:c r="AO101" s="49"/>
      <x:c r="AP101" s="49"/>
      <x:c r="AQ101" s="49"/>
      <x:c r="AR101" s="49"/>
      <x:c r="AS101" s="49"/>
      <x:c r="AT101" s="49"/>
      <x:c r="AU101" s="49"/>
      <x:c r="AV101" s="49"/>
      <x:c r="AW101" s="49"/>
      <x:c r="AX101" s="49"/>
      <x:c r="AY101" s="49"/>
      <x:c r="AZ101" s="49"/>
    </x:row>
    <x:row r="102">
      <x:c r="A102" s="49"/>
      <x:c r="B102" s="49"/>
      <x:c r="C102" s="49"/>
      <x:c r="D102" s="49"/>
      <x:c r="E102" s="49"/>
      <x:c r="F102" s="49"/>
      <x:c r="G102" s="49"/>
      <x:c r="H102" s="49"/>
      <x:c r="I102" s="49"/>
      <x:c r="J102" s="49"/>
      <x:c r="K102" s="49"/>
      <x:c r="L102" s="49"/>
      <x:c r="M102" s="49"/>
      <x:c r="N102" s="49"/>
      <x:c r="O102" s="49"/>
      <x:c r="P102" s="49"/>
      <x:c r="Q102" s="49"/>
      <x:c r="R102" s="49"/>
      <x:c r="S102" s="49"/>
      <x:c r="T102" s="49"/>
      <x:c r="U102" s="49"/>
      <x:c r="V102" s="49"/>
      <x:c r="W102" s="49"/>
      <x:c r="X102" s="49"/>
      <x:c r="Y102" s="49"/>
      <x:c r="Z102" s="49"/>
      <x:c r="AA102" s="49"/>
      <x:c r="AB102" s="49"/>
      <x:c r="AC102" s="49"/>
      <x:c r="AD102" s="49"/>
      <x:c r="AE102" s="49"/>
      <x:c r="AF102" s="49"/>
      <x:c r="AG102" s="49"/>
      <x:c r="AH102" s="49"/>
      <x:c r="AI102" s="49"/>
      <x:c r="AJ102" s="49"/>
      <x:c r="AK102" s="49"/>
      <x:c r="AL102" s="49"/>
      <x:c r="AM102" s="49"/>
      <x:c r="AN102" s="49"/>
      <x:c r="AO102" s="49"/>
      <x:c r="AP102" s="49"/>
      <x:c r="AQ102" s="49"/>
      <x:c r="AR102" s="49"/>
      <x:c r="AS102" s="49"/>
      <x:c r="AT102" s="49"/>
      <x:c r="AU102" s="49"/>
      <x:c r="AV102" s="49"/>
      <x:c r="AW102" s="49"/>
      <x:c r="AX102" s="49"/>
      <x:c r="AY102" s="49"/>
      <x:c r="AZ102" s="49"/>
    </x:row>
    <x:row r="103">
      <x:c r="A103" s="49"/>
      <x:c r="B103" s="49"/>
      <x:c r="C103" s="49"/>
      <x:c r="D103" s="49"/>
      <x:c r="E103" s="49"/>
      <x:c r="F103" s="49"/>
      <x:c r="G103" s="49"/>
      <x:c r="H103" s="49"/>
      <x:c r="I103" s="49"/>
      <x:c r="J103" s="49"/>
      <x:c r="K103" s="49"/>
      <x:c r="L103" s="49"/>
      <x:c r="M103" s="49"/>
      <x:c r="N103" s="49"/>
      <x:c r="O103" s="49"/>
      <x:c r="P103" s="49"/>
      <x:c r="Q103" s="49"/>
      <x:c r="R103" s="49"/>
      <x:c r="S103" s="49"/>
      <x:c r="T103" s="49"/>
      <x:c r="U103" s="49"/>
      <x:c r="V103" s="49"/>
      <x:c r="W103" s="49"/>
      <x:c r="X103" s="49"/>
      <x:c r="Y103" s="49"/>
      <x:c r="Z103" s="49"/>
      <x:c r="AA103" s="49"/>
      <x:c r="AB103" s="49"/>
      <x:c r="AC103" s="49"/>
      <x:c r="AD103" s="49"/>
      <x:c r="AE103" s="49"/>
      <x:c r="AF103" s="49"/>
      <x:c r="AG103" s="49"/>
      <x:c r="AH103" s="49"/>
      <x:c r="AI103" s="49"/>
      <x:c r="AJ103" s="49"/>
      <x:c r="AK103" s="49"/>
      <x:c r="AL103" s="49"/>
      <x:c r="AM103" s="49"/>
      <x:c r="AN103" s="49"/>
      <x:c r="AO103" s="49"/>
      <x:c r="AP103" s="49"/>
      <x:c r="AQ103" s="49"/>
      <x:c r="AR103" s="49"/>
      <x:c r="AS103" s="49"/>
      <x:c r="AT103" s="49"/>
      <x:c r="AU103" s="49"/>
      <x:c r="AV103" s="49"/>
      <x:c r="AW103" s="49"/>
      <x:c r="AX103" s="49"/>
      <x:c r="AY103" s="49"/>
      <x:c r="AZ103" s="49"/>
    </x:row>
    <x:row r="104">
      <x:c r="A104" s="49"/>
      <x:c r="B104" s="49"/>
      <x:c r="C104" s="49"/>
      <x:c r="D104" s="49"/>
      <x:c r="E104" s="49"/>
      <x:c r="F104" s="49"/>
      <x:c r="G104" s="49"/>
      <x:c r="H104" s="49"/>
      <x:c r="I104" s="49"/>
      <x:c r="J104" s="49"/>
      <x:c r="K104" s="49"/>
      <x:c r="L104" s="49"/>
      <x:c r="M104" s="49"/>
      <x:c r="N104" s="49"/>
      <x:c r="O104" s="49"/>
      <x:c r="P104" s="49"/>
      <x:c r="Q104" s="49"/>
      <x:c r="R104" s="49"/>
      <x:c r="S104" s="49"/>
      <x:c r="T104" s="49"/>
      <x:c r="U104" s="49"/>
      <x:c r="V104" s="49"/>
      <x:c r="W104" s="49"/>
      <x:c r="X104" s="49"/>
      <x:c r="Y104" s="49"/>
      <x:c r="Z104" s="49"/>
      <x:c r="AA104" s="49"/>
      <x:c r="AB104" s="49"/>
      <x:c r="AC104" s="49"/>
      <x:c r="AD104" s="49"/>
      <x:c r="AE104" s="49"/>
      <x:c r="AF104" s="49"/>
      <x:c r="AG104" s="49"/>
      <x:c r="AH104" s="49"/>
      <x:c r="AI104" s="49"/>
      <x:c r="AJ104" s="49"/>
      <x:c r="AK104" s="49"/>
      <x:c r="AL104" s="49"/>
      <x:c r="AM104" s="49"/>
      <x:c r="AN104" s="49"/>
      <x:c r="AO104" s="49"/>
      <x:c r="AP104" s="49"/>
      <x:c r="AQ104" s="49"/>
      <x:c r="AR104" s="49"/>
      <x:c r="AS104" s="49"/>
      <x:c r="AT104" s="49"/>
      <x:c r="AU104" s="49"/>
      <x:c r="AV104" s="49"/>
      <x:c r="AW104" s="49"/>
      <x:c r="AX104" s="49"/>
      <x:c r="AY104" s="49"/>
      <x:c r="AZ104" s="49"/>
    </x:row>
    <x:row r="105">
      <x:c r="A105" s="49"/>
      <x:c r="B105" s="49"/>
      <x:c r="C105" s="49"/>
      <x:c r="D105" s="49"/>
      <x:c r="E105" s="49"/>
      <x:c r="F105" s="49"/>
      <x:c r="G105" s="49"/>
      <x:c r="H105" s="49"/>
      <x:c r="I105" s="49"/>
      <x:c r="J105" s="49"/>
      <x:c r="K105" s="49"/>
      <x:c r="L105" s="49"/>
      <x:c r="M105" s="49"/>
      <x:c r="N105" s="49"/>
      <x:c r="O105" s="49"/>
      <x:c r="P105" s="49"/>
      <x:c r="Q105" s="49"/>
      <x:c r="R105" s="49"/>
      <x:c r="S105" s="49"/>
      <x:c r="T105" s="49"/>
      <x:c r="U105" s="49"/>
      <x:c r="V105" s="49"/>
      <x:c r="W105" s="49"/>
      <x:c r="X105" s="49"/>
      <x:c r="Y105" s="49"/>
      <x:c r="Z105" s="49"/>
      <x:c r="AA105" s="49"/>
      <x:c r="AB105" s="49"/>
      <x:c r="AC105" s="49"/>
      <x:c r="AD105" s="49"/>
      <x:c r="AE105" s="49"/>
      <x:c r="AF105" s="49"/>
      <x:c r="AG105" s="49"/>
      <x:c r="AH105" s="49"/>
      <x:c r="AI105" s="49"/>
      <x:c r="AJ105" s="49"/>
      <x:c r="AK105" s="49"/>
      <x:c r="AL105" s="49"/>
      <x:c r="AM105" s="49"/>
      <x:c r="AN105" s="49"/>
      <x:c r="AO105" s="49"/>
      <x:c r="AP105" s="49"/>
      <x:c r="AQ105" s="49"/>
      <x:c r="AR105" s="49"/>
      <x:c r="AS105" s="49"/>
      <x:c r="AT105" s="49"/>
      <x:c r="AU105" s="49"/>
      <x:c r="AV105" s="49"/>
      <x:c r="AW105" s="49"/>
      <x:c r="AX105" s="49"/>
      <x:c r="AY105" s="49"/>
      <x:c r="AZ105" s="49"/>
    </x:row>
    <x:row r="106">
      <x:c r="A106" s="49"/>
      <x:c r="B106" s="49"/>
      <x:c r="C106" s="49"/>
      <x:c r="D106" s="49"/>
      <x:c r="E106" s="49"/>
      <x:c r="F106" s="49"/>
      <x:c r="G106" s="49"/>
      <x:c r="H106" s="49"/>
      <x:c r="I106" s="49"/>
      <x:c r="J106" s="49"/>
      <x:c r="K106" s="49"/>
      <x:c r="L106" s="49"/>
      <x:c r="M106" s="49"/>
      <x:c r="N106" s="49"/>
      <x:c r="O106" s="49"/>
      <x:c r="P106" s="49"/>
      <x:c r="Q106" s="49"/>
      <x:c r="R106" s="49"/>
      <x:c r="S106" s="49"/>
      <x:c r="T106" s="49"/>
      <x:c r="U106" s="49"/>
      <x:c r="V106" s="49"/>
      <x:c r="W106" s="49"/>
      <x:c r="X106" s="49"/>
      <x:c r="Y106" s="49"/>
      <x:c r="Z106" s="49"/>
      <x:c r="AA106" s="49"/>
      <x:c r="AB106" s="49"/>
      <x:c r="AC106" s="49"/>
      <x:c r="AD106" s="49"/>
      <x:c r="AE106" s="49"/>
      <x:c r="AF106" s="49"/>
      <x:c r="AG106" s="49"/>
      <x:c r="AH106" s="49"/>
      <x:c r="AI106" s="49"/>
      <x:c r="AJ106" s="49"/>
      <x:c r="AK106" s="49"/>
      <x:c r="AL106" s="49"/>
      <x:c r="AM106" s="49"/>
      <x:c r="AN106" s="49"/>
      <x:c r="AO106" s="49"/>
      <x:c r="AP106" s="49"/>
      <x:c r="AQ106" s="49"/>
      <x:c r="AR106" s="49"/>
      <x:c r="AS106" s="49"/>
      <x:c r="AT106" s="49"/>
      <x:c r="AU106" s="49"/>
      <x:c r="AV106" s="49"/>
      <x:c r="AW106" s="49"/>
      <x:c r="AX106" s="49"/>
      <x:c r="AY106" s="49"/>
      <x:c r="AZ106" s="49"/>
    </x:row>
    <x:row r="107">
      <x:c r="A107" s="49"/>
      <x:c r="B107" s="49"/>
      <x:c r="C107" s="49"/>
      <x:c r="D107" s="49"/>
      <x:c r="E107" s="49"/>
      <x:c r="F107" s="49"/>
      <x:c r="G107" s="49"/>
      <x:c r="H107" s="49"/>
      <x:c r="I107" s="49"/>
      <x:c r="J107" s="49"/>
      <x:c r="K107" s="49"/>
      <x:c r="L107" s="49"/>
      <x:c r="M107" s="49"/>
      <x:c r="N107" s="49"/>
      <x:c r="O107" s="49"/>
      <x:c r="P107" s="49"/>
      <x:c r="Q107" s="49"/>
      <x:c r="R107" s="49"/>
      <x:c r="S107" s="49"/>
      <x:c r="T107" s="49"/>
      <x:c r="U107" s="49"/>
      <x:c r="V107" s="49"/>
      <x:c r="W107" s="49"/>
      <x:c r="X107" s="49"/>
      <x:c r="Y107" s="49"/>
      <x:c r="Z107" s="49"/>
      <x:c r="AA107" s="49"/>
      <x:c r="AB107" s="49"/>
      <x:c r="AC107" s="49"/>
      <x:c r="AD107" s="49"/>
      <x:c r="AE107" s="49"/>
      <x:c r="AF107" s="49"/>
      <x:c r="AG107" s="49"/>
      <x:c r="AH107" s="49"/>
      <x:c r="AI107" s="49"/>
      <x:c r="AJ107" s="49"/>
      <x:c r="AK107" s="49"/>
      <x:c r="AL107" s="49"/>
      <x:c r="AM107" s="49"/>
      <x:c r="AN107" s="49"/>
      <x:c r="AO107" s="49"/>
      <x:c r="AP107" s="49"/>
      <x:c r="AQ107" s="49"/>
      <x:c r="AR107" s="49"/>
      <x:c r="AS107" s="49"/>
      <x:c r="AT107" s="49"/>
      <x:c r="AU107" s="49"/>
      <x:c r="AV107" s="49"/>
      <x:c r="AW107" s="49"/>
      <x:c r="AX107" s="49"/>
      <x:c r="AY107" s="49"/>
      <x:c r="AZ107" s="49"/>
    </x:row>
    <x:row r="108">
      <x:c r="A108" s="49"/>
      <x:c r="B108" s="49"/>
      <x:c r="C108" s="49"/>
      <x:c r="D108" s="49"/>
      <x:c r="E108" s="49"/>
      <x:c r="F108" s="49"/>
      <x:c r="G108" s="49"/>
      <x:c r="H108" s="49"/>
      <x:c r="I108" s="49"/>
      <x:c r="J108" s="49"/>
      <x:c r="K108" s="49"/>
      <x:c r="L108" s="49"/>
      <x:c r="M108" s="49"/>
      <x:c r="N108" s="49"/>
      <x:c r="O108" s="49"/>
      <x:c r="P108" s="49"/>
      <x:c r="Q108" s="49"/>
      <x:c r="R108" s="49"/>
      <x:c r="S108" s="49"/>
      <x:c r="T108" s="49"/>
      <x:c r="U108" s="49"/>
      <x:c r="V108" s="49"/>
      <x:c r="W108" s="49"/>
      <x:c r="X108" s="49"/>
      <x:c r="Y108" s="49"/>
      <x:c r="Z108" s="49"/>
      <x:c r="AA108" s="49"/>
      <x:c r="AB108" s="49"/>
      <x:c r="AC108" s="49"/>
      <x:c r="AD108" s="49"/>
      <x:c r="AE108" s="49"/>
      <x:c r="AF108" s="49"/>
      <x:c r="AG108" s="49"/>
      <x:c r="AH108" s="49"/>
      <x:c r="AI108" s="49"/>
      <x:c r="AJ108" s="49"/>
      <x:c r="AK108" s="49"/>
      <x:c r="AL108" s="49"/>
      <x:c r="AM108" s="49"/>
      <x:c r="AN108" s="49"/>
      <x:c r="AO108" s="49"/>
      <x:c r="AP108" s="49"/>
      <x:c r="AQ108" s="49"/>
      <x:c r="AR108" s="49"/>
      <x:c r="AS108" s="49"/>
      <x:c r="AT108" s="49"/>
      <x:c r="AU108" s="49"/>
      <x:c r="AV108" s="49"/>
      <x:c r="AW108" s="49"/>
      <x:c r="AX108" s="49"/>
      <x:c r="AY108" s="49"/>
      <x:c r="AZ108" s="49"/>
    </x:row>
    <x:row r="109">
      <x:c r="A109" s="49"/>
      <x:c r="B109" s="49"/>
      <x:c r="C109" s="49"/>
      <x:c r="D109" s="49"/>
      <x:c r="E109" s="49"/>
      <x:c r="F109" s="49"/>
      <x:c r="G109" s="49"/>
      <x:c r="H109" s="49"/>
      <x:c r="I109" s="49"/>
      <x:c r="J109" s="49"/>
      <x:c r="K109" s="49"/>
      <x:c r="L109" s="49"/>
      <x:c r="M109" s="49"/>
      <x:c r="N109" s="49"/>
      <x:c r="O109" s="49"/>
      <x:c r="P109" s="49"/>
      <x:c r="Q109" s="49"/>
      <x:c r="R109" s="49"/>
      <x:c r="S109" s="49"/>
      <x:c r="T109" s="49"/>
      <x:c r="U109" s="49"/>
      <x:c r="V109" s="49"/>
      <x:c r="W109" s="49"/>
      <x:c r="X109" s="49"/>
      <x:c r="Y109" s="49"/>
      <x:c r="Z109" s="49"/>
      <x:c r="AA109" s="49"/>
      <x:c r="AB109" s="49"/>
      <x:c r="AC109" s="49"/>
      <x:c r="AD109" s="49"/>
      <x:c r="AE109" s="49"/>
      <x:c r="AF109" s="49"/>
      <x:c r="AG109" s="49"/>
      <x:c r="AH109" s="49"/>
      <x:c r="AI109" s="49"/>
      <x:c r="AJ109" s="49"/>
      <x:c r="AK109" s="49"/>
      <x:c r="AL109" s="49"/>
      <x:c r="AM109" s="49"/>
      <x:c r="AN109" s="49"/>
      <x:c r="AO109" s="49"/>
      <x:c r="AP109" s="49"/>
      <x:c r="AQ109" s="49"/>
      <x:c r="AR109" s="49"/>
      <x:c r="AS109" s="49"/>
      <x:c r="AT109" s="49"/>
      <x:c r="AU109" s="49"/>
      <x:c r="AV109" s="49"/>
      <x:c r="AW109" s="49"/>
      <x:c r="AX109" s="49"/>
      <x:c r="AY109" s="49"/>
      <x:c r="AZ109" s="49"/>
    </x:row>
    <x:row r="110">
      <x:c r="A110" s="49"/>
      <x:c r="B110" s="49"/>
      <x:c r="C110" s="49"/>
      <x:c r="D110" s="49"/>
      <x:c r="E110" s="49"/>
      <x:c r="F110" s="49"/>
      <x:c r="G110" s="49"/>
      <x:c r="H110" s="49"/>
      <x:c r="I110" s="49"/>
      <x:c r="J110" s="49"/>
      <x:c r="K110" s="49"/>
      <x:c r="L110" s="49"/>
      <x:c r="M110" s="49"/>
      <x:c r="N110" s="49"/>
      <x:c r="O110" s="49"/>
      <x:c r="P110" s="49"/>
      <x:c r="Q110" s="49"/>
      <x:c r="R110" s="49"/>
      <x:c r="S110" s="49"/>
      <x:c r="T110" s="49"/>
      <x:c r="U110" s="49"/>
      <x:c r="V110" s="49"/>
      <x:c r="W110" s="49"/>
      <x:c r="X110" s="49"/>
      <x:c r="Y110" s="49"/>
      <x:c r="Z110" s="49"/>
      <x:c r="AA110" s="49"/>
      <x:c r="AB110" s="49"/>
      <x:c r="AC110" s="49"/>
      <x:c r="AD110" s="49"/>
      <x:c r="AE110" s="49"/>
      <x:c r="AF110" s="49"/>
      <x:c r="AG110" s="49"/>
      <x:c r="AH110" s="49"/>
      <x:c r="AI110" s="49"/>
      <x:c r="AJ110" s="49"/>
      <x:c r="AK110" s="49"/>
      <x:c r="AL110" s="49"/>
      <x:c r="AM110" s="49"/>
      <x:c r="AN110" s="49"/>
      <x:c r="AO110" s="49"/>
      <x:c r="AP110" s="49"/>
      <x:c r="AQ110" s="49"/>
      <x:c r="AR110" s="49"/>
      <x:c r="AS110" s="49"/>
      <x:c r="AT110" s="49"/>
      <x:c r="AU110" s="49"/>
      <x:c r="AV110" s="49"/>
      <x:c r="AW110" s="49"/>
      <x:c r="AX110" s="49"/>
      <x:c r="AY110" s="49"/>
      <x:c r="AZ110" s="49"/>
    </x:row>
    <x:row r="111">
      <x:c r="A111" s="49"/>
      <x:c r="B111" s="49"/>
      <x:c r="C111" s="49"/>
      <x:c r="D111" s="49"/>
      <x:c r="E111" s="49"/>
      <x:c r="F111" s="49"/>
      <x:c r="G111" s="49"/>
      <x:c r="H111" s="49"/>
      <x:c r="I111" s="49"/>
      <x:c r="J111" s="49"/>
      <x:c r="K111" s="49"/>
      <x:c r="L111" s="49"/>
      <x:c r="M111" s="49"/>
      <x:c r="N111" s="49"/>
      <x:c r="O111" s="49"/>
      <x:c r="P111" s="49"/>
      <x:c r="Q111" s="49"/>
      <x:c r="R111" s="49"/>
      <x:c r="S111" s="49"/>
      <x:c r="T111" s="49"/>
      <x:c r="U111" s="49"/>
      <x:c r="V111" s="49"/>
      <x:c r="W111" s="49"/>
      <x:c r="X111" s="49"/>
      <x:c r="Y111" s="49"/>
      <x:c r="Z111" s="49"/>
      <x:c r="AA111" s="49"/>
      <x:c r="AB111" s="49"/>
      <x:c r="AC111" s="49"/>
      <x:c r="AD111" s="49"/>
      <x:c r="AE111" s="49"/>
      <x:c r="AF111" s="49"/>
      <x:c r="AG111" s="49"/>
      <x:c r="AH111" s="49"/>
      <x:c r="AI111" s="49"/>
      <x:c r="AJ111" s="49"/>
      <x:c r="AK111" s="49"/>
      <x:c r="AL111" s="49"/>
      <x:c r="AM111" s="49"/>
      <x:c r="AN111" s="49"/>
      <x:c r="AO111" s="49"/>
      <x:c r="AP111" s="49"/>
      <x:c r="AQ111" s="49"/>
      <x:c r="AR111" s="49"/>
      <x:c r="AS111" s="49"/>
      <x:c r="AT111" s="49"/>
      <x:c r="AU111" s="49"/>
      <x:c r="AV111" s="49"/>
      <x:c r="AW111" s="49"/>
      <x:c r="AX111" s="49"/>
      <x:c r="AY111" s="49"/>
      <x:c r="AZ111" s="49"/>
    </x:row>
    <x:row r="112">
      <x:c r="A112" s="49"/>
      <x:c r="B112" s="49"/>
      <x:c r="C112" s="49"/>
      <x:c r="D112" s="49"/>
      <x:c r="E112" s="49"/>
      <x:c r="F112" s="49"/>
      <x:c r="G112" s="49"/>
      <x:c r="H112" s="49"/>
      <x:c r="I112" s="49"/>
      <x:c r="J112" s="49"/>
      <x:c r="K112" s="49"/>
      <x:c r="L112" s="49"/>
      <x:c r="M112" s="49"/>
      <x:c r="N112" s="49"/>
      <x:c r="O112" s="49"/>
      <x:c r="P112" s="49"/>
      <x:c r="Q112" s="49"/>
      <x:c r="R112" s="49"/>
      <x:c r="S112" s="49"/>
      <x:c r="T112" s="49"/>
      <x:c r="U112" s="49"/>
      <x:c r="V112" s="49"/>
      <x:c r="W112" s="49"/>
      <x:c r="X112" s="49"/>
      <x:c r="Y112" s="49"/>
      <x:c r="Z112" s="49"/>
      <x:c r="AA112" s="49"/>
      <x:c r="AB112" s="49"/>
      <x:c r="AC112" s="49"/>
      <x:c r="AD112" s="49"/>
      <x:c r="AE112" s="49"/>
      <x:c r="AF112" s="49"/>
      <x:c r="AG112" s="49"/>
      <x:c r="AH112" s="49"/>
      <x:c r="AI112" s="49"/>
      <x:c r="AJ112" s="49"/>
      <x:c r="AK112" s="49"/>
      <x:c r="AL112" s="49"/>
      <x:c r="AM112" s="49"/>
      <x:c r="AN112" s="49"/>
      <x:c r="AO112" s="49"/>
      <x:c r="AP112" s="49"/>
      <x:c r="AQ112" s="49"/>
      <x:c r="AR112" s="49"/>
      <x:c r="AS112" s="49"/>
      <x:c r="AT112" s="49"/>
      <x:c r="AU112" s="49"/>
      <x:c r="AV112" s="49"/>
      <x:c r="AW112" s="49"/>
      <x:c r="AX112" s="49"/>
      <x:c r="AY112" s="49"/>
      <x:c r="AZ112" s="49"/>
    </x:row>
    <x:row r="113">
      <x:c r="A113" s="49"/>
      <x:c r="B113" s="49"/>
      <x:c r="C113" s="49"/>
      <x:c r="D113" s="49"/>
      <x:c r="E113" s="49"/>
      <x:c r="F113" s="49"/>
      <x:c r="G113" s="49"/>
      <x:c r="H113" s="49"/>
      <x:c r="I113" s="49"/>
      <x:c r="J113" s="49"/>
      <x:c r="K113" s="49"/>
      <x:c r="L113" s="49"/>
      <x:c r="M113" s="49"/>
      <x:c r="N113" s="49"/>
      <x:c r="O113" s="49"/>
      <x:c r="P113" s="49"/>
      <x:c r="Q113" s="49"/>
      <x:c r="R113" s="49"/>
      <x:c r="S113" s="49"/>
      <x:c r="T113" s="49"/>
      <x:c r="U113" s="49"/>
      <x:c r="V113" s="49"/>
      <x:c r="W113" s="49"/>
      <x:c r="X113" s="49"/>
      <x:c r="Y113" s="49"/>
      <x:c r="Z113" s="49"/>
      <x:c r="AA113" s="49"/>
      <x:c r="AB113" s="49"/>
      <x:c r="AC113" s="49"/>
      <x:c r="AD113" s="49"/>
      <x:c r="AE113" s="49"/>
      <x:c r="AF113" s="49"/>
      <x:c r="AG113" s="49"/>
      <x:c r="AH113" s="49"/>
      <x:c r="AI113" s="49"/>
      <x:c r="AJ113" s="49"/>
      <x:c r="AK113" s="49"/>
      <x:c r="AL113" s="49"/>
      <x:c r="AM113" s="49"/>
      <x:c r="AN113" s="49"/>
      <x:c r="AO113" s="49"/>
      <x:c r="AP113" s="49"/>
      <x:c r="AQ113" s="49"/>
      <x:c r="AR113" s="49"/>
      <x:c r="AS113" s="49"/>
      <x:c r="AT113" s="49"/>
      <x:c r="AU113" s="49"/>
      <x:c r="AV113" s="49"/>
      <x:c r="AW113" s="49"/>
      <x:c r="AX113" s="49"/>
      <x:c r="AY113" s="49"/>
      <x:c r="AZ113" s="49"/>
    </x:row>
    <x:row r="114">
      <x:c r="A114" s="49"/>
      <x:c r="B114" s="49"/>
      <x:c r="C114" s="49"/>
      <x:c r="D114" s="49"/>
      <x:c r="E114" s="49"/>
      <x:c r="F114" s="49"/>
      <x:c r="G114" s="49"/>
      <x:c r="H114" s="49"/>
      <x:c r="I114" s="49"/>
      <x:c r="J114" s="49"/>
      <x:c r="K114" s="49"/>
      <x:c r="L114" s="49"/>
      <x:c r="M114" s="49"/>
      <x:c r="N114" s="49"/>
      <x:c r="O114" s="49"/>
      <x:c r="P114" s="49"/>
      <x:c r="Q114" s="49"/>
      <x:c r="R114" s="49"/>
      <x:c r="S114" s="49"/>
      <x:c r="T114" s="49"/>
      <x:c r="U114" s="49"/>
      <x:c r="V114" s="49"/>
      <x:c r="W114" s="49"/>
      <x:c r="X114" s="49"/>
      <x:c r="Y114" s="49"/>
      <x:c r="Z114" s="49"/>
      <x:c r="AA114" s="49"/>
      <x:c r="AB114" s="49"/>
      <x:c r="AC114" s="49"/>
      <x:c r="AD114" s="49"/>
      <x:c r="AE114" s="49"/>
      <x:c r="AF114" s="49"/>
      <x:c r="AG114" s="49"/>
      <x:c r="AH114" s="49"/>
      <x:c r="AI114" s="49"/>
      <x:c r="AJ114" s="49"/>
      <x:c r="AK114" s="49"/>
      <x:c r="AL114" s="49"/>
      <x:c r="AM114" s="49"/>
      <x:c r="AN114" s="49"/>
      <x:c r="AO114" s="49"/>
      <x:c r="AP114" s="49"/>
      <x:c r="AQ114" s="49"/>
      <x:c r="AR114" s="49"/>
      <x:c r="AS114" s="49"/>
      <x:c r="AT114" s="49"/>
      <x:c r="AU114" s="49"/>
      <x:c r="AV114" s="49"/>
      <x:c r="AW114" s="49"/>
      <x:c r="AX114" s="49"/>
      <x:c r="AY114" s="49"/>
      <x:c r="AZ114" s="49"/>
    </x:row>
    <x:row r="115">
      <x:c r="A115" s="49"/>
      <x:c r="B115" s="49"/>
      <x:c r="C115" s="49"/>
      <x:c r="D115" s="49"/>
      <x:c r="E115" s="49"/>
      <x:c r="F115" s="49"/>
      <x:c r="G115" s="49"/>
      <x:c r="H115" s="49"/>
      <x:c r="I115" s="49"/>
      <x:c r="J115" s="49"/>
      <x:c r="K115" s="49"/>
      <x:c r="L115" s="49"/>
      <x:c r="M115" s="49"/>
      <x:c r="N115" s="49"/>
      <x:c r="O115" s="49"/>
      <x:c r="P115" s="49"/>
      <x:c r="Q115" s="49"/>
      <x:c r="R115" s="49"/>
      <x:c r="S115" s="49"/>
      <x:c r="T115" s="49"/>
      <x:c r="U115" s="49"/>
      <x:c r="V115" s="49"/>
      <x:c r="W115" s="49"/>
      <x:c r="X115" s="49"/>
      <x:c r="Y115" s="49"/>
      <x:c r="Z115" s="49"/>
      <x:c r="AA115" s="49"/>
      <x:c r="AB115" s="49"/>
      <x:c r="AC115" s="49"/>
      <x:c r="AD115" s="49"/>
      <x:c r="AE115" s="49"/>
      <x:c r="AF115" s="49"/>
      <x:c r="AG115" s="49"/>
      <x:c r="AH115" s="49"/>
      <x:c r="AI115" s="49"/>
      <x:c r="AJ115" s="49"/>
      <x:c r="AK115" s="49"/>
      <x:c r="AL115" s="49"/>
      <x:c r="AM115" s="49"/>
      <x:c r="AN115" s="49"/>
      <x:c r="AO115" s="49"/>
      <x:c r="AP115" s="49"/>
      <x:c r="AQ115" s="49"/>
      <x:c r="AR115" s="49"/>
      <x:c r="AS115" s="49"/>
      <x:c r="AT115" s="49"/>
      <x:c r="AU115" s="49"/>
      <x:c r="AV115" s="49"/>
      <x:c r="AW115" s="49"/>
      <x:c r="AX115" s="49"/>
      <x:c r="AY115" s="49"/>
      <x:c r="AZ115" s="49"/>
    </x:row>
    <x:row r="116">
      <x:c r="A116" s="49"/>
      <x:c r="B116" s="49"/>
      <x:c r="C116" s="49"/>
      <x:c r="D116" s="49"/>
      <x:c r="E116" s="49"/>
      <x:c r="F116" s="49"/>
      <x:c r="G116" s="49"/>
      <x:c r="H116" s="49"/>
      <x:c r="I116" s="49"/>
      <x:c r="J116" s="49"/>
      <x:c r="K116" s="49"/>
      <x:c r="L116" s="49"/>
      <x:c r="M116" s="49"/>
      <x:c r="N116" s="49"/>
      <x:c r="O116" s="49"/>
      <x:c r="P116" s="49"/>
      <x:c r="Q116" s="49"/>
      <x:c r="R116" s="49"/>
      <x:c r="S116" s="49"/>
      <x:c r="T116" s="49"/>
      <x:c r="U116" s="49"/>
      <x:c r="V116" s="49"/>
      <x:c r="W116" s="49"/>
      <x:c r="X116" s="49"/>
      <x:c r="Y116" s="49"/>
      <x:c r="Z116" s="49"/>
      <x:c r="AA116" s="49"/>
      <x:c r="AB116" s="49"/>
      <x:c r="AC116" s="49"/>
      <x:c r="AD116" s="49"/>
      <x:c r="AE116" s="49"/>
      <x:c r="AF116" s="49"/>
      <x:c r="AG116" s="49"/>
      <x:c r="AH116" s="49"/>
      <x:c r="AI116" s="49"/>
      <x:c r="AJ116" s="49"/>
      <x:c r="AK116" s="49"/>
      <x:c r="AL116" s="49"/>
      <x:c r="AM116" s="49"/>
      <x:c r="AN116" s="49"/>
      <x:c r="AO116" s="49"/>
      <x:c r="AP116" s="49"/>
      <x:c r="AQ116" s="49"/>
      <x:c r="AR116" s="49"/>
      <x:c r="AS116" s="49"/>
      <x:c r="AT116" s="49"/>
      <x:c r="AU116" s="49"/>
      <x:c r="AV116" s="49"/>
      <x:c r="AW116" s="49"/>
      <x:c r="AX116" s="49"/>
      <x:c r="AY116" s="49"/>
      <x:c r="AZ116" s="49"/>
    </x:row>
    <x:row r="117">
      <x:c r="A117" s="49"/>
      <x:c r="B117" s="49"/>
      <x:c r="C117" s="49"/>
      <x:c r="D117" s="49"/>
      <x:c r="E117" s="49"/>
      <x:c r="F117" s="49"/>
      <x:c r="G117" s="49"/>
      <x:c r="H117" s="49"/>
      <x:c r="I117" s="49"/>
      <x:c r="J117" s="49"/>
      <x:c r="K117" s="49"/>
      <x:c r="L117" s="49"/>
      <x:c r="M117" s="49"/>
      <x:c r="N117" s="49"/>
      <x:c r="O117" s="49"/>
      <x:c r="P117" s="49"/>
      <x:c r="Q117" s="49"/>
      <x:c r="R117" s="49"/>
      <x:c r="S117" s="49"/>
      <x:c r="T117" s="49"/>
      <x:c r="U117" s="49"/>
      <x:c r="V117" s="49"/>
      <x:c r="W117" s="49"/>
      <x:c r="X117" s="49"/>
      <x:c r="Y117" s="49"/>
      <x:c r="Z117" s="49"/>
      <x:c r="AA117" s="49"/>
      <x:c r="AB117" s="49"/>
      <x:c r="AC117" s="49"/>
      <x:c r="AD117" s="49"/>
      <x:c r="AE117" s="49"/>
      <x:c r="AF117" s="49"/>
      <x:c r="AG117" s="49"/>
      <x:c r="AH117" s="49"/>
      <x:c r="AI117" s="49"/>
      <x:c r="AJ117" s="49"/>
      <x:c r="AK117" s="49"/>
      <x:c r="AL117" s="49"/>
      <x:c r="AM117" s="49"/>
      <x:c r="AN117" s="49"/>
      <x:c r="AO117" s="49"/>
      <x:c r="AP117" s="49"/>
      <x:c r="AQ117" s="49"/>
      <x:c r="AR117" s="49"/>
      <x:c r="AS117" s="49"/>
      <x:c r="AT117" s="49"/>
      <x:c r="AU117" s="49"/>
      <x:c r="AV117" s="49"/>
      <x:c r="AW117" s="49"/>
      <x:c r="AX117" s="49"/>
      <x:c r="AY117" s="49"/>
      <x:c r="AZ117" s="49"/>
    </x:row>
    <x:row r="118">
      <x:c r="A118" s="49"/>
      <x:c r="B118" s="49"/>
      <x:c r="C118" s="49"/>
      <x:c r="D118" s="49"/>
      <x:c r="E118" s="49"/>
      <x:c r="F118" s="49"/>
      <x:c r="G118" s="49"/>
      <x:c r="H118" s="49"/>
      <x:c r="I118" s="49"/>
      <x:c r="J118" s="49"/>
      <x:c r="K118" s="49"/>
      <x:c r="L118" s="49"/>
      <x:c r="M118" s="49"/>
      <x:c r="N118" s="49"/>
      <x:c r="O118" s="49"/>
      <x:c r="P118" s="49"/>
      <x:c r="Q118" s="49"/>
      <x:c r="R118" s="49"/>
      <x:c r="S118" s="49"/>
      <x:c r="T118" s="49"/>
      <x:c r="U118" s="49"/>
      <x:c r="V118" s="49"/>
      <x:c r="W118" s="49"/>
      <x:c r="X118" s="49"/>
      <x:c r="Y118" s="49"/>
      <x:c r="Z118" s="49"/>
      <x:c r="AA118" s="49"/>
      <x:c r="AB118" s="49"/>
      <x:c r="AC118" s="49"/>
      <x:c r="AD118" s="49"/>
      <x:c r="AE118" s="49"/>
      <x:c r="AF118" s="49"/>
      <x:c r="AG118" s="49"/>
      <x:c r="AH118" s="49"/>
      <x:c r="AI118" s="49"/>
      <x:c r="AJ118" s="49"/>
      <x:c r="AK118" s="49"/>
      <x:c r="AL118" s="49"/>
      <x:c r="AM118" s="49"/>
      <x:c r="AN118" s="49"/>
      <x:c r="AO118" s="49"/>
      <x:c r="AP118" s="49"/>
      <x:c r="AQ118" s="49"/>
      <x:c r="AR118" s="49"/>
      <x:c r="AS118" s="49"/>
      <x:c r="AT118" s="49"/>
      <x:c r="AU118" s="49"/>
      <x:c r="AV118" s="49"/>
      <x:c r="AW118" s="49"/>
      <x:c r="AX118" s="49"/>
      <x:c r="AY118" s="49"/>
      <x:c r="AZ118" s="49"/>
    </x:row>
    <x:row r="119">
      <x:c r="A119" s="49"/>
      <x:c r="B119" s="49"/>
      <x:c r="C119" s="49"/>
      <x:c r="D119" s="49"/>
      <x:c r="E119" s="49"/>
      <x:c r="F119" s="49"/>
      <x:c r="G119" s="49"/>
      <x:c r="H119" s="49"/>
      <x:c r="I119" s="49"/>
      <x:c r="J119" s="49"/>
      <x:c r="K119" s="49"/>
      <x:c r="L119" s="49"/>
      <x:c r="M119" s="49"/>
      <x:c r="N119" s="49"/>
      <x:c r="O119" s="49"/>
      <x:c r="P119" s="49"/>
      <x:c r="Q119" s="49"/>
      <x:c r="R119" s="49"/>
      <x:c r="S119" s="49"/>
      <x:c r="T119" s="49"/>
      <x:c r="U119" s="49"/>
      <x:c r="V119" s="49"/>
      <x:c r="W119" s="49"/>
      <x:c r="X119" s="49"/>
      <x:c r="Y119" s="49"/>
      <x:c r="Z119" s="49"/>
      <x:c r="AA119" s="49"/>
      <x:c r="AB119" s="49"/>
      <x:c r="AC119" s="49"/>
      <x:c r="AD119" s="49"/>
      <x:c r="AE119" s="49"/>
      <x:c r="AF119" s="49"/>
      <x:c r="AG119" s="49"/>
      <x:c r="AH119" s="49"/>
      <x:c r="AI119" s="49"/>
      <x:c r="AJ119" s="49"/>
      <x:c r="AK119" s="49"/>
      <x:c r="AL119" s="49"/>
      <x:c r="AM119" s="49"/>
      <x:c r="AN119" s="49"/>
      <x:c r="AO119" s="49"/>
      <x:c r="AP119" s="49"/>
      <x:c r="AQ119" s="49"/>
      <x:c r="AR119" s="49"/>
      <x:c r="AS119" s="49"/>
      <x:c r="AT119" s="49"/>
      <x:c r="AU119" s="49"/>
      <x:c r="AV119" s="49"/>
      <x:c r="AW119" s="49"/>
      <x:c r="AX119" s="49"/>
      <x:c r="AY119" s="49"/>
      <x:c r="AZ119" s="49"/>
    </x:row>
    <x:row r="120">
      <x:c r="A120" s="49"/>
      <x:c r="B120" s="49"/>
      <x:c r="C120" s="49"/>
      <x:c r="D120" s="49"/>
      <x:c r="E120" s="49"/>
      <x:c r="F120" s="49"/>
      <x:c r="G120" s="49"/>
      <x:c r="H120" s="49"/>
      <x:c r="I120" s="49"/>
      <x:c r="J120" s="49"/>
      <x:c r="K120" s="49"/>
      <x:c r="L120" s="49"/>
      <x:c r="M120" s="49"/>
      <x:c r="N120" s="49"/>
      <x:c r="O120" s="49"/>
      <x:c r="P120" s="49"/>
      <x:c r="Q120" s="49"/>
      <x:c r="R120" s="49"/>
      <x:c r="S120" s="49"/>
      <x:c r="T120" s="49"/>
      <x:c r="U120" s="49"/>
      <x:c r="V120" s="49"/>
      <x:c r="W120" s="49"/>
      <x:c r="X120" s="49"/>
      <x:c r="Y120" s="49"/>
      <x:c r="Z120" s="49"/>
      <x:c r="AA120" s="49"/>
      <x:c r="AB120" s="49"/>
      <x:c r="AC120" s="49"/>
      <x:c r="AD120" s="49"/>
      <x:c r="AE120" s="49"/>
      <x:c r="AF120" s="49"/>
      <x:c r="AG120" s="49"/>
      <x:c r="AH120" s="49"/>
      <x:c r="AI120" s="49"/>
      <x:c r="AJ120" s="49"/>
      <x:c r="AK120" s="49"/>
      <x:c r="AL120" s="49"/>
      <x:c r="AM120" s="49"/>
      <x:c r="AN120" s="49"/>
      <x:c r="AO120" s="49"/>
      <x:c r="AP120" s="49"/>
      <x:c r="AQ120" s="49"/>
      <x:c r="AR120" s="49"/>
      <x:c r="AS120" s="49"/>
      <x:c r="AT120" s="49"/>
      <x:c r="AU120" s="49"/>
      <x:c r="AV120" s="49"/>
      <x:c r="AW120" s="49"/>
      <x:c r="AX120" s="49"/>
      <x:c r="AY120" s="49"/>
      <x:c r="AZ120" s="49"/>
    </x:row>
    <x:row r="121">
      <x:c r="A121" s="49"/>
      <x:c r="B121" s="49"/>
      <x:c r="C121" s="49"/>
      <x:c r="D121" s="49"/>
      <x:c r="E121" s="49"/>
      <x:c r="F121" s="49"/>
      <x:c r="G121" s="49"/>
      <x:c r="H121" s="49"/>
      <x:c r="I121" s="49"/>
      <x:c r="J121" s="49"/>
      <x:c r="K121" s="49"/>
      <x:c r="L121" s="49"/>
      <x:c r="M121" s="49"/>
      <x:c r="N121" s="49"/>
      <x:c r="O121" s="49"/>
      <x:c r="P121" s="49"/>
      <x:c r="Q121" s="49"/>
      <x:c r="R121" s="49"/>
      <x:c r="S121" s="49"/>
      <x:c r="T121" s="49"/>
      <x:c r="U121" s="49"/>
      <x:c r="V121" s="49"/>
      <x:c r="W121" s="49"/>
      <x:c r="X121" s="49"/>
      <x:c r="Y121" s="49"/>
      <x:c r="Z121" s="49"/>
      <x:c r="AA121" s="49"/>
      <x:c r="AB121" s="49"/>
      <x:c r="AC121" s="49"/>
      <x:c r="AD121" s="49"/>
      <x:c r="AE121" s="49"/>
      <x:c r="AF121" s="49"/>
      <x:c r="AG121" s="49"/>
      <x:c r="AH121" s="49"/>
      <x:c r="AI121" s="49"/>
      <x:c r="AJ121" s="49"/>
      <x:c r="AK121" s="49"/>
      <x:c r="AL121" s="49"/>
      <x:c r="AM121" s="49"/>
      <x:c r="AN121" s="49"/>
      <x:c r="AO121" s="49"/>
      <x:c r="AP121" s="49"/>
      <x:c r="AQ121" s="49"/>
      <x:c r="AR121" s="49"/>
      <x:c r="AS121" s="49"/>
      <x:c r="AT121" s="49"/>
      <x:c r="AU121" s="49"/>
      <x:c r="AV121" s="49"/>
      <x:c r="AW121" s="49"/>
      <x:c r="AX121" s="49"/>
      <x:c r="AY121" s="49"/>
      <x:c r="AZ121" s="49"/>
    </x:row>
    <x:row r="122">
      <x:c r="A122" s="49"/>
      <x:c r="B122" s="49"/>
      <x:c r="C122" s="49"/>
      <x:c r="D122" s="49"/>
      <x:c r="E122" s="49"/>
      <x:c r="F122" s="49"/>
      <x:c r="G122" s="49"/>
      <x:c r="H122" s="49"/>
      <x:c r="I122" s="49"/>
      <x:c r="J122" s="49"/>
      <x:c r="K122" s="49"/>
      <x:c r="L122" s="49"/>
      <x:c r="M122" s="49"/>
      <x:c r="N122" s="49"/>
      <x:c r="O122" s="49"/>
      <x:c r="P122" s="49"/>
      <x:c r="Q122" s="49"/>
      <x:c r="R122" s="49"/>
      <x:c r="S122" s="49"/>
      <x:c r="T122" s="49"/>
      <x:c r="U122" s="49"/>
      <x:c r="V122" s="49"/>
      <x:c r="W122" s="49"/>
      <x:c r="X122" s="49"/>
      <x:c r="Y122" s="49"/>
      <x:c r="Z122" s="49"/>
      <x:c r="AA122" s="49"/>
      <x:c r="AB122" s="49"/>
      <x:c r="AC122" s="49"/>
      <x:c r="AD122" s="49"/>
      <x:c r="AE122" s="49"/>
      <x:c r="AF122" s="49"/>
      <x:c r="AG122" s="49"/>
      <x:c r="AH122" s="49"/>
      <x:c r="AI122" s="49"/>
      <x:c r="AJ122" s="49"/>
      <x:c r="AK122" s="49"/>
      <x:c r="AL122" s="49"/>
      <x:c r="AM122" s="49"/>
      <x:c r="AN122" s="49"/>
      <x:c r="AO122" s="49"/>
      <x:c r="AP122" s="49"/>
      <x:c r="AQ122" s="49"/>
      <x:c r="AR122" s="49"/>
      <x:c r="AS122" s="49"/>
      <x:c r="AT122" s="49"/>
      <x:c r="AU122" s="49"/>
      <x:c r="AV122" s="49"/>
      <x:c r="AW122" s="49"/>
      <x:c r="AX122" s="49"/>
      <x:c r="AY122" s="49"/>
      <x:c r="AZ122" s="49"/>
    </x:row>
    <x:row r="123">
      <x:c r="A123" s="49"/>
      <x:c r="B123" s="49"/>
      <x:c r="C123" s="49"/>
      <x:c r="D123" s="49"/>
      <x:c r="E123" s="49"/>
      <x:c r="F123" s="49"/>
      <x:c r="G123" s="49"/>
      <x:c r="H123" s="49"/>
      <x:c r="I123" s="49"/>
      <x:c r="J123" s="49"/>
      <x:c r="K123" s="49"/>
      <x:c r="L123" s="49"/>
      <x:c r="M123" s="49"/>
      <x:c r="N123" s="49"/>
      <x:c r="O123" s="49"/>
      <x:c r="P123" s="49"/>
      <x:c r="Q123" s="49"/>
      <x:c r="R123" s="49"/>
      <x:c r="S123" s="49"/>
      <x:c r="T123" s="49"/>
      <x:c r="U123" s="49"/>
      <x:c r="V123" s="49"/>
      <x:c r="W123" s="49"/>
      <x:c r="X123" s="49"/>
      <x:c r="Y123" s="49"/>
      <x:c r="Z123" s="49"/>
      <x:c r="AA123" s="49"/>
      <x:c r="AB123" s="49"/>
      <x:c r="AC123" s="49"/>
      <x:c r="AD123" s="49"/>
      <x:c r="AE123" s="49"/>
      <x:c r="AF123" s="49"/>
      <x:c r="AG123" s="49"/>
      <x:c r="AH123" s="49"/>
      <x:c r="AI123" s="49"/>
      <x:c r="AJ123" s="49"/>
      <x:c r="AK123" s="49"/>
      <x:c r="AL123" s="49"/>
      <x:c r="AM123" s="49"/>
      <x:c r="AN123" s="49"/>
      <x:c r="AO123" s="49"/>
      <x:c r="AP123" s="49"/>
      <x:c r="AQ123" s="49"/>
      <x:c r="AR123" s="49"/>
      <x:c r="AS123" s="49"/>
      <x:c r="AT123" s="49"/>
      <x:c r="AU123" s="49"/>
      <x:c r="AV123" s="49"/>
      <x:c r="AW123" s="49"/>
      <x:c r="AX123" s="49"/>
      <x:c r="AY123" s="49"/>
      <x:c r="AZ123" s="49"/>
    </x:row>
    <x:row r="124">
      <x:c r="A124" s="49"/>
      <x:c r="B124" s="49"/>
      <x:c r="C124" s="49"/>
      <x:c r="D124" s="49"/>
      <x:c r="E124" s="49"/>
      <x:c r="F124" s="49"/>
      <x:c r="G124" s="49"/>
      <x:c r="H124" s="49"/>
      <x:c r="I124" s="49"/>
      <x:c r="J124" s="49"/>
      <x:c r="K124" s="49"/>
      <x:c r="L124" s="49"/>
      <x:c r="M124" s="49"/>
      <x:c r="N124" s="49"/>
      <x:c r="O124" s="49"/>
      <x:c r="P124" s="49"/>
      <x:c r="Q124" s="49"/>
      <x:c r="R124" s="49"/>
      <x:c r="S124" s="49"/>
      <x:c r="T124" s="49"/>
      <x:c r="U124" s="49"/>
      <x:c r="V124" s="49"/>
      <x:c r="W124" s="49"/>
      <x:c r="X124" s="49"/>
      <x:c r="Y124" s="49"/>
      <x:c r="Z124" s="49"/>
      <x:c r="AA124" s="49"/>
      <x:c r="AB124" s="49"/>
      <x:c r="AC124" s="49"/>
      <x:c r="AD124" s="49"/>
      <x:c r="AE124" s="49"/>
      <x:c r="AF124" s="49"/>
      <x:c r="AG124" s="49"/>
      <x:c r="AH124" s="49"/>
      <x:c r="AI124" s="49"/>
      <x:c r="AJ124" s="49"/>
      <x:c r="AK124" s="49"/>
      <x:c r="AL124" s="49"/>
      <x:c r="AM124" s="49"/>
      <x:c r="AN124" s="49"/>
      <x:c r="AO124" s="49"/>
      <x:c r="AP124" s="49"/>
      <x:c r="AQ124" s="49"/>
      <x:c r="AR124" s="49"/>
      <x:c r="AS124" s="49"/>
      <x:c r="AT124" s="49"/>
      <x:c r="AU124" s="49"/>
      <x:c r="AV124" s="49"/>
      <x:c r="AW124" s="49"/>
      <x:c r="AX124" s="49"/>
      <x:c r="AY124" s="49"/>
      <x:c r="AZ124" s="49"/>
    </x:row>
    <x:row r="125">
      <x:c r="A125" s="49"/>
      <x:c r="B125" s="49"/>
      <x:c r="C125" s="49"/>
      <x:c r="D125" s="49"/>
      <x:c r="E125" s="49"/>
      <x:c r="F125" s="49"/>
      <x:c r="G125" s="49"/>
      <x:c r="H125" s="49"/>
      <x:c r="I125" s="49"/>
      <x:c r="J125" s="49"/>
      <x:c r="K125" s="49"/>
      <x:c r="L125" s="49"/>
      <x:c r="M125" s="49"/>
      <x:c r="N125" s="49"/>
      <x:c r="O125" s="49"/>
      <x:c r="P125" s="49"/>
      <x:c r="Q125" s="49"/>
      <x:c r="R125" s="49"/>
      <x:c r="S125" s="49"/>
      <x:c r="T125" s="49"/>
      <x:c r="U125" s="49"/>
      <x:c r="V125" s="49"/>
      <x:c r="W125" s="49"/>
      <x:c r="X125" s="49"/>
      <x:c r="Y125" s="49"/>
      <x:c r="Z125" s="49"/>
      <x:c r="AA125" s="49"/>
      <x:c r="AB125" s="49"/>
      <x:c r="AC125" s="49"/>
      <x:c r="AD125" s="49"/>
      <x:c r="AE125" s="49"/>
      <x:c r="AF125" s="49"/>
      <x:c r="AG125" s="49"/>
      <x:c r="AH125" s="49"/>
      <x:c r="AI125" s="49"/>
      <x:c r="AJ125" s="49"/>
      <x:c r="AK125" s="49"/>
      <x:c r="AL125" s="49"/>
      <x:c r="AM125" s="49"/>
      <x:c r="AN125" s="49"/>
      <x:c r="AO125" s="49"/>
      <x:c r="AP125" s="49"/>
      <x:c r="AQ125" s="49"/>
      <x:c r="AR125" s="49"/>
      <x:c r="AS125" s="49"/>
      <x:c r="AT125" s="49"/>
      <x:c r="AU125" s="49"/>
      <x:c r="AV125" s="49"/>
      <x:c r="AW125" s="49"/>
      <x:c r="AX125" s="49"/>
      <x:c r="AY125" s="49"/>
      <x:c r="AZ125" s="49"/>
    </x:row>
    <x:row r="126">
      <x:c r="A126" s="49"/>
      <x:c r="B126" s="49"/>
      <x:c r="C126" s="49"/>
      <x:c r="D126" s="49"/>
      <x:c r="E126" s="49"/>
      <x:c r="F126" s="49"/>
      <x:c r="G126" s="49"/>
      <x:c r="H126" s="49"/>
      <x:c r="I126" s="49"/>
      <x:c r="J126" s="49"/>
      <x:c r="K126" s="49"/>
      <x:c r="L126" s="49"/>
      <x:c r="M126" s="49"/>
      <x:c r="N126" s="49"/>
      <x:c r="O126" s="49"/>
      <x:c r="P126" s="49"/>
      <x:c r="Q126" s="49"/>
      <x:c r="R126" s="49"/>
      <x:c r="S126" s="49"/>
      <x:c r="T126" s="49"/>
      <x:c r="U126" s="49"/>
      <x:c r="V126" s="49"/>
      <x:c r="W126" s="49"/>
      <x:c r="X126" s="49"/>
      <x:c r="Y126" s="49"/>
      <x:c r="Z126" s="49"/>
      <x:c r="AA126" s="49"/>
      <x:c r="AB126" s="49"/>
      <x:c r="AC126" s="49"/>
      <x:c r="AD126" s="49"/>
      <x:c r="AE126" s="49"/>
      <x:c r="AF126" s="49"/>
      <x:c r="AG126" s="49"/>
      <x:c r="AH126" s="49"/>
      <x:c r="AI126" s="49"/>
      <x:c r="AJ126" s="49"/>
      <x:c r="AK126" s="49"/>
      <x:c r="AL126" s="49"/>
      <x:c r="AM126" s="49"/>
      <x:c r="AN126" s="49"/>
      <x:c r="AO126" s="49"/>
      <x:c r="AP126" s="49"/>
      <x:c r="AQ126" s="49"/>
      <x:c r="AR126" s="49"/>
      <x:c r="AS126" s="49"/>
      <x:c r="AT126" s="49"/>
      <x:c r="AU126" s="49"/>
      <x:c r="AV126" s="49"/>
      <x:c r="AW126" s="49"/>
      <x:c r="AX126" s="49"/>
      <x:c r="AY126" s="49"/>
      <x:c r="AZ126" s="49"/>
    </x:row>
    <x:row r="127">
      <x:c r="A127" s="49"/>
      <x:c r="B127" s="49"/>
      <x:c r="C127" s="49"/>
      <x:c r="D127" s="49"/>
      <x:c r="E127" s="49"/>
      <x:c r="F127" s="49"/>
      <x:c r="G127" s="49"/>
      <x:c r="H127" s="49"/>
      <x:c r="I127" s="49"/>
      <x:c r="J127" s="49"/>
      <x:c r="K127" s="49"/>
      <x:c r="L127" s="49"/>
      <x:c r="M127" s="49"/>
      <x:c r="N127" s="49"/>
      <x:c r="O127" s="49"/>
      <x:c r="P127" s="49"/>
      <x:c r="Q127" s="49"/>
      <x:c r="R127" s="49"/>
      <x:c r="S127" s="49"/>
      <x:c r="T127" s="49"/>
      <x:c r="U127" s="49"/>
      <x:c r="V127" s="49"/>
      <x:c r="W127" s="49"/>
      <x:c r="X127" s="49"/>
      <x:c r="Y127" s="49"/>
      <x:c r="Z127" s="49"/>
      <x:c r="AA127" s="49"/>
      <x:c r="AB127" s="49"/>
      <x:c r="AC127" s="49"/>
      <x:c r="AD127" s="49"/>
      <x:c r="AE127" s="49"/>
      <x:c r="AF127" s="49"/>
      <x:c r="AG127" s="49"/>
      <x:c r="AH127" s="49"/>
      <x:c r="AI127" s="49"/>
      <x:c r="AJ127" s="49"/>
      <x:c r="AK127" s="49"/>
      <x:c r="AL127" s="49"/>
      <x:c r="AM127" s="49"/>
      <x:c r="AN127" s="49"/>
      <x:c r="AO127" s="49"/>
      <x:c r="AP127" s="49"/>
      <x:c r="AQ127" s="49"/>
      <x:c r="AR127" s="49"/>
      <x:c r="AS127" s="49"/>
      <x:c r="AT127" s="49"/>
      <x:c r="AU127" s="49"/>
      <x:c r="AV127" s="49"/>
      <x:c r="AW127" s="49"/>
      <x:c r="AX127" s="49"/>
      <x:c r="AY127" s="49"/>
      <x:c r="AZ127" s="49"/>
    </x:row>
    <x:row r="128">
      <x:c r="A128" s="49"/>
      <x:c r="B128" s="49"/>
      <x:c r="C128" s="49"/>
      <x:c r="D128" s="49"/>
      <x:c r="E128" s="49"/>
      <x:c r="F128" s="49"/>
      <x:c r="G128" s="49"/>
      <x:c r="H128" s="49"/>
      <x:c r="I128" s="49"/>
      <x:c r="J128" s="49"/>
      <x:c r="K128" s="49"/>
      <x:c r="L128" s="49"/>
      <x:c r="M128" s="49"/>
      <x:c r="N128" s="49"/>
      <x:c r="O128" s="49"/>
      <x:c r="P128" s="49"/>
      <x:c r="Q128" s="49"/>
      <x:c r="R128" s="49"/>
      <x:c r="S128" s="49"/>
      <x:c r="T128" s="49"/>
      <x:c r="U128" s="49"/>
      <x:c r="V128" s="49"/>
      <x:c r="W128" s="49"/>
      <x:c r="X128" s="49"/>
      <x:c r="Y128" s="49"/>
      <x:c r="Z128" s="49"/>
      <x:c r="AA128" s="49"/>
      <x:c r="AB128" s="49"/>
      <x:c r="AC128" s="49"/>
      <x:c r="AD128" s="49"/>
      <x:c r="AE128" s="49"/>
      <x:c r="AF128" s="49"/>
      <x:c r="AG128" s="49"/>
      <x:c r="AH128" s="49"/>
      <x:c r="AI128" s="49"/>
      <x:c r="AJ128" s="49"/>
      <x:c r="AK128" s="49"/>
      <x:c r="AL128" s="49"/>
      <x:c r="AM128" s="49"/>
      <x:c r="AN128" s="49"/>
      <x:c r="AO128" s="49"/>
      <x:c r="AP128" s="49"/>
      <x:c r="AQ128" s="49"/>
      <x:c r="AR128" s="49"/>
      <x:c r="AS128" s="49"/>
      <x:c r="AT128" s="49"/>
      <x:c r="AU128" s="49"/>
      <x:c r="AV128" s="49"/>
      <x:c r="AW128" s="49"/>
      <x:c r="AX128" s="49"/>
      <x:c r="AY128" s="49"/>
      <x:c r="AZ128" s="49"/>
    </x:row>
    <x:row r="129">
      <x:c r="A129" s="49"/>
      <x:c r="B129" s="49"/>
      <x:c r="C129" s="49"/>
      <x:c r="D129" s="49"/>
      <x:c r="E129" s="49"/>
      <x:c r="F129" s="49"/>
      <x:c r="G129" s="49"/>
      <x:c r="H129" s="49"/>
      <x:c r="I129" s="49"/>
      <x:c r="J129" s="49"/>
      <x:c r="K129" s="49"/>
      <x:c r="L129" s="49"/>
      <x:c r="M129" s="49"/>
      <x:c r="N129" s="49"/>
      <x:c r="O129" s="49"/>
      <x:c r="P129" s="49"/>
      <x:c r="Q129" s="49"/>
      <x:c r="R129" s="49"/>
      <x:c r="S129" s="49"/>
      <x:c r="T129" s="49"/>
      <x:c r="U129" s="49"/>
      <x:c r="V129" s="49"/>
      <x:c r="W129" s="49"/>
      <x:c r="X129" s="49"/>
      <x:c r="Y129" s="49"/>
      <x:c r="Z129" s="49"/>
      <x:c r="AA129" s="49"/>
      <x:c r="AB129" s="49"/>
      <x:c r="AC129" s="49"/>
      <x:c r="AD129" s="49"/>
      <x:c r="AE129" s="49"/>
      <x:c r="AF129" s="49"/>
      <x:c r="AG129" s="49"/>
      <x:c r="AH129" s="49"/>
      <x:c r="AI129" s="49"/>
      <x:c r="AJ129" s="49"/>
      <x:c r="AK129" s="49"/>
      <x:c r="AL129" s="49"/>
      <x:c r="AM129" s="49"/>
      <x:c r="AN129" s="49"/>
      <x:c r="AO129" s="49"/>
      <x:c r="AP129" s="49"/>
      <x:c r="AQ129" s="49"/>
      <x:c r="AR129" s="49"/>
      <x:c r="AS129" s="49"/>
      <x:c r="AT129" s="49"/>
      <x:c r="AU129" s="49"/>
      <x:c r="AV129" s="49"/>
      <x:c r="AW129" s="49"/>
      <x:c r="AX129" s="49"/>
      <x:c r="AY129" s="49"/>
      <x:c r="AZ129" s="49"/>
    </x:row>
    <x:row r="130">
      <x:c r="A130" s="49"/>
      <x:c r="B130" s="49"/>
      <x:c r="C130" s="49"/>
      <x:c r="D130" s="49"/>
      <x:c r="E130" s="49"/>
      <x:c r="F130" s="49"/>
      <x:c r="G130" s="49"/>
      <x:c r="H130" s="49"/>
      <x:c r="I130" s="49"/>
      <x:c r="J130" s="49"/>
      <x:c r="K130" s="49"/>
      <x:c r="L130" s="49"/>
      <x:c r="M130" s="49"/>
      <x:c r="N130" s="49"/>
      <x:c r="O130" s="49"/>
      <x:c r="P130" s="49"/>
      <x:c r="Q130" s="49"/>
      <x:c r="R130" s="49"/>
      <x:c r="S130" s="49"/>
      <x:c r="T130" s="49"/>
      <x:c r="U130" s="49"/>
      <x:c r="V130" s="49"/>
      <x:c r="W130" s="49"/>
      <x:c r="X130" s="49"/>
      <x:c r="Y130" s="49"/>
      <x:c r="Z130" s="49"/>
      <x:c r="AA130" s="49"/>
      <x:c r="AB130" s="49"/>
      <x:c r="AC130" s="49"/>
      <x:c r="AD130" s="49"/>
      <x:c r="AE130" s="49"/>
      <x:c r="AF130" s="49"/>
      <x:c r="AG130" s="49"/>
      <x:c r="AH130" s="49"/>
      <x:c r="AI130" s="49"/>
      <x:c r="AJ130" s="49"/>
      <x:c r="AK130" s="49"/>
      <x:c r="AL130" s="49"/>
      <x:c r="AM130" s="49"/>
      <x:c r="AN130" s="49"/>
      <x:c r="AO130" s="49"/>
      <x:c r="AP130" s="49"/>
      <x:c r="AQ130" s="49"/>
      <x:c r="AR130" s="49"/>
      <x:c r="AS130" s="49"/>
      <x:c r="AT130" s="49"/>
      <x:c r="AU130" s="49"/>
      <x:c r="AV130" s="49"/>
      <x:c r="AW130" s="49"/>
      <x:c r="AX130" s="49"/>
      <x:c r="AY130" s="49"/>
      <x:c r="AZ130" s="49"/>
    </x:row>
    <x:row r="131">
      <x:c r="A131" s="49"/>
      <x:c r="B131" s="49"/>
      <x:c r="C131" s="49"/>
      <x:c r="D131" s="49"/>
      <x:c r="E131" s="49"/>
      <x:c r="F131" s="49"/>
      <x:c r="G131" s="49"/>
      <x:c r="H131" s="49"/>
      <x:c r="I131" s="49"/>
      <x:c r="J131" s="49"/>
      <x:c r="K131" s="49"/>
      <x:c r="L131" s="49"/>
      <x:c r="M131" s="49"/>
      <x:c r="N131" s="49"/>
      <x:c r="O131" s="49"/>
      <x:c r="P131" s="49"/>
      <x:c r="Q131" s="49"/>
      <x:c r="R131" s="49"/>
      <x:c r="S131" s="49"/>
      <x:c r="T131" s="49"/>
      <x:c r="U131" s="49"/>
      <x:c r="V131" s="49"/>
      <x:c r="W131" s="49"/>
      <x:c r="X131" s="49"/>
      <x:c r="Y131" s="49"/>
      <x:c r="Z131" s="49"/>
      <x:c r="AA131" s="49"/>
      <x:c r="AB131" s="49"/>
      <x:c r="AC131" s="49"/>
      <x:c r="AD131" s="49"/>
      <x:c r="AE131" s="49"/>
      <x:c r="AF131" s="49"/>
      <x:c r="AG131" s="49"/>
      <x:c r="AH131" s="49"/>
      <x:c r="AI131" s="49"/>
      <x:c r="AJ131" s="49"/>
      <x:c r="AK131" s="49"/>
      <x:c r="AL131" s="49"/>
      <x:c r="AM131" s="49"/>
      <x:c r="AN131" s="49"/>
      <x:c r="AO131" s="49"/>
      <x:c r="AP131" s="49"/>
      <x:c r="AQ131" s="49"/>
      <x:c r="AR131" s="49"/>
      <x:c r="AS131" s="49"/>
      <x:c r="AT131" s="49"/>
      <x:c r="AU131" s="49"/>
      <x:c r="AV131" s="49"/>
      <x:c r="AW131" s="49"/>
      <x:c r="AX131" s="49"/>
      <x:c r="AY131" s="49"/>
      <x:c r="AZ131" s="49"/>
    </x:row>
    <x:row r="132">
      <x:c r="A132" s="49"/>
      <x:c r="B132" s="49"/>
      <x:c r="C132" s="49"/>
      <x:c r="D132" s="49"/>
      <x:c r="E132" s="49"/>
      <x:c r="F132" s="49"/>
      <x:c r="G132" s="49"/>
      <x:c r="H132" s="49"/>
      <x:c r="I132" s="49"/>
      <x:c r="J132" s="49"/>
      <x:c r="K132" s="49"/>
      <x:c r="L132" s="49"/>
      <x:c r="M132" s="49"/>
      <x:c r="N132" s="49"/>
      <x:c r="O132" s="49"/>
      <x:c r="P132" s="49"/>
      <x:c r="Q132" s="49"/>
      <x:c r="R132" s="49"/>
      <x:c r="S132" s="49"/>
      <x:c r="T132" s="49"/>
      <x:c r="U132" s="49"/>
      <x:c r="V132" s="49"/>
      <x:c r="W132" s="49"/>
      <x:c r="X132" s="49"/>
      <x:c r="Y132" s="49"/>
      <x:c r="Z132" s="49"/>
      <x:c r="AA132" s="49"/>
      <x:c r="AB132" s="49"/>
      <x:c r="AC132" s="49"/>
      <x:c r="AD132" s="49"/>
      <x:c r="AE132" s="49"/>
      <x:c r="AF132" s="49"/>
      <x:c r="AG132" s="49"/>
      <x:c r="AH132" s="49"/>
      <x:c r="AI132" s="49"/>
      <x:c r="AJ132" s="49"/>
      <x:c r="AK132" s="49"/>
      <x:c r="AL132" s="49"/>
      <x:c r="AM132" s="49"/>
      <x:c r="AN132" s="49"/>
      <x:c r="AO132" s="49"/>
      <x:c r="AP132" s="49"/>
      <x:c r="AQ132" s="49"/>
      <x:c r="AR132" s="49"/>
      <x:c r="AS132" s="49"/>
      <x:c r="AT132" s="49"/>
      <x:c r="AU132" s="49"/>
      <x:c r="AV132" s="49"/>
      <x:c r="AW132" s="49"/>
      <x:c r="AX132" s="49"/>
      <x:c r="AY132" s="49"/>
      <x:c r="AZ132" s="49"/>
    </x:row>
    <x:row r="133">
      <x:c r="A133" s="49"/>
      <x:c r="B133" s="49"/>
      <x:c r="C133" s="49"/>
      <x:c r="D133" s="49"/>
      <x:c r="E133" s="49"/>
      <x:c r="F133" s="49"/>
      <x:c r="G133" s="49"/>
      <x:c r="H133" s="49"/>
      <x:c r="I133" s="49"/>
      <x:c r="J133" s="49"/>
      <x:c r="K133" s="49"/>
      <x:c r="L133" s="49"/>
      <x:c r="M133" s="49"/>
      <x:c r="N133" s="49"/>
      <x:c r="O133" s="49"/>
      <x:c r="P133" s="49"/>
      <x:c r="Q133" s="49"/>
      <x:c r="R133" s="49"/>
      <x:c r="S133" s="49"/>
      <x:c r="T133" s="49"/>
      <x:c r="U133" s="49"/>
      <x:c r="V133" s="49"/>
      <x:c r="W133" s="49"/>
      <x:c r="X133" s="49"/>
      <x:c r="Y133" s="49"/>
      <x:c r="Z133" s="49"/>
      <x:c r="AA133" s="49"/>
      <x:c r="AB133" s="49"/>
      <x:c r="AC133" s="49"/>
      <x:c r="AD133" s="49"/>
      <x:c r="AE133" s="49"/>
      <x:c r="AF133" s="49"/>
      <x:c r="AG133" s="49"/>
      <x:c r="AH133" s="49"/>
      <x:c r="AI133" s="49"/>
      <x:c r="AJ133" s="49"/>
      <x:c r="AK133" s="49"/>
      <x:c r="AL133" s="49"/>
      <x:c r="AM133" s="49"/>
      <x:c r="AN133" s="49"/>
      <x:c r="AO133" s="49"/>
      <x:c r="AP133" s="49"/>
      <x:c r="AQ133" s="49"/>
      <x:c r="AR133" s="49"/>
      <x:c r="AS133" s="49"/>
      <x:c r="AT133" s="49"/>
      <x:c r="AU133" s="49"/>
      <x:c r="AV133" s="49"/>
      <x:c r="AW133" s="49"/>
      <x:c r="AX133" s="49"/>
      <x:c r="AY133" s="49"/>
      <x:c r="AZ133" s="49"/>
    </x:row>
    <x:row r="134">
      <x:c r="A134" s="49"/>
      <x:c r="B134" s="49"/>
      <x:c r="C134" s="49"/>
      <x:c r="D134" s="49"/>
      <x:c r="E134" s="49"/>
      <x:c r="F134" s="49"/>
      <x:c r="G134" s="49"/>
      <x:c r="H134" s="49"/>
      <x:c r="I134" s="49"/>
      <x:c r="J134" s="49"/>
      <x:c r="K134" s="49"/>
      <x:c r="L134" s="49"/>
      <x:c r="M134" s="49"/>
      <x:c r="N134" s="49"/>
      <x:c r="O134" s="49"/>
      <x:c r="P134" s="49"/>
      <x:c r="Q134" s="49"/>
      <x:c r="R134" s="49"/>
      <x:c r="S134" s="49"/>
      <x:c r="T134" s="49"/>
      <x:c r="U134" s="49"/>
      <x:c r="V134" s="49"/>
      <x:c r="W134" s="49"/>
      <x:c r="X134" s="49"/>
      <x:c r="Y134" s="49"/>
      <x:c r="Z134" s="49"/>
      <x:c r="AA134" s="49"/>
      <x:c r="AB134" s="49"/>
      <x:c r="AC134" s="49"/>
      <x:c r="AD134" s="49"/>
      <x:c r="AE134" s="49"/>
      <x:c r="AF134" s="49"/>
      <x:c r="AG134" s="49"/>
      <x:c r="AH134" s="49"/>
      <x:c r="AI134" s="49"/>
      <x:c r="AJ134" s="49"/>
      <x:c r="AK134" s="49"/>
      <x:c r="AL134" s="49"/>
      <x:c r="AM134" s="49"/>
      <x:c r="AN134" s="49"/>
      <x:c r="AO134" s="49"/>
      <x:c r="AP134" s="49"/>
      <x:c r="AQ134" s="49"/>
      <x:c r="AR134" s="49"/>
      <x:c r="AS134" s="49"/>
      <x:c r="AT134" s="49"/>
      <x:c r="AU134" s="49"/>
      <x:c r="AV134" s="49"/>
      <x:c r="AW134" s="49"/>
      <x:c r="AX134" s="49"/>
      <x:c r="AY134" s="49"/>
      <x:c r="AZ134" s="49"/>
    </x:row>
    <x:row r="135">
      <x:c r="A135" s="49"/>
      <x:c r="B135" s="49"/>
      <x:c r="C135" s="49"/>
      <x:c r="D135" s="49"/>
      <x:c r="E135" s="49"/>
      <x:c r="F135" s="49"/>
      <x:c r="G135" s="49"/>
      <x:c r="H135" s="49"/>
      <x:c r="I135" s="49"/>
      <x:c r="J135" s="49"/>
      <x:c r="K135" s="49"/>
      <x:c r="L135" s="49"/>
      <x:c r="M135" s="49"/>
      <x:c r="N135" s="49"/>
      <x:c r="O135" s="49"/>
      <x:c r="P135" s="49"/>
      <x:c r="Q135" s="49"/>
      <x:c r="R135" s="49"/>
      <x:c r="S135" s="49"/>
      <x:c r="T135" s="49"/>
      <x:c r="U135" s="49"/>
      <x:c r="V135" s="49"/>
      <x:c r="W135" s="49"/>
      <x:c r="X135" s="49"/>
      <x:c r="Y135" s="49"/>
      <x:c r="Z135" s="49"/>
      <x:c r="AA135" s="49"/>
      <x:c r="AB135" s="49"/>
      <x:c r="AC135" s="49"/>
      <x:c r="AD135" s="49"/>
      <x:c r="AE135" s="49"/>
      <x:c r="AF135" s="49"/>
      <x:c r="AG135" s="49"/>
      <x:c r="AH135" s="49"/>
      <x:c r="AI135" s="49"/>
      <x:c r="AJ135" s="49"/>
      <x:c r="AK135" s="49"/>
      <x:c r="AL135" s="49"/>
      <x:c r="AM135" s="49"/>
      <x:c r="AN135" s="49"/>
      <x:c r="AO135" s="49"/>
      <x:c r="AP135" s="49"/>
      <x:c r="AQ135" s="49"/>
      <x:c r="AR135" s="49"/>
      <x:c r="AS135" s="49"/>
      <x:c r="AT135" s="49"/>
      <x:c r="AU135" s="49"/>
      <x:c r="AV135" s="49"/>
      <x:c r="AW135" s="49"/>
      <x:c r="AX135" s="49"/>
      <x:c r="AY135" s="49"/>
      <x:c r="AZ135" s="49"/>
    </x:row>
    <x:row r="136">
      <x:c r="A136" s="49"/>
      <x:c r="B136" s="49"/>
      <x:c r="C136" s="49"/>
      <x:c r="D136" s="49"/>
      <x:c r="E136" s="49"/>
      <x:c r="F136" s="49"/>
      <x:c r="G136" s="49"/>
      <x:c r="H136" s="49"/>
      <x:c r="I136" s="49"/>
      <x:c r="J136" s="49"/>
      <x:c r="K136" s="49"/>
      <x:c r="L136" s="49"/>
      <x:c r="M136" s="49"/>
      <x:c r="N136" s="49"/>
      <x:c r="O136" s="49"/>
      <x:c r="P136" s="49"/>
      <x:c r="Q136" s="49"/>
      <x:c r="R136" s="49"/>
      <x:c r="S136" s="49"/>
      <x:c r="T136" s="49"/>
      <x:c r="U136" s="49"/>
      <x:c r="V136" s="49"/>
      <x:c r="W136" s="49"/>
      <x:c r="X136" s="49"/>
      <x:c r="Y136" s="49"/>
      <x:c r="Z136" s="49"/>
      <x:c r="AA136" s="49"/>
      <x:c r="AB136" s="49"/>
      <x:c r="AC136" s="49"/>
      <x:c r="AD136" s="49"/>
      <x:c r="AE136" s="49"/>
      <x:c r="AF136" s="49"/>
      <x:c r="AG136" s="49"/>
      <x:c r="AH136" s="49"/>
      <x:c r="AI136" s="49"/>
      <x:c r="AJ136" s="49"/>
      <x:c r="AK136" s="49"/>
      <x:c r="AL136" s="49"/>
      <x:c r="AM136" s="49"/>
      <x:c r="AN136" s="49"/>
      <x:c r="AO136" s="49"/>
      <x:c r="AP136" s="49"/>
      <x:c r="AQ136" s="49"/>
      <x:c r="AR136" s="49"/>
      <x:c r="AS136" s="49"/>
      <x:c r="AT136" s="49"/>
      <x:c r="AU136" s="49"/>
      <x:c r="AV136" s="49"/>
      <x:c r="AW136" s="49"/>
      <x:c r="AX136" s="49"/>
      <x:c r="AY136" s="49"/>
      <x:c r="AZ136" s="49"/>
    </x:row>
    <x:row r="137">
      <x:c r="A137" s="49"/>
      <x:c r="B137" s="49"/>
      <x:c r="C137" s="49"/>
      <x:c r="D137" s="49"/>
      <x:c r="E137" s="49"/>
      <x:c r="F137" s="49"/>
      <x:c r="G137" s="49"/>
      <x:c r="H137" s="49"/>
      <x:c r="I137" s="49"/>
      <x:c r="J137" s="49"/>
      <x:c r="K137" s="49"/>
      <x:c r="L137" s="49"/>
      <x:c r="M137" s="49"/>
      <x:c r="N137" s="49"/>
      <x:c r="O137" s="49"/>
      <x:c r="P137" s="49"/>
      <x:c r="Q137" s="49"/>
      <x:c r="R137" s="49"/>
      <x:c r="S137" s="49"/>
      <x:c r="T137" s="49"/>
      <x:c r="U137" s="49"/>
      <x:c r="V137" s="49"/>
      <x:c r="W137" s="49"/>
      <x:c r="X137" s="49"/>
      <x:c r="Y137" s="49"/>
      <x:c r="Z137" s="49"/>
      <x:c r="AA137" s="49"/>
      <x:c r="AB137" s="49"/>
      <x:c r="AC137" s="49"/>
      <x:c r="AD137" s="49"/>
      <x:c r="AE137" s="49"/>
      <x:c r="AF137" s="49"/>
      <x:c r="AG137" s="49"/>
      <x:c r="AH137" s="49"/>
      <x:c r="AI137" s="49"/>
      <x:c r="AJ137" s="49"/>
      <x:c r="AK137" s="49"/>
      <x:c r="AL137" s="49"/>
      <x:c r="AM137" s="49"/>
      <x:c r="AN137" s="49"/>
      <x:c r="AO137" s="49"/>
      <x:c r="AP137" s="49"/>
      <x:c r="AQ137" s="49"/>
      <x:c r="AR137" s="49"/>
      <x:c r="AS137" s="49"/>
      <x:c r="AT137" s="49"/>
      <x:c r="AU137" s="49"/>
      <x:c r="AV137" s="49"/>
      <x:c r="AW137" s="49"/>
      <x:c r="AX137" s="49"/>
      <x:c r="AY137" s="49"/>
      <x:c r="AZ137" s="49"/>
    </x:row>
    <x:row r="138">
      <x:c r="A138" s="49"/>
      <x:c r="B138" s="49"/>
      <x:c r="C138" s="49"/>
      <x:c r="D138" s="49"/>
      <x:c r="E138" s="49"/>
      <x:c r="F138" s="49"/>
      <x:c r="G138" s="49"/>
      <x:c r="H138" s="49"/>
      <x:c r="I138" s="49"/>
      <x:c r="J138" s="49"/>
      <x:c r="K138" s="49"/>
      <x:c r="L138" s="49"/>
      <x:c r="M138" s="49"/>
      <x:c r="N138" s="49"/>
      <x:c r="O138" s="49"/>
      <x:c r="P138" s="49"/>
      <x:c r="Q138" s="49"/>
      <x:c r="R138" s="49"/>
      <x:c r="S138" s="49"/>
      <x:c r="T138" s="49"/>
      <x:c r="U138" s="49"/>
      <x:c r="V138" s="49"/>
      <x:c r="W138" s="49"/>
      <x:c r="X138" s="49"/>
      <x:c r="Y138" s="49"/>
      <x:c r="Z138" s="49"/>
      <x:c r="AA138" s="49"/>
      <x:c r="AB138" s="49"/>
      <x:c r="AC138" s="49"/>
      <x:c r="AD138" s="49"/>
      <x:c r="AE138" s="49"/>
      <x:c r="AF138" s="49"/>
      <x:c r="AG138" s="49"/>
      <x:c r="AH138" s="49"/>
      <x:c r="AI138" s="49"/>
      <x:c r="AJ138" s="49"/>
      <x:c r="AK138" s="49"/>
      <x:c r="AL138" s="49"/>
      <x:c r="AM138" s="49"/>
      <x:c r="AN138" s="49"/>
      <x:c r="AO138" s="49"/>
      <x:c r="AP138" s="49"/>
      <x:c r="AQ138" s="49"/>
      <x:c r="AR138" s="49"/>
      <x:c r="AS138" s="49"/>
      <x:c r="AT138" s="49"/>
      <x:c r="AU138" s="49"/>
      <x:c r="AV138" s="49"/>
      <x:c r="AW138" s="49"/>
      <x:c r="AX138" s="49"/>
      <x:c r="AY138" s="49"/>
      <x:c r="AZ138" s="49"/>
    </x:row>
    <x:row r="139">
      <x:c r="A139" s="49"/>
      <x:c r="B139" s="49"/>
      <x:c r="C139" s="49"/>
      <x:c r="D139" s="49"/>
      <x:c r="E139" s="49"/>
      <x:c r="F139" s="49"/>
      <x:c r="G139" s="49"/>
      <x:c r="H139" s="49"/>
      <x:c r="I139" s="49"/>
      <x:c r="J139" s="49"/>
      <x:c r="K139" s="49"/>
      <x:c r="L139" s="49"/>
      <x:c r="M139" s="49"/>
      <x:c r="N139" s="49"/>
      <x:c r="O139" s="49"/>
      <x:c r="P139" s="49"/>
      <x:c r="Q139" s="49"/>
      <x:c r="R139" s="49"/>
      <x:c r="S139" s="49"/>
      <x:c r="T139" s="49"/>
      <x:c r="U139" s="49"/>
      <x:c r="V139" s="49"/>
      <x:c r="W139" s="49"/>
      <x:c r="X139" s="49"/>
      <x:c r="Y139" s="49"/>
      <x:c r="Z139" s="49"/>
      <x:c r="AA139" s="49"/>
      <x:c r="AB139" s="49"/>
      <x:c r="AC139" s="49"/>
      <x:c r="AD139" s="49"/>
      <x:c r="AE139" s="49"/>
      <x:c r="AF139" s="49"/>
      <x:c r="AG139" s="49"/>
      <x:c r="AH139" s="49"/>
      <x:c r="AI139" s="49"/>
      <x:c r="AJ139" s="49"/>
      <x:c r="AK139" s="49"/>
      <x:c r="AL139" s="49"/>
      <x:c r="AM139" s="49"/>
      <x:c r="AN139" s="49"/>
      <x:c r="AO139" s="49"/>
      <x:c r="AP139" s="49"/>
      <x:c r="AQ139" s="49"/>
      <x:c r="AR139" s="49"/>
      <x:c r="AS139" s="49"/>
      <x:c r="AT139" s="49"/>
      <x:c r="AU139" s="49"/>
      <x:c r="AV139" s="49"/>
      <x:c r="AW139" s="49"/>
      <x:c r="AX139" s="49"/>
      <x:c r="AY139" s="49"/>
      <x:c r="AZ139" s="49"/>
    </x:row>
    <x:row r="140">
      <x:c r="A140" s="49"/>
      <x:c r="B140" s="49"/>
      <x:c r="C140" s="49"/>
      <x:c r="D140" s="49"/>
      <x:c r="E140" s="49"/>
      <x:c r="F140" s="49"/>
      <x:c r="G140" s="49"/>
      <x:c r="H140" s="49"/>
      <x:c r="I140" s="49"/>
      <x:c r="J140" s="49"/>
      <x:c r="K140" s="49"/>
      <x:c r="L140" s="49"/>
      <x:c r="M140" s="49"/>
      <x:c r="N140" s="49"/>
      <x:c r="O140" s="49"/>
      <x:c r="P140" s="49"/>
      <x:c r="Q140" s="49"/>
      <x:c r="R140" s="49"/>
      <x:c r="S140" s="49"/>
      <x:c r="T140" s="49"/>
      <x:c r="U140" s="49"/>
      <x:c r="V140" s="49"/>
      <x:c r="W140" s="49"/>
      <x:c r="X140" s="49"/>
      <x:c r="Y140" s="49"/>
      <x:c r="Z140" s="49"/>
      <x:c r="AA140" s="49"/>
      <x:c r="AB140" s="49"/>
      <x:c r="AC140" s="49"/>
      <x:c r="AD140" s="49"/>
      <x:c r="AE140" s="49"/>
      <x:c r="AF140" s="49"/>
      <x:c r="AG140" s="49"/>
      <x:c r="AH140" s="49"/>
      <x:c r="AI140" s="49"/>
      <x:c r="AJ140" s="49"/>
      <x:c r="AK140" s="49"/>
      <x:c r="AL140" s="49"/>
      <x:c r="AM140" s="49"/>
      <x:c r="AN140" s="49"/>
      <x:c r="AO140" s="49"/>
      <x:c r="AP140" s="49"/>
      <x:c r="AQ140" s="49"/>
      <x:c r="AR140" s="49"/>
      <x:c r="AS140" s="49"/>
      <x:c r="AT140" s="49"/>
      <x:c r="AU140" s="49"/>
      <x:c r="AV140" s="49"/>
      <x:c r="AW140" s="49"/>
      <x:c r="AX140" s="49"/>
      <x:c r="AY140" s="49"/>
      <x:c r="AZ140" s="49"/>
    </x:row>
    <x:row r="141">
      <x:c r="A141" s="49"/>
      <x:c r="B141" s="49"/>
      <x:c r="C141" s="49"/>
      <x:c r="D141" s="49"/>
      <x:c r="E141" s="49"/>
      <x:c r="F141" s="49"/>
      <x:c r="G141" s="49"/>
      <x:c r="H141" s="49"/>
      <x:c r="I141" s="49"/>
      <x:c r="J141" s="49"/>
      <x:c r="K141" s="49"/>
      <x:c r="L141" s="49"/>
      <x:c r="M141" s="49"/>
      <x:c r="N141" s="49"/>
      <x:c r="O141" s="49"/>
      <x:c r="P141" s="49"/>
      <x:c r="Q141" s="49"/>
      <x:c r="R141" s="49"/>
      <x:c r="S141" s="49"/>
      <x:c r="T141" s="49"/>
      <x:c r="U141" s="49"/>
      <x:c r="V141" s="49"/>
      <x:c r="W141" s="49"/>
      <x:c r="X141" s="49"/>
      <x:c r="Y141" s="49"/>
      <x:c r="Z141" s="49"/>
      <x:c r="AA141" s="49"/>
      <x:c r="AB141" s="49"/>
      <x:c r="AC141" s="49"/>
      <x:c r="AD141" s="49"/>
      <x:c r="AE141" s="49"/>
      <x:c r="AF141" s="49"/>
      <x:c r="AG141" s="49"/>
      <x:c r="AH141" s="49"/>
      <x:c r="AI141" s="49"/>
      <x:c r="AJ141" s="49"/>
      <x:c r="AK141" s="49"/>
      <x:c r="AL141" s="49"/>
      <x:c r="AM141" s="49"/>
      <x:c r="AN141" s="49"/>
      <x:c r="AO141" s="49"/>
      <x:c r="AP141" s="49"/>
      <x:c r="AQ141" s="49"/>
      <x:c r="AR141" s="49"/>
      <x:c r="AS141" s="49"/>
      <x:c r="AT141" s="49"/>
      <x:c r="AU141" s="49"/>
      <x:c r="AV141" s="49"/>
      <x:c r="AW141" s="49"/>
      <x:c r="AX141" s="49"/>
      <x:c r="AY141" s="49"/>
      <x:c r="AZ141" s="49"/>
    </x:row>
    <x:row r="142">
      <x:c r="A142" s="49"/>
      <x:c r="B142" s="49"/>
      <x:c r="C142" s="49"/>
      <x:c r="D142" s="49"/>
      <x:c r="E142" s="49"/>
      <x:c r="F142" s="49"/>
      <x:c r="G142" s="49"/>
      <x:c r="H142" s="49"/>
      <x:c r="I142" s="49"/>
      <x:c r="J142" s="49"/>
      <x:c r="K142" s="49"/>
      <x:c r="L142" s="49"/>
      <x:c r="M142" s="49"/>
      <x:c r="N142" s="49"/>
      <x:c r="O142" s="49"/>
      <x:c r="P142" s="49"/>
      <x:c r="Q142" s="49"/>
      <x:c r="R142" s="49"/>
      <x:c r="S142" s="49"/>
      <x:c r="T142" s="49"/>
      <x:c r="U142" s="49"/>
      <x:c r="V142" s="49"/>
      <x:c r="W142" s="49"/>
      <x:c r="X142" s="49"/>
      <x:c r="Y142" s="49"/>
      <x:c r="Z142" s="49"/>
      <x:c r="AA142" s="49"/>
      <x:c r="AB142" s="49"/>
      <x:c r="AC142" s="49"/>
      <x:c r="AD142" s="49"/>
      <x:c r="AE142" s="49"/>
      <x:c r="AF142" s="49"/>
      <x:c r="AG142" s="49"/>
      <x:c r="AH142" s="49"/>
      <x:c r="AI142" s="49"/>
      <x:c r="AJ142" s="49"/>
      <x:c r="AK142" s="49"/>
      <x:c r="AL142" s="49"/>
      <x:c r="AM142" s="49"/>
      <x:c r="AN142" s="49"/>
      <x:c r="AO142" s="49"/>
      <x:c r="AP142" s="49"/>
      <x:c r="AQ142" s="49"/>
      <x:c r="AR142" s="49"/>
      <x:c r="AS142" s="49"/>
      <x:c r="AT142" s="49"/>
      <x:c r="AU142" s="49"/>
      <x:c r="AV142" s="49"/>
      <x:c r="AW142" s="49"/>
      <x:c r="AX142" s="49"/>
      <x:c r="AY142" s="49"/>
      <x:c r="AZ142" s="49"/>
    </x:row>
    <x:row r="143">
      <x:c r="A143" s="49"/>
      <x:c r="B143" s="49"/>
      <x:c r="C143" s="49"/>
      <x:c r="D143" s="49"/>
      <x:c r="E143" s="49"/>
      <x:c r="F143" s="49"/>
      <x:c r="G143" s="49"/>
      <x:c r="H143" s="49"/>
      <x:c r="I143" s="49"/>
      <x:c r="J143" s="49"/>
      <x:c r="K143" s="49"/>
      <x:c r="L143" s="49"/>
      <x:c r="M143" s="49"/>
      <x:c r="N143" s="49"/>
      <x:c r="O143" s="49"/>
      <x:c r="P143" s="49"/>
      <x:c r="Q143" s="49"/>
      <x:c r="R143" s="49"/>
      <x:c r="S143" s="49"/>
      <x:c r="T143" s="49"/>
      <x:c r="U143" s="49"/>
      <x:c r="V143" s="49"/>
      <x:c r="W143" s="49"/>
      <x:c r="X143" s="49"/>
      <x:c r="Y143" s="49"/>
      <x:c r="Z143" s="49"/>
      <x:c r="AA143" s="49"/>
      <x:c r="AB143" s="49"/>
      <x:c r="AC143" s="49"/>
      <x:c r="AD143" s="49"/>
      <x:c r="AE143" s="49"/>
      <x:c r="AF143" s="49"/>
      <x:c r="AG143" s="49"/>
      <x:c r="AH143" s="49"/>
      <x:c r="AI143" s="49"/>
      <x:c r="AJ143" s="49"/>
      <x:c r="AK143" s="49"/>
      <x:c r="AL143" s="49"/>
      <x:c r="AM143" s="49"/>
      <x:c r="AN143" s="49"/>
      <x:c r="AO143" s="49"/>
      <x:c r="AP143" s="49"/>
      <x:c r="AQ143" s="49"/>
      <x:c r="AR143" s="49"/>
      <x:c r="AS143" s="49"/>
      <x:c r="AT143" s="49"/>
      <x:c r="AU143" s="49"/>
      <x:c r="AV143" s="49"/>
      <x:c r="AW143" s="49"/>
      <x:c r="AX143" s="49"/>
      <x:c r="AY143" s="49"/>
      <x:c r="AZ143" s="49"/>
    </x:row>
    <x:row r="144">
      <x:c r="A144" s="49"/>
      <x:c r="B144" s="49"/>
      <x:c r="C144" s="49"/>
      <x:c r="D144" s="49"/>
      <x:c r="E144" s="49"/>
      <x:c r="F144" s="49"/>
      <x:c r="G144" s="49"/>
      <x:c r="H144" s="49"/>
      <x:c r="I144" s="49"/>
      <x:c r="J144" s="49"/>
      <x:c r="K144" s="49"/>
      <x:c r="L144" s="49"/>
      <x:c r="M144" s="49"/>
      <x:c r="N144" s="49"/>
      <x:c r="O144" s="49"/>
      <x:c r="P144" s="49"/>
      <x:c r="Q144" s="49"/>
      <x:c r="R144" s="49"/>
      <x:c r="S144" s="49"/>
      <x:c r="T144" s="49"/>
      <x:c r="U144" s="49"/>
      <x:c r="V144" s="49"/>
      <x:c r="W144" s="49"/>
      <x:c r="X144" s="49"/>
      <x:c r="Y144" s="49"/>
      <x:c r="Z144" s="49"/>
      <x:c r="AA144" s="49"/>
      <x:c r="AB144" s="49"/>
      <x:c r="AC144" s="49"/>
      <x:c r="AD144" s="49"/>
      <x:c r="AE144" s="49"/>
      <x:c r="AF144" s="49"/>
      <x:c r="AG144" s="49"/>
      <x:c r="AH144" s="49"/>
      <x:c r="AI144" s="49"/>
      <x:c r="AJ144" s="49"/>
      <x:c r="AK144" s="49"/>
      <x:c r="AL144" s="49"/>
      <x:c r="AM144" s="49"/>
      <x:c r="AN144" s="49"/>
      <x:c r="AO144" s="49"/>
      <x:c r="AP144" s="49"/>
      <x:c r="AQ144" s="49"/>
      <x:c r="AR144" s="49"/>
      <x:c r="AS144" s="49"/>
      <x:c r="AT144" s="49"/>
      <x:c r="AU144" s="49"/>
      <x:c r="AV144" s="49"/>
      <x:c r="AW144" s="49"/>
      <x:c r="AX144" s="49"/>
      <x:c r="AY144" s="49"/>
      <x:c r="AZ144" s="49"/>
    </x:row>
    <x:row r="145">
      <x:c r="A145" s="49"/>
      <x:c r="B145" s="49"/>
      <x:c r="C145" s="49"/>
      <x:c r="D145" s="49"/>
      <x:c r="E145" s="49"/>
      <x:c r="F145" s="49"/>
      <x:c r="G145" s="49"/>
      <x:c r="H145" s="49"/>
      <x:c r="I145" s="49"/>
      <x:c r="J145" s="49"/>
      <x:c r="K145" s="49"/>
      <x:c r="L145" s="49"/>
      <x:c r="M145" s="49"/>
      <x:c r="N145" s="49"/>
      <x:c r="O145" s="49"/>
      <x:c r="P145" s="49"/>
      <x:c r="Q145" s="49"/>
      <x:c r="R145" s="49"/>
      <x:c r="S145" s="49"/>
      <x:c r="T145" s="49"/>
      <x:c r="U145" s="49"/>
      <x:c r="V145" s="49"/>
      <x:c r="W145" s="49"/>
      <x:c r="X145" s="49"/>
      <x:c r="Y145" s="49"/>
      <x:c r="Z145" s="49"/>
      <x:c r="AA145" s="49"/>
      <x:c r="AB145" s="49"/>
      <x:c r="AC145" s="49"/>
      <x:c r="AD145" s="49"/>
      <x:c r="AE145" s="49"/>
      <x:c r="AF145" s="49"/>
      <x:c r="AG145" s="49"/>
      <x:c r="AH145" s="49"/>
      <x:c r="AI145" s="49"/>
      <x:c r="AJ145" s="49"/>
      <x:c r="AK145" s="49"/>
      <x:c r="AL145" s="49"/>
      <x:c r="AM145" s="49"/>
      <x:c r="AN145" s="49"/>
      <x:c r="AO145" s="49"/>
      <x:c r="AP145" s="49"/>
      <x:c r="AQ145" s="49"/>
      <x:c r="AR145" s="49"/>
      <x:c r="AS145" s="49"/>
      <x:c r="AT145" s="49"/>
      <x:c r="AU145" s="49"/>
      <x:c r="AV145" s="49"/>
      <x:c r="AW145" s="49"/>
      <x:c r="AX145" s="49"/>
      <x:c r="AY145" s="49"/>
      <x:c r="AZ145" s="49"/>
    </x:row>
    <x:row r="146">
      <x:c r="A146" s="49"/>
      <x:c r="B146" s="49"/>
      <x:c r="C146" s="49"/>
      <x:c r="D146" s="49"/>
      <x:c r="E146" s="49"/>
      <x:c r="F146" s="49"/>
      <x:c r="G146" s="49"/>
      <x:c r="H146" s="49"/>
      <x:c r="I146" s="49"/>
      <x:c r="J146" s="49"/>
      <x:c r="K146" s="49"/>
      <x:c r="L146" s="49"/>
      <x:c r="M146" s="49"/>
      <x:c r="N146" s="49"/>
      <x:c r="O146" s="49"/>
      <x:c r="P146" s="49"/>
      <x:c r="Q146" s="49"/>
      <x:c r="R146" s="49"/>
      <x:c r="S146" s="49"/>
      <x:c r="T146" s="49"/>
      <x:c r="U146" s="49"/>
      <x:c r="V146" s="49"/>
      <x:c r="W146" s="49"/>
      <x:c r="X146" s="49"/>
      <x:c r="Y146" s="49"/>
      <x:c r="Z146" s="49"/>
      <x:c r="AA146" s="49"/>
      <x:c r="AB146" s="49"/>
      <x:c r="AC146" s="49"/>
      <x:c r="AD146" s="49"/>
      <x:c r="AE146" s="49"/>
      <x:c r="AF146" s="49"/>
      <x:c r="AG146" s="49"/>
      <x:c r="AH146" s="49"/>
      <x:c r="AI146" s="49"/>
      <x:c r="AJ146" s="49"/>
      <x:c r="AK146" s="49"/>
      <x:c r="AL146" s="49"/>
      <x:c r="AM146" s="49"/>
      <x:c r="AN146" s="49"/>
      <x:c r="AO146" s="49"/>
      <x:c r="AP146" s="49"/>
      <x:c r="AQ146" s="49"/>
      <x:c r="AR146" s="49"/>
      <x:c r="AS146" s="49"/>
      <x:c r="AT146" s="49"/>
      <x:c r="AU146" s="49"/>
      <x:c r="AV146" s="49"/>
      <x:c r="AW146" s="49"/>
      <x:c r="AX146" s="49"/>
      <x:c r="AY146" s="49"/>
      <x:c r="AZ146" s="49"/>
    </x:row>
    <x:row r="147">
      <x:c r="A147" s="49"/>
      <x:c r="B147" s="49"/>
      <x:c r="C147" s="49"/>
      <x:c r="D147" s="49"/>
      <x:c r="E147" s="49"/>
      <x:c r="F147" s="49"/>
      <x:c r="G147" s="49"/>
      <x:c r="H147" s="49"/>
      <x:c r="I147" s="49"/>
      <x:c r="J147" s="49"/>
      <x:c r="K147" s="49"/>
      <x:c r="L147" s="49"/>
      <x:c r="M147" s="49"/>
      <x:c r="N147" s="49"/>
      <x:c r="O147" s="49"/>
      <x:c r="P147" s="49"/>
      <x:c r="Q147" s="49"/>
      <x:c r="R147" s="49"/>
      <x:c r="S147" s="49"/>
      <x:c r="T147" s="49"/>
      <x:c r="U147" s="49"/>
      <x:c r="V147" s="49"/>
      <x:c r="W147" s="49"/>
      <x:c r="X147" s="49"/>
      <x:c r="Y147" s="49"/>
      <x:c r="Z147" s="49"/>
      <x:c r="AA147" s="49"/>
      <x:c r="AB147" s="49"/>
      <x:c r="AC147" s="49"/>
      <x:c r="AD147" s="49"/>
      <x:c r="AE147" s="49"/>
      <x:c r="AF147" s="49"/>
      <x:c r="AG147" s="49"/>
      <x:c r="AH147" s="49"/>
      <x:c r="AI147" s="49"/>
      <x:c r="AJ147" s="49"/>
      <x:c r="AK147" s="49"/>
      <x:c r="AL147" s="49"/>
      <x:c r="AM147" s="49"/>
      <x:c r="AN147" s="49"/>
      <x:c r="AO147" s="49"/>
      <x:c r="AP147" s="49"/>
      <x:c r="AQ147" s="49"/>
      <x:c r="AR147" s="49"/>
      <x:c r="AS147" s="49"/>
      <x:c r="AT147" s="49"/>
      <x:c r="AU147" s="49"/>
      <x:c r="AV147" s="49"/>
      <x:c r="AW147" s="49"/>
      <x:c r="AX147" s="49"/>
      <x:c r="AY147" s="49"/>
      <x:c r="AZ147" s="49"/>
    </x:row>
    <x:row r="148">
      <x:c r="A148" s="49"/>
      <x:c r="B148" s="49"/>
      <x:c r="C148" s="49"/>
      <x:c r="D148" s="49"/>
      <x:c r="E148" s="49"/>
      <x:c r="F148" s="49"/>
      <x:c r="G148" s="49"/>
      <x:c r="H148" s="49"/>
      <x:c r="I148" s="49"/>
      <x:c r="J148" s="49"/>
      <x:c r="K148" s="49"/>
      <x:c r="L148" s="49"/>
      <x:c r="M148" s="49"/>
      <x:c r="N148" s="49"/>
      <x:c r="O148" s="49"/>
      <x:c r="P148" s="49"/>
      <x:c r="Q148" s="49"/>
      <x:c r="R148" s="49"/>
      <x:c r="S148" s="49"/>
      <x:c r="T148" s="49"/>
      <x:c r="U148" s="49"/>
      <x:c r="V148" s="49"/>
      <x:c r="W148" s="49"/>
      <x:c r="X148" s="49"/>
      <x:c r="Y148" s="49"/>
      <x:c r="Z148" s="49"/>
      <x:c r="AA148" s="49"/>
      <x:c r="AB148" s="49"/>
      <x:c r="AC148" s="49"/>
      <x:c r="AD148" s="49"/>
      <x:c r="AE148" s="49"/>
      <x:c r="AF148" s="49"/>
      <x:c r="AG148" s="49"/>
      <x:c r="AH148" s="49"/>
      <x:c r="AI148" s="49"/>
      <x:c r="AJ148" s="49"/>
      <x:c r="AK148" s="49"/>
      <x:c r="AL148" s="49"/>
      <x:c r="AM148" s="49"/>
      <x:c r="AN148" s="49"/>
      <x:c r="AO148" s="49"/>
      <x:c r="AP148" s="49"/>
      <x:c r="AQ148" s="49"/>
      <x:c r="AR148" s="49"/>
      <x:c r="AS148" s="49"/>
      <x:c r="AT148" s="49"/>
      <x:c r="AU148" s="49"/>
      <x:c r="AV148" s="49"/>
      <x:c r="AW148" s="49"/>
      <x:c r="AX148" s="49"/>
      <x:c r="AY148" s="49"/>
      <x:c r="AZ148" s="49"/>
    </x:row>
    <x:row r="149">
      <x:c r="A149" s="49"/>
      <x:c r="B149" s="49"/>
      <x:c r="C149" s="49"/>
      <x:c r="D149" s="49"/>
      <x:c r="E149" s="49"/>
      <x:c r="F149" s="49"/>
      <x:c r="G149" s="49"/>
      <x:c r="H149" s="49"/>
      <x:c r="I149" s="49"/>
      <x:c r="J149" s="49"/>
      <x:c r="K149" s="49"/>
      <x:c r="L149" s="49"/>
      <x:c r="M149" s="49"/>
      <x:c r="N149" s="49"/>
      <x:c r="O149" s="49"/>
      <x:c r="P149" s="49"/>
      <x:c r="Q149" s="49"/>
      <x:c r="R149" s="49"/>
      <x:c r="S149" s="49"/>
      <x:c r="T149" s="49"/>
      <x:c r="U149" s="49"/>
      <x:c r="V149" s="49"/>
      <x:c r="W149" s="49"/>
      <x:c r="X149" s="49"/>
      <x:c r="Y149" s="49"/>
      <x:c r="Z149" s="49"/>
      <x:c r="AA149" s="49"/>
      <x:c r="AB149" s="49"/>
      <x:c r="AC149" s="49"/>
      <x:c r="AD149" s="49"/>
      <x:c r="AE149" s="49"/>
      <x:c r="AF149" s="49"/>
      <x:c r="AG149" s="49"/>
      <x:c r="AH149" s="49"/>
      <x:c r="AI149" s="49"/>
      <x:c r="AJ149" s="49"/>
      <x:c r="AK149" s="49"/>
      <x:c r="AL149" s="49"/>
      <x:c r="AM149" s="49"/>
      <x:c r="AN149" s="49"/>
      <x:c r="AO149" s="49"/>
      <x:c r="AP149" s="49"/>
      <x:c r="AQ149" s="49"/>
      <x:c r="AR149" s="49"/>
      <x:c r="AS149" s="49"/>
      <x:c r="AT149" s="49"/>
      <x:c r="AU149" s="49"/>
      <x:c r="AV149" s="49"/>
      <x:c r="AW149" s="49"/>
      <x:c r="AX149" s="49"/>
      <x:c r="AY149" s="49"/>
      <x:c r="AZ149" s="49"/>
    </x:row>
    <x:row r="150">
      <x:c r="A150" s="49"/>
      <x:c r="B150" s="49"/>
      <x:c r="C150" s="49"/>
      <x:c r="D150" s="49"/>
      <x:c r="E150" s="49"/>
      <x:c r="F150" s="49"/>
      <x:c r="G150" s="49"/>
      <x:c r="H150" s="49"/>
      <x:c r="I150" s="49"/>
      <x:c r="J150" s="49"/>
      <x:c r="K150" s="49"/>
      <x:c r="L150" s="49"/>
      <x:c r="M150" s="49"/>
      <x:c r="N150" s="49"/>
      <x:c r="O150" s="49"/>
      <x:c r="P150" s="49"/>
      <x:c r="Q150" s="49"/>
      <x:c r="R150" s="49"/>
      <x:c r="S150" s="49"/>
      <x:c r="T150" s="49"/>
      <x:c r="U150" s="49"/>
      <x:c r="V150" s="49"/>
      <x:c r="W150" s="49"/>
      <x:c r="X150" s="49"/>
      <x:c r="Y150" s="49"/>
      <x:c r="Z150" s="49"/>
      <x:c r="AA150" s="49"/>
      <x:c r="AB150" s="49"/>
      <x:c r="AC150" s="49"/>
      <x:c r="AD150" s="49"/>
      <x:c r="AE150" s="49"/>
      <x:c r="AF150" s="49"/>
      <x:c r="AG150" s="49"/>
      <x:c r="AH150" s="49"/>
      <x:c r="AI150" s="49"/>
      <x:c r="AJ150" s="49"/>
      <x:c r="AK150" s="49"/>
      <x:c r="AL150" s="49"/>
      <x:c r="AM150" s="49"/>
      <x:c r="AN150" s="49"/>
      <x:c r="AO150" s="49"/>
      <x:c r="AP150" s="49"/>
      <x:c r="AQ150" s="49"/>
      <x:c r="AR150" s="49"/>
      <x:c r="AS150" s="49"/>
      <x:c r="AT150" s="49"/>
      <x:c r="AU150" s="49"/>
      <x:c r="AV150" s="49"/>
      <x:c r="AW150" s="49"/>
      <x:c r="AX150" s="49"/>
      <x:c r="AY150" s="49"/>
      <x:c r="AZ150" s="49"/>
    </x:row>
    <x:row r="151">
      <x:c r="A151" s="49"/>
      <x:c r="B151" s="49"/>
      <x:c r="C151" s="49"/>
      <x:c r="D151" s="49"/>
      <x:c r="E151" s="49"/>
      <x:c r="F151" s="49"/>
      <x:c r="G151" s="49"/>
      <x:c r="H151" s="49"/>
      <x:c r="I151" s="49"/>
      <x:c r="J151" s="49"/>
      <x:c r="K151" s="49"/>
      <x:c r="L151" s="49"/>
      <x:c r="M151" s="49"/>
      <x:c r="N151" s="49"/>
      <x:c r="O151" s="49"/>
      <x:c r="P151" s="49"/>
      <x:c r="Q151" s="49"/>
      <x:c r="R151" s="49"/>
      <x:c r="S151" s="49"/>
      <x:c r="T151" s="49"/>
      <x:c r="U151" s="49"/>
      <x:c r="V151" s="49"/>
      <x:c r="W151" s="49"/>
      <x:c r="X151" s="49"/>
      <x:c r="Y151" s="49"/>
      <x:c r="Z151" s="49"/>
      <x:c r="AA151" s="49"/>
      <x:c r="AB151" s="49"/>
      <x:c r="AC151" s="49"/>
      <x:c r="AD151" s="49"/>
      <x:c r="AE151" s="49"/>
      <x:c r="AF151" s="49"/>
      <x:c r="AG151" s="49"/>
      <x:c r="AH151" s="49"/>
      <x:c r="AI151" s="49"/>
      <x:c r="AJ151" s="49"/>
      <x:c r="AK151" s="49"/>
      <x:c r="AL151" s="49"/>
      <x:c r="AM151" s="49"/>
      <x:c r="AN151" s="49"/>
      <x:c r="AO151" s="49"/>
      <x:c r="AP151" s="49"/>
      <x:c r="AQ151" s="49"/>
      <x:c r="AR151" s="49"/>
      <x:c r="AS151" s="49"/>
      <x:c r="AT151" s="49"/>
      <x:c r="AU151" s="49"/>
      <x:c r="AV151" s="49"/>
      <x:c r="AW151" s="49"/>
      <x:c r="AX151" s="49"/>
      <x:c r="AY151" s="49"/>
      <x:c r="AZ151" s="49"/>
    </x:row>
    <x:row r="152">
      <x:c r="A152" s="49"/>
      <x:c r="B152" s="49"/>
      <x:c r="C152" s="49"/>
      <x:c r="D152" s="49"/>
      <x:c r="E152" s="49"/>
      <x:c r="F152" s="49"/>
      <x:c r="G152" s="49"/>
      <x:c r="H152" s="49"/>
      <x:c r="I152" s="49"/>
      <x:c r="J152" s="49"/>
      <x:c r="K152" s="49"/>
      <x:c r="L152" s="49"/>
      <x:c r="M152" s="49"/>
      <x:c r="N152" s="49"/>
      <x:c r="O152" s="49"/>
      <x:c r="P152" s="49"/>
      <x:c r="Q152" s="49"/>
      <x:c r="R152" s="49"/>
      <x:c r="S152" s="49"/>
      <x:c r="T152" s="49"/>
      <x:c r="U152" s="49"/>
      <x:c r="V152" s="49"/>
      <x:c r="W152" s="49"/>
      <x:c r="X152" s="49"/>
      <x:c r="Y152" s="49"/>
      <x:c r="Z152" s="49"/>
      <x:c r="AA152" s="49"/>
      <x:c r="AB152" s="49"/>
      <x:c r="AC152" s="49"/>
      <x:c r="AD152" s="49"/>
      <x:c r="AE152" s="49"/>
      <x:c r="AF152" s="49"/>
      <x:c r="AG152" s="49"/>
      <x:c r="AH152" s="49"/>
      <x:c r="AI152" s="49"/>
      <x:c r="AJ152" s="49"/>
      <x:c r="AK152" s="49"/>
      <x:c r="AL152" s="49"/>
      <x:c r="AM152" s="49"/>
      <x:c r="AN152" s="49"/>
      <x:c r="AO152" s="49"/>
      <x:c r="AP152" s="49"/>
      <x:c r="AQ152" s="49"/>
      <x:c r="AR152" s="49"/>
      <x:c r="AS152" s="49"/>
      <x:c r="AT152" s="49"/>
      <x:c r="AU152" s="49"/>
      <x:c r="AV152" s="49"/>
      <x:c r="AW152" s="49"/>
      <x:c r="AX152" s="49"/>
      <x:c r="AY152" s="49"/>
      <x:c r="AZ152" s="49"/>
    </x:row>
    <x:row r="153">
      <x:c r="A153" s="49"/>
      <x:c r="B153" s="49"/>
      <x:c r="C153" s="49"/>
      <x:c r="D153" s="49"/>
      <x:c r="E153" s="49"/>
      <x:c r="F153" s="49"/>
      <x:c r="G153" s="49"/>
      <x:c r="H153" s="49"/>
      <x:c r="I153" s="49"/>
      <x:c r="J153" s="49"/>
      <x:c r="K153" s="49"/>
      <x:c r="L153" s="49"/>
      <x:c r="M153" s="49"/>
      <x:c r="N153" s="49"/>
      <x:c r="O153" s="49"/>
      <x:c r="P153" s="49"/>
      <x:c r="Q153" s="49"/>
      <x:c r="R153" s="49"/>
      <x:c r="S153" s="49"/>
      <x:c r="T153" s="49"/>
      <x:c r="U153" s="49"/>
      <x:c r="V153" s="49"/>
      <x:c r="W153" s="49"/>
      <x:c r="X153" s="49"/>
      <x:c r="Y153" s="49"/>
      <x:c r="Z153" s="49"/>
      <x:c r="AA153" s="49"/>
      <x:c r="AB153" s="49"/>
      <x:c r="AC153" s="49"/>
      <x:c r="AD153" s="49"/>
      <x:c r="AE153" s="49"/>
      <x:c r="AF153" s="49"/>
      <x:c r="AG153" s="49"/>
      <x:c r="AH153" s="49"/>
      <x:c r="AI153" s="49"/>
      <x:c r="AJ153" s="49"/>
      <x:c r="AK153" s="49"/>
      <x:c r="AL153" s="49"/>
      <x:c r="AM153" s="49"/>
      <x:c r="AN153" s="49"/>
      <x:c r="AO153" s="49"/>
      <x:c r="AP153" s="49"/>
      <x:c r="AQ153" s="49"/>
      <x:c r="AR153" s="49"/>
      <x:c r="AS153" s="49"/>
      <x:c r="AT153" s="49"/>
      <x:c r="AU153" s="49"/>
      <x:c r="AV153" s="49"/>
      <x:c r="AW153" s="49"/>
      <x:c r="AX153" s="49"/>
      <x:c r="AY153" s="49"/>
      <x:c r="AZ153" s="49"/>
    </x:row>
    <x:row r="154">
      <x:c r="A154" s="49"/>
      <x:c r="B154" s="49"/>
      <x:c r="C154" s="49"/>
      <x:c r="D154" s="49"/>
      <x:c r="E154" s="49"/>
      <x:c r="F154" s="49"/>
      <x:c r="G154" s="49"/>
      <x:c r="H154" s="49"/>
      <x:c r="I154" s="49"/>
      <x:c r="J154" s="49"/>
      <x:c r="K154" s="49"/>
      <x:c r="L154" s="49"/>
      <x:c r="M154" s="49"/>
      <x:c r="N154" s="49"/>
      <x:c r="O154" s="49"/>
      <x:c r="P154" s="49"/>
      <x:c r="Q154" s="49"/>
      <x:c r="R154" s="49"/>
      <x:c r="S154" s="49"/>
      <x:c r="T154" s="49"/>
      <x:c r="U154" s="49"/>
      <x:c r="V154" s="49"/>
      <x:c r="W154" s="49"/>
      <x:c r="X154" s="49"/>
      <x:c r="Y154" s="49"/>
      <x:c r="Z154" s="49"/>
      <x:c r="AA154" s="49"/>
      <x:c r="AB154" s="49"/>
      <x:c r="AC154" s="49"/>
      <x:c r="AD154" s="49"/>
      <x:c r="AE154" s="49"/>
      <x:c r="AF154" s="49"/>
      <x:c r="AG154" s="49"/>
      <x:c r="AH154" s="49"/>
      <x:c r="AI154" s="49"/>
      <x:c r="AJ154" s="49"/>
      <x:c r="AK154" s="49"/>
      <x:c r="AL154" s="49"/>
      <x:c r="AM154" s="49"/>
      <x:c r="AN154" s="49"/>
      <x:c r="AO154" s="49"/>
      <x:c r="AP154" s="49"/>
      <x:c r="AQ154" s="49"/>
      <x:c r="AR154" s="49"/>
      <x:c r="AS154" s="49"/>
      <x:c r="AT154" s="49"/>
      <x:c r="AU154" s="49"/>
      <x:c r="AV154" s="49"/>
      <x:c r="AW154" s="49"/>
      <x:c r="AX154" s="49"/>
      <x:c r="AY154" s="49"/>
      <x:c r="AZ154" s="49"/>
    </x:row>
    <x:row r="155">
      <x:c r="A155" s="49"/>
      <x:c r="B155" s="49"/>
      <x:c r="C155" s="49"/>
      <x:c r="D155" s="49"/>
      <x:c r="E155" s="49"/>
      <x:c r="F155" s="49"/>
      <x:c r="G155" s="49"/>
      <x:c r="H155" s="49"/>
      <x:c r="I155" s="49"/>
      <x:c r="J155" s="49"/>
      <x:c r="K155" s="49"/>
      <x:c r="L155" s="49"/>
      <x:c r="M155" s="49"/>
      <x:c r="N155" s="49"/>
      <x:c r="O155" s="49"/>
      <x:c r="P155" s="49"/>
      <x:c r="Q155" s="49"/>
      <x:c r="R155" s="49"/>
      <x:c r="S155" s="49"/>
      <x:c r="T155" s="49"/>
      <x:c r="U155" s="49"/>
      <x:c r="V155" s="49"/>
      <x:c r="W155" s="49"/>
      <x:c r="X155" s="49"/>
      <x:c r="Y155" s="49"/>
      <x:c r="Z155" s="49"/>
      <x:c r="AA155" s="49"/>
      <x:c r="AB155" s="49"/>
      <x:c r="AC155" s="49"/>
      <x:c r="AD155" s="49"/>
      <x:c r="AE155" s="49"/>
      <x:c r="AF155" s="49"/>
      <x:c r="AG155" s="49"/>
      <x:c r="AH155" s="49"/>
      <x:c r="AI155" s="49"/>
      <x:c r="AJ155" s="49"/>
      <x:c r="AK155" s="49"/>
      <x:c r="AL155" s="49"/>
      <x:c r="AM155" s="49"/>
      <x:c r="AN155" s="49"/>
      <x:c r="AO155" s="49"/>
      <x:c r="AP155" s="49"/>
      <x:c r="AQ155" s="49"/>
      <x:c r="AR155" s="49"/>
      <x:c r="AS155" s="49"/>
      <x:c r="AT155" s="49"/>
      <x:c r="AU155" s="49"/>
      <x:c r="AV155" s="49"/>
      <x:c r="AW155" s="49"/>
      <x:c r="AX155" s="49"/>
      <x:c r="AY155" s="49"/>
      <x:c r="AZ155" s="49"/>
    </x:row>
    <x:row r="156">
      <x:c r="A156" s="49"/>
      <x:c r="B156" s="49"/>
      <x:c r="C156" s="49"/>
      <x:c r="D156" s="49"/>
      <x:c r="E156" s="49"/>
      <x:c r="F156" s="49"/>
      <x:c r="G156" s="49"/>
      <x:c r="H156" s="49"/>
      <x:c r="I156" s="49"/>
      <x:c r="J156" s="49"/>
      <x:c r="K156" s="49"/>
      <x:c r="L156" s="49"/>
      <x:c r="M156" s="49"/>
      <x:c r="N156" s="49"/>
      <x:c r="O156" s="49"/>
      <x:c r="P156" s="49"/>
      <x:c r="Q156" s="49"/>
      <x:c r="R156" s="49"/>
      <x:c r="S156" s="49"/>
      <x:c r="T156" s="49"/>
      <x:c r="U156" s="49"/>
      <x:c r="V156" s="49"/>
      <x:c r="W156" s="49"/>
      <x:c r="X156" s="49"/>
      <x:c r="Y156" s="49"/>
      <x:c r="Z156" s="49"/>
      <x:c r="AA156" s="49"/>
      <x:c r="AB156" s="49"/>
      <x:c r="AC156" s="49"/>
      <x:c r="AD156" s="49"/>
      <x:c r="AE156" s="49"/>
      <x:c r="AF156" s="49"/>
      <x:c r="AG156" s="49"/>
      <x:c r="AH156" s="49"/>
      <x:c r="AI156" s="49"/>
      <x:c r="AJ156" s="49"/>
      <x:c r="AK156" s="49"/>
      <x:c r="AL156" s="49"/>
      <x:c r="AM156" s="49"/>
      <x:c r="AN156" s="49"/>
      <x:c r="AO156" s="49"/>
      <x:c r="AP156" s="49"/>
      <x:c r="AQ156" s="49"/>
      <x:c r="AR156" s="49"/>
      <x:c r="AS156" s="49"/>
      <x:c r="AT156" s="49"/>
      <x:c r="AU156" s="49"/>
      <x:c r="AV156" s="49"/>
      <x:c r="AW156" s="49"/>
      <x:c r="AX156" s="49"/>
      <x:c r="AY156" s="49"/>
      <x:c r="AZ156" s="49"/>
    </x:row>
    <x:row r="157">
      <x:c r="A157" s="49"/>
      <x:c r="B157" s="49"/>
      <x:c r="C157" s="49"/>
      <x:c r="D157" s="49"/>
      <x:c r="E157" s="49"/>
      <x:c r="F157" s="49"/>
      <x:c r="G157" s="49"/>
      <x:c r="H157" s="49"/>
      <x:c r="I157" s="49"/>
      <x:c r="J157" s="49"/>
      <x:c r="K157" s="49"/>
      <x:c r="L157" s="49"/>
      <x:c r="M157" s="49"/>
      <x:c r="N157" s="49"/>
      <x:c r="O157" s="49"/>
      <x:c r="P157" s="49"/>
      <x:c r="Q157" s="49"/>
      <x:c r="R157" s="49"/>
      <x:c r="S157" s="49"/>
      <x:c r="T157" s="49"/>
      <x:c r="U157" s="49"/>
      <x:c r="V157" s="49"/>
      <x:c r="W157" s="49"/>
      <x:c r="X157" s="49"/>
      <x:c r="Y157" s="49"/>
      <x:c r="Z157" s="49"/>
      <x:c r="AA157" s="49"/>
      <x:c r="AB157" s="49"/>
      <x:c r="AC157" s="49"/>
      <x:c r="AD157" s="49"/>
      <x:c r="AE157" s="49"/>
      <x:c r="AF157" s="49"/>
      <x:c r="AG157" s="49"/>
      <x:c r="AH157" s="49"/>
      <x:c r="AI157" s="49"/>
      <x:c r="AJ157" s="49"/>
      <x:c r="AK157" s="49"/>
      <x:c r="AL157" s="49"/>
      <x:c r="AM157" s="49"/>
      <x:c r="AN157" s="49"/>
      <x:c r="AO157" s="49"/>
      <x:c r="AP157" s="49"/>
      <x:c r="AQ157" s="49"/>
      <x:c r="AR157" s="49"/>
      <x:c r="AS157" s="49"/>
      <x:c r="AT157" s="49"/>
      <x:c r="AU157" s="49"/>
      <x:c r="AV157" s="49"/>
      <x:c r="AW157" s="49"/>
      <x:c r="AX157" s="49"/>
      <x:c r="AY157" s="49"/>
      <x:c r="AZ157" s="49"/>
    </x:row>
    <x:row r="158">
      <x:c r="A158" s="49"/>
      <x:c r="B158" s="49"/>
      <x:c r="C158" s="49"/>
      <x:c r="D158" s="49"/>
      <x:c r="E158" s="49"/>
      <x:c r="F158" s="49"/>
      <x:c r="G158" s="49"/>
      <x:c r="H158" s="49"/>
      <x:c r="I158" s="49"/>
      <x:c r="J158" s="49"/>
      <x:c r="K158" s="49"/>
      <x:c r="L158" s="49"/>
      <x:c r="M158" s="49"/>
      <x:c r="N158" s="49"/>
      <x:c r="O158" s="49"/>
      <x:c r="P158" s="49"/>
      <x:c r="Q158" s="49"/>
      <x:c r="R158" s="49"/>
      <x:c r="S158" s="49"/>
      <x:c r="T158" s="49"/>
      <x:c r="U158" s="49"/>
      <x:c r="V158" s="49"/>
      <x:c r="W158" s="49"/>
      <x:c r="X158" s="49"/>
      <x:c r="Y158" s="49"/>
      <x:c r="Z158" s="49"/>
      <x:c r="AA158" s="49"/>
      <x:c r="AB158" s="49"/>
      <x:c r="AC158" s="49"/>
      <x:c r="AD158" s="49"/>
      <x:c r="AE158" s="49"/>
      <x:c r="AF158" s="49"/>
      <x:c r="AG158" s="49"/>
      <x:c r="AH158" s="49"/>
      <x:c r="AI158" s="49"/>
      <x:c r="AJ158" s="49"/>
      <x:c r="AK158" s="49"/>
      <x:c r="AL158" s="49"/>
      <x:c r="AM158" s="49"/>
      <x:c r="AN158" s="49"/>
      <x:c r="AO158" s="49"/>
      <x:c r="AP158" s="49"/>
      <x:c r="AQ158" s="49"/>
      <x:c r="AR158" s="49"/>
      <x:c r="AS158" s="49"/>
      <x:c r="AT158" s="49"/>
      <x:c r="AU158" s="49"/>
      <x:c r="AV158" s="49"/>
      <x:c r="AW158" s="49"/>
      <x:c r="AX158" s="49"/>
      <x:c r="AY158" s="49"/>
      <x:c r="AZ158" s="49"/>
    </x:row>
    <x:row r="159">
      <x:c r="A159" s="49"/>
      <x:c r="B159" s="49"/>
      <x:c r="C159" s="49"/>
      <x:c r="D159" s="49"/>
      <x:c r="E159" s="49"/>
      <x:c r="F159" s="49"/>
      <x:c r="G159" s="49"/>
      <x:c r="H159" s="49"/>
      <x:c r="I159" s="49"/>
      <x:c r="J159" s="49"/>
      <x:c r="K159" s="49"/>
      <x:c r="L159" s="49"/>
      <x:c r="M159" s="49"/>
      <x:c r="N159" s="49"/>
      <x:c r="O159" s="49"/>
      <x:c r="P159" s="49"/>
      <x:c r="Q159" s="49"/>
      <x:c r="R159" s="49"/>
      <x:c r="S159" s="49"/>
      <x:c r="T159" s="49"/>
      <x:c r="U159" s="49"/>
      <x:c r="V159" s="49"/>
      <x:c r="W159" s="49"/>
      <x:c r="X159" s="49"/>
      <x:c r="Y159" s="49"/>
      <x:c r="Z159" s="49"/>
      <x:c r="AA159" s="49"/>
      <x:c r="AB159" s="49"/>
      <x:c r="AC159" s="49"/>
      <x:c r="AD159" s="49"/>
      <x:c r="AE159" s="49"/>
      <x:c r="AF159" s="49"/>
      <x:c r="AG159" s="49"/>
      <x:c r="AH159" s="49"/>
      <x:c r="AI159" s="49"/>
      <x:c r="AJ159" s="49"/>
      <x:c r="AK159" s="49"/>
      <x:c r="AL159" s="49"/>
      <x:c r="AM159" s="49"/>
      <x:c r="AN159" s="49"/>
      <x:c r="AO159" s="49"/>
      <x:c r="AP159" s="49"/>
      <x:c r="AQ159" s="49"/>
      <x:c r="AR159" s="49"/>
      <x:c r="AS159" s="49"/>
      <x:c r="AT159" s="49"/>
      <x:c r="AU159" s="49"/>
      <x:c r="AV159" s="49"/>
      <x:c r="AW159" s="49"/>
      <x:c r="AX159" s="49"/>
      <x:c r="AY159" s="49"/>
      <x:c r="AZ159" s="49"/>
    </x:row>
    <x:row r="160">
      <x:c r="A160" s="49"/>
      <x:c r="B160" s="49"/>
      <x:c r="C160" s="49"/>
      <x:c r="D160" s="49"/>
      <x:c r="E160" s="49"/>
      <x:c r="F160" s="49"/>
      <x:c r="G160" s="49"/>
      <x:c r="H160" s="49"/>
      <x:c r="I160" s="49"/>
      <x:c r="J160" s="49"/>
      <x:c r="K160" s="49"/>
      <x:c r="L160" s="49"/>
      <x:c r="M160" s="49"/>
      <x:c r="N160" s="49"/>
      <x:c r="O160" s="49"/>
      <x:c r="P160" s="49"/>
      <x:c r="Q160" s="49"/>
      <x:c r="R160" s="49"/>
      <x:c r="S160" s="49"/>
      <x:c r="T160" s="49"/>
      <x:c r="U160" s="49"/>
      <x:c r="V160" s="49"/>
      <x:c r="W160" s="49"/>
      <x:c r="X160" s="49"/>
      <x:c r="Y160" s="49"/>
      <x:c r="Z160" s="49"/>
      <x:c r="AA160" s="49"/>
      <x:c r="AB160" s="49"/>
      <x:c r="AC160" s="49"/>
      <x:c r="AD160" s="49"/>
      <x:c r="AE160" s="49"/>
      <x:c r="AF160" s="49"/>
      <x:c r="AG160" s="49"/>
      <x:c r="AH160" s="49"/>
      <x:c r="AI160" s="49"/>
      <x:c r="AJ160" s="49"/>
      <x:c r="AK160" s="49"/>
      <x:c r="AL160" s="49"/>
      <x:c r="AM160" s="49"/>
      <x:c r="AN160" s="49"/>
      <x:c r="AO160" s="49"/>
      <x:c r="AP160" s="49"/>
      <x:c r="AQ160" s="49"/>
      <x:c r="AR160" s="49"/>
      <x:c r="AS160" s="49"/>
      <x:c r="AT160" s="49"/>
      <x:c r="AU160" s="49"/>
      <x:c r="AV160" s="49"/>
      <x:c r="AW160" s="49"/>
      <x:c r="AX160" s="49"/>
      <x:c r="AY160" s="49"/>
      <x:c r="AZ160" s="49"/>
    </x:row>
    <x:row r="161">
      <x:c r="A161" s="49"/>
      <x:c r="B161" s="49"/>
      <x:c r="C161" s="49"/>
      <x:c r="D161" s="49"/>
      <x:c r="E161" s="49"/>
      <x:c r="F161" s="49"/>
      <x:c r="G161" s="49"/>
      <x:c r="H161" s="49"/>
      <x:c r="I161" s="49"/>
      <x:c r="J161" s="49"/>
      <x:c r="K161" s="49"/>
      <x:c r="L161" s="49"/>
      <x:c r="M161" s="49"/>
      <x:c r="N161" s="49"/>
      <x:c r="O161" s="49"/>
      <x:c r="P161" s="49"/>
      <x:c r="Q161" s="49"/>
      <x:c r="R161" s="49"/>
      <x:c r="S161" s="49"/>
      <x:c r="T161" s="49"/>
      <x:c r="U161" s="49"/>
      <x:c r="V161" s="49"/>
      <x:c r="W161" s="49"/>
      <x:c r="X161" s="49"/>
      <x:c r="Y161" s="49"/>
      <x:c r="Z161" s="49"/>
      <x:c r="AA161" s="49"/>
      <x:c r="AB161" s="49"/>
      <x:c r="AC161" s="49"/>
      <x:c r="AD161" s="49"/>
      <x:c r="AE161" s="49"/>
      <x:c r="AF161" s="49"/>
      <x:c r="AG161" s="49"/>
      <x:c r="AH161" s="49"/>
      <x:c r="AI161" s="49"/>
      <x:c r="AJ161" s="49"/>
      <x:c r="AK161" s="49"/>
      <x:c r="AL161" s="49"/>
      <x:c r="AM161" s="49"/>
      <x:c r="AN161" s="49"/>
      <x:c r="AO161" s="49"/>
      <x:c r="AP161" s="49"/>
      <x:c r="AQ161" s="49"/>
      <x:c r="AR161" s="49"/>
      <x:c r="AS161" s="49"/>
      <x:c r="AT161" s="49"/>
      <x:c r="AU161" s="49"/>
      <x:c r="AV161" s="49"/>
      <x:c r="AW161" s="49"/>
      <x:c r="AX161" s="49"/>
      <x:c r="AY161" s="49"/>
      <x:c r="AZ161" s="49"/>
    </x:row>
    <x:row r="162">
      <x:c r="A162" s="49"/>
      <x:c r="B162" s="49"/>
      <x:c r="C162" s="49"/>
      <x:c r="D162" s="49"/>
      <x:c r="E162" s="49"/>
      <x:c r="F162" s="49"/>
      <x:c r="G162" s="49"/>
      <x:c r="H162" s="49"/>
      <x:c r="I162" s="49"/>
      <x:c r="J162" s="49"/>
      <x:c r="K162" s="49"/>
      <x:c r="L162" s="49"/>
      <x:c r="M162" s="49"/>
      <x:c r="N162" s="49"/>
      <x:c r="O162" s="49"/>
      <x:c r="P162" s="49"/>
      <x:c r="Q162" s="49"/>
      <x:c r="R162" s="49"/>
      <x:c r="S162" s="49"/>
      <x:c r="T162" s="49"/>
      <x:c r="U162" s="49"/>
      <x:c r="V162" s="49"/>
      <x:c r="W162" s="49"/>
      <x:c r="X162" s="49"/>
      <x:c r="Y162" s="49"/>
      <x:c r="Z162" s="49"/>
      <x:c r="AA162" s="49"/>
      <x:c r="AB162" s="49"/>
      <x:c r="AC162" s="49"/>
      <x:c r="AD162" s="49"/>
      <x:c r="AE162" s="49"/>
      <x:c r="AF162" s="49"/>
      <x:c r="AG162" s="49"/>
      <x:c r="AH162" s="49"/>
      <x:c r="AI162" s="49"/>
      <x:c r="AJ162" s="49"/>
      <x:c r="AK162" s="49"/>
      <x:c r="AL162" s="49"/>
      <x:c r="AM162" s="49"/>
      <x:c r="AN162" s="49"/>
      <x:c r="AO162" s="49"/>
      <x:c r="AP162" s="49"/>
      <x:c r="AQ162" s="49"/>
      <x:c r="AR162" s="49"/>
      <x:c r="AS162" s="49"/>
      <x:c r="AT162" s="49"/>
      <x:c r="AU162" s="49"/>
      <x:c r="AV162" s="49"/>
      <x:c r="AW162" s="49"/>
      <x:c r="AX162" s="49"/>
      <x:c r="AY162" s="49"/>
      <x:c r="AZ162" s="49"/>
    </x:row>
    <x:row r="163">
      <x:c r="A163" s="49"/>
      <x:c r="B163" s="49"/>
      <x:c r="C163" s="49"/>
      <x:c r="D163" s="49"/>
      <x:c r="E163" s="49"/>
      <x:c r="F163" s="49"/>
      <x:c r="G163" s="49"/>
      <x:c r="H163" s="49"/>
      <x:c r="I163" s="49"/>
      <x:c r="J163" s="49"/>
      <x:c r="K163" s="49"/>
      <x:c r="L163" s="49"/>
      <x:c r="M163" s="49"/>
      <x:c r="N163" s="49"/>
      <x:c r="O163" s="49"/>
      <x:c r="P163" s="49"/>
      <x:c r="Q163" s="49"/>
      <x:c r="R163" s="49"/>
      <x:c r="S163" s="49"/>
      <x:c r="T163" s="49"/>
      <x:c r="U163" s="49"/>
      <x:c r="V163" s="49"/>
      <x:c r="W163" s="49"/>
      <x:c r="X163" s="49"/>
      <x:c r="Y163" s="49"/>
      <x:c r="Z163" s="49"/>
      <x:c r="AA163" s="49"/>
      <x:c r="AB163" s="49"/>
      <x:c r="AC163" s="49"/>
      <x:c r="AD163" s="49"/>
      <x:c r="AE163" s="49"/>
      <x:c r="AF163" s="49"/>
      <x:c r="AG163" s="49"/>
      <x:c r="AH163" s="49"/>
      <x:c r="AI163" s="49"/>
      <x:c r="AJ163" s="49"/>
      <x:c r="AK163" s="49"/>
      <x:c r="AL163" s="49"/>
      <x:c r="AM163" s="49"/>
      <x:c r="AN163" s="49"/>
      <x:c r="AO163" s="49"/>
      <x:c r="AP163" s="49"/>
      <x:c r="AQ163" s="49"/>
      <x:c r="AR163" s="49"/>
      <x:c r="AS163" s="49"/>
      <x:c r="AT163" s="49"/>
      <x:c r="AU163" s="49"/>
      <x:c r="AV163" s="49"/>
      <x:c r="AW163" s="49"/>
      <x:c r="AX163" s="49"/>
      <x:c r="AY163" s="49"/>
      <x:c r="AZ163" s="49"/>
    </x:row>
    <x:row r="164">
      <x:c r="A164" s="49"/>
      <x:c r="B164" s="49"/>
      <x:c r="C164" s="49"/>
      <x:c r="D164" s="49"/>
      <x:c r="E164" s="49"/>
      <x:c r="F164" s="49"/>
      <x:c r="G164" s="49"/>
      <x:c r="H164" s="49"/>
      <x:c r="I164" s="49"/>
      <x:c r="J164" s="49"/>
      <x:c r="K164" s="49"/>
      <x:c r="L164" s="49"/>
      <x:c r="M164" s="49"/>
      <x:c r="N164" s="49"/>
      <x:c r="O164" s="49"/>
      <x:c r="P164" s="49"/>
      <x:c r="Q164" s="49"/>
      <x:c r="R164" s="49"/>
      <x:c r="S164" s="49"/>
      <x:c r="T164" s="49"/>
      <x:c r="U164" s="49"/>
      <x:c r="V164" s="49"/>
      <x:c r="W164" s="49"/>
      <x:c r="X164" s="49"/>
      <x:c r="Y164" s="49"/>
      <x:c r="Z164" s="49"/>
      <x:c r="AA164" s="49"/>
      <x:c r="AB164" s="49"/>
      <x:c r="AC164" s="49"/>
      <x:c r="AD164" s="49"/>
      <x:c r="AE164" s="49"/>
      <x:c r="AF164" s="49"/>
      <x:c r="AG164" s="49"/>
      <x:c r="AH164" s="49"/>
      <x:c r="AI164" s="49"/>
      <x:c r="AJ164" s="49"/>
      <x:c r="AK164" s="49"/>
      <x:c r="AL164" s="49"/>
      <x:c r="AM164" s="49"/>
      <x:c r="AN164" s="49"/>
      <x:c r="AO164" s="49"/>
      <x:c r="AP164" s="49"/>
      <x:c r="AQ164" s="49"/>
      <x:c r="AR164" s="49"/>
      <x:c r="AS164" s="49"/>
      <x:c r="AT164" s="49"/>
      <x:c r="AU164" s="49"/>
      <x:c r="AV164" s="49"/>
      <x:c r="AW164" s="49"/>
      <x:c r="AX164" s="49"/>
      <x:c r="AY164" s="49"/>
      <x:c r="AZ164" s="49"/>
    </x:row>
    <x:row r="165">
      <x:c r="A165" s="49"/>
      <x:c r="B165" s="49"/>
      <x:c r="C165" s="49"/>
      <x:c r="D165" s="49"/>
      <x:c r="E165" s="49"/>
      <x:c r="F165" s="49"/>
      <x:c r="G165" s="49"/>
      <x:c r="H165" s="49"/>
      <x:c r="I165" s="49"/>
      <x:c r="J165" s="49"/>
      <x:c r="K165" s="49"/>
      <x:c r="L165" s="49"/>
      <x:c r="M165" s="49"/>
      <x:c r="N165" s="49"/>
      <x:c r="O165" s="49"/>
      <x:c r="P165" s="49"/>
      <x:c r="Q165" s="49"/>
      <x:c r="R165" s="49"/>
      <x:c r="S165" s="49"/>
      <x:c r="T165" s="49"/>
      <x:c r="U165" s="49"/>
      <x:c r="V165" s="49"/>
      <x:c r="W165" s="49"/>
      <x:c r="X165" s="49"/>
      <x:c r="Y165" s="49"/>
      <x:c r="Z165" s="49"/>
      <x:c r="AA165" s="49"/>
      <x:c r="AB165" s="49"/>
      <x:c r="AC165" s="49"/>
      <x:c r="AD165" s="49"/>
      <x:c r="AE165" s="49"/>
      <x:c r="AF165" s="49"/>
      <x:c r="AG165" s="49"/>
      <x:c r="AH165" s="49"/>
      <x:c r="AI165" s="49"/>
      <x:c r="AJ165" s="49"/>
      <x:c r="AK165" s="49"/>
      <x:c r="AL165" s="49"/>
      <x:c r="AM165" s="49"/>
      <x:c r="AN165" s="49"/>
      <x:c r="AO165" s="49"/>
      <x:c r="AP165" s="49"/>
      <x:c r="AQ165" s="49"/>
      <x:c r="AR165" s="49"/>
      <x:c r="AS165" s="49"/>
      <x:c r="AT165" s="49"/>
      <x:c r="AU165" s="49"/>
      <x:c r="AV165" s="49"/>
      <x:c r="AW165" s="49"/>
      <x:c r="AX165" s="49"/>
      <x:c r="AY165" s="49"/>
      <x:c r="AZ165" s="49"/>
    </x:row>
    <x:row r="166">
      <x:c r="A166" s="49"/>
      <x:c r="B166" s="49"/>
      <x:c r="C166" s="49"/>
      <x:c r="D166" s="49"/>
      <x:c r="E166" s="49"/>
      <x:c r="F166" s="49"/>
      <x:c r="G166" s="49"/>
      <x:c r="H166" s="49"/>
      <x:c r="I166" s="49"/>
      <x:c r="J166" s="49"/>
      <x:c r="K166" s="49"/>
      <x:c r="L166" s="49"/>
      <x:c r="M166" s="49"/>
      <x:c r="N166" s="49"/>
      <x:c r="O166" s="49"/>
      <x:c r="P166" s="49"/>
      <x:c r="Q166" s="49"/>
      <x:c r="R166" s="49"/>
      <x:c r="S166" s="49"/>
      <x:c r="T166" s="49"/>
      <x:c r="U166" s="49"/>
      <x:c r="V166" s="49"/>
      <x:c r="W166" s="49"/>
      <x:c r="X166" s="49"/>
      <x:c r="Y166" s="49"/>
      <x:c r="Z166" s="49"/>
      <x:c r="AA166" s="49"/>
      <x:c r="AB166" s="49"/>
      <x:c r="AC166" s="49"/>
      <x:c r="AD166" s="49"/>
      <x:c r="AE166" s="49"/>
      <x:c r="AF166" s="49"/>
      <x:c r="AG166" s="49"/>
      <x:c r="AH166" s="49"/>
      <x:c r="AI166" s="49"/>
      <x:c r="AJ166" s="49"/>
      <x:c r="AK166" s="49"/>
      <x:c r="AL166" s="49"/>
      <x:c r="AM166" s="49"/>
      <x:c r="AN166" s="49"/>
      <x:c r="AO166" s="49"/>
      <x:c r="AP166" s="49"/>
      <x:c r="AQ166" s="49"/>
      <x:c r="AR166" s="49"/>
      <x:c r="AS166" s="49"/>
      <x:c r="AT166" s="49"/>
      <x:c r="AU166" s="49"/>
      <x:c r="AV166" s="49"/>
      <x:c r="AW166" s="49"/>
      <x:c r="AX166" s="49"/>
      <x:c r="AY166" s="49"/>
      <x:c r="AZ166" s="49"/>
    </x:row>
    <x:row r="167">
      <x:c r="A167" s="49"/>
      <x:c r="B167" s="49"/>
      <x:c r="C167" s="49"/>
      <x:c r="D167" s="49"/>
      <x:c r="E167" s="49"/>
      <x:c r="F167" s="49"/>
      <x:c r="G167" s="49"/>
      <x:c r="H167" s="49"/>
      <x:c r="I167" s="49"/>
      <x:c r="J167" s="49"/>
      <x:c r="K167" s="49"/>
      <x:c r="L167" s="49"/>
      <x:c r="M167" s="49"/>
      <x:c r="N167" s="49"/>
      <x:c r="O167" s="49"/>
      <x:c r="P167" s="49"/>
      <x:c r="Q167" s="49"/>
      <x:c r="R167" s="49"/>
      <x:c r="S167" s="49"/>
      <x:c r="T167" s="49"/>
      <x:c r="U167" s="49"/>
      <x:c r="V167" s="49"/>
      <x:c r="W167" s="49"/>
      <x:c r="X167" s="49"/>
      <x:c r="Y167" s="49"/>
      <x:c r="Z167" s="49"/>
      <x:c r="AA167" s="49"/>
      <x:c r="AB167" s="49"/>
      <x:c r="AC167" s="49"/>
      <x:c r="AD167" s="49"/>
      <x:c r="AE167" s="49"/>
      <x:c r="AF167" s="49"/>
      <x:c r="AG167" s="49"/>
      <x:c r="AH167" s="49"/>
      <x:c r="AI167" s="49"/>
      <x:c r="AJ167" s="49"/>
      <x:c r="AK167" s="49"/>
      <x:c r="AL167" s="49"/>
      <x:c r="AM167" s="49"/>
      <x:c r="AN167" s="49"/>
      <x:c r="AO167" s="49"/>
      <x:c r="AP167" s="49"/>
      <x:c r="AQ167" s="49"/>
      <x:c r="AR167" s="49"/>
      <x:c r="AS167" s="49"/>
      <x:c r="AT167" s="49"/>
      <x:c r="AU167" s="49"/>
      <x:c r="AV167" s="49"/>
      <x:c r="AW167" s="49"/>
      <x:c r="AX167" s="49"/>
      <x:c r="AY167" s="49"/>
      <x:c r="AZ167" s="49"/>
    </x:row>
    <x:row r="168">
      <x:c r="A168" s="49"/>
      <x:c r="B168" s="49"/>
      <x:c r="C168" s="49"/>
      <x:c r="D168" s="49"/>
      <x:c r="E168" s="49"/>
      <x:c r="F168" s="49"/>
      <x:c r="G168" s="49"/>
      <x:c r="H168" s="49"/>
      <x:c r="I168" s="49"/>
      <x:c r="J168" s="49"/>
      <x:c r="K168" s="49"/>
      <x:c r="L168" s="49"/>
      <x:c r="M168" s="49"/>
      <x:c r="N168" s="49"/>
      <x:c r="O168" s="49"/>
      <x:c r="P168" s="49"/>
      <x:c r="Q168" s="49"/>
      <x:c r="R168" s="49"/>
      <x:c r="S168" s="49"/>
      <x:c r="T168" s="49"/>
      <x:c r="U168" s="49"/>
      <x:c r="V168" s="49"/>
      <x:c r="W168" s="49"/>
      <x:c r="X168" s="49"/>
      <x:c r="Y168" s="49"/>
      <x:c r="Z168" s="49"/>
      <x:c r="AA168" s="49"/>
      <x:c r="AB168" s="49"/>
      <x:c r="AC168" s="49"/>
      <x:c r="AD168" s="49"/>
      <x:c r="AE168" s="49"/>
      <x:c r="AF168" s="49"/>
      <x:c r="AG168" s="49"/>
      <x:c r="AH168" s="49"/>
      <x:c r="AI168" s="49"/>
      <x:c r="AJ168" s="49"/>
      <x:c r="AK168" s="49"/>
      <x:c r="AL168" s="49"/>
      <x:c r="AM168" s="49"/>
      <x:c r="AN168" s="49"/>
      <x:c r="AO168" s="49"/>
      <x:c r="AP168" s="49"/>
      <x:c r="AQ168" s="49"/>
      <x:c r="AR168" s="49"/>
      <x:c r="AS168" s="49"/>
      <x:c r="AT168" s="49"/>
      <x:c r="AU168" s="49"/>
      <x:c r="AV168" s="49"/>
      <x:c r="AW168" s="49"/>
      <x:c r="AX168" s="49"/>
      <x:c r="AY168" s="49"/>
      <x:c r="AZ168" s="49"/>
    </x:row>
    <x:row r="169">
      <x:c r="A169" s="49"/>
      <x:c r="B169" s="49"/>
      <x:c r="C169" s="49"/>
      <x:c r="D169" s="49"/>
      <x:c r="E169" s="49"/>
      <x:c r="F169" s="49"/>
      <x:c r="G169" s="49"/>
      <x:c r="H169" s="49"/>
      <x:c r="I169" s="49"/>
      <x:c r="J169" s="49"/>
      <x:c r="K169" s="49"/>
      <x:c r="L169" s="49"/>
      <x:c r="M169" s="49"/>
      <x:c r="N169" s="49"/>
      <x:c r="O169" s="49"/>
      <x:c r="P169" s="49"/>
      <x:c r="Q169" s="49"/>
      <x:c r="R169" s="49"/>
      <x:c r="S169" s="49"/>
      <x:c r="T169" s="49"/>
      <x:c r="U169" s="49"/>
      <x:c r="V169" s="49"/>
      <x:c r="W169" s="49"/>
      <x:c r="X169" s="49"/>
      <x:c r="Y169" s="49"/>
      <x:c r="Z169" s="49"/>
      <x:c r="AA169" s="49"/>
      <x:c r="AB169" s="49"/>
      <x:c r="AC169" s="49"/>
      <x:c r="AD169" s="49"/>
      <x:c r="AE169" s="49"/>
      <x:c r="AF169" s="49"/>
      <x:c r="AG169" s="49"/>
      <x:c r="AH169" s="49"/>
      <x:c r="AI169" s="49"/>
      <x:c r="AJ169" s="49"/>
      <x:c r="AK169" s="49"/>
      <x:c r="AL169" s="49"/>
      <x:c r="AM169" s="49"/>
      <x:c r="AN169" s="49"/>
      <x:c r="AO169" s="49"/>
      <x:c r="AP169" s="49"/>
      <x:c r="AQ169" s="49"/>
      <x:c r="AR169" s="49"/>
      <x:c r="AS169" s="49"/>
      <x:c r="AT169" s="49"/>
      <x:c r="AU169" s="49"/>
      <x:c r="AV169" s="49"/>
      <x:c r="AW169" s="49"/>
      <x:c r="AX169" s="49"/>
      <x:c r="AY169" s="49"/>
      <x:c r="AZ169" s="49"/>
    </x:row>
    <x:row r="170">
      <x:c r="A170" s="49"/>
      <x:c r="B170" s="49"/>
      <x:c r="C170" s="49"/>
      <x:c r="D170" s="49"/>
      <x:c r="E170" s="49"/>
      <x:c r="F170" s="49"/>
      <x:c r="G170" s="49"/>
      <x:c r="H170" s="49"/>
      <x:c r="I170" s="49"/>
      <x:c r="J170" s="49"/>
      <x:c r="K170" s="49"/>
      <x:c r="L170" s="49"/>
      <x:c r="M170" s="49"/>
      <x:c r="N170" s="49"/>
      <x:c r="O170" s="49"/>
      <x:c r="P170" s="49"/>
      <x:c r="Q170" s="49"/>
      <x:c r="R170" s="49"/>
      <x:c r="S170" s="49"/>
      <x:c r="T170" s="49"/>
      <x:c r="U170" s="49"/>
      <x:c r="V170" s="49"/>
      <x:c r="W170" s="49"/>
      <x:c r="X170" s="49"/>
      <x:c r="Y170" s="49"/>
      <x:c r="Z170" s="49"/>
      <x:c r="AA170" s="49"/>
      <x:c r="AB170" s="49"/>
      <x:c r="AC170" s="49"/>
      <x:c r="AD170" s="49"/>
      <x:c r="AE170" s="49"/>
      <x:c r="AF170" s="49"/>
      <x:c r="AG170" s="49"/>
      <x:c r="AH170" s="49"/>
      <x:c r="AI170" s="49"/>
      <x:c r="AJ170" s="49"/>
      <x:c r="AK170" s="49"/>
      <x:c r="AL170" s="49"/>
      <x:c r="AM170" s="49"/>
      <x:c r="AN170" s="49"/>
      <x:c r="AO170" s="49"/>
      <x:c r="AP170" s="49"/>
      <x:c r="AQ170" s="49"/>
      <x:c r="AR170" s="49"/>
      <x:c r="AS170" s="49"/>
      <x:c r="AT170" s="49"/>
      <x:c r="AU170" s="49"/>
      <x:c r="AV170" s="49"/>
      <x:c r="AW170" s="49"/>
      <x:c r="AX170" s="49"/>
      <x:c r="AY170" s="49"/>
      <x:c r="AZ170" s="49"/>
    </x:row>
    <x:row r="171">
      <x:c r="A171" s="49"/>
      <x:c r="B171" s="49"/>
      <x:c r="C171" s="49"/>
      <x:c r="D171" s="49"/>
      <x:c r="E171" s="49"/>
      <x:c r="F171" s="49"/>
      <x:c r="G171" s="49"/>
      <x:c r="H171" s="49"/>
      <x:c r="I171" s="49"/>
      <x:c r="J171" s="49"/>
      <x:c r="K171" s="49"/>
      <x:c r="L171" s="49"/>
      <x:c r="M171" s="49"/>
      <x:c r="N171" s="49"/>
      <x:c r="O171" s="49"/>
      <x:c r="P171" s="49"/>
      <x:c r="Q171" s="49"/>
      <x:c r="R171" s="49"/>
      <x:c r="S171" s="49"/>
      <x:c r="T171" s="49"/>
      <x:c r="U171" s="49"/>
      <x:c r="V171" s="49"/>
      <x:c r="W171" s="49"/>
      <x:c r="X171" s="49"/>
      <x:c r="Y171" s="49"/>
      <x:c r="Z171" s="49"/>
      <x:c r="AA171" s="49"/>
      <x:c r="AB171" s="49"/>
      <x:c r="AC171" s="49"/>
      <x:c r="AD171" s="49"/>
      <x:c r="AE171" s="49"/>
      <x:c r="AF171" s="49"/>
      <x:c r="AG171" s="49"/>
      <x:c r="AH171" s="49"/>
      <x:c r="AI171" s="49"/>
      <x:c r="AJ171" s="49"/>
      <x:c r="AK171" s="49"/>
      <x:c r="AL171" s="49"/>
      <x:c r="AM171" s="49"/>
      <x:c r="AN171" s="49"/>
      <x:c r="AO171" s="49"/>
      <x:c r="AP171" s="49"/>
      <x:c r="AQ171" s="49"/>
      <x:c r="AR171" s="49"/>
      <x:c r="AS171" s="49"/>
      <x:c r="AT171" s="49"/>
      <x:c r="AU171" s="49"/>
      <x:c r="AV171" s="49"/>
      <x:c r="AW171" s="49"/>
      <x:c r="AX171" s="49"/>
      <x:c r="AY171" s="49"/>
      <x:c r="AZ171" s="49"/>
    </x:row>
    <x:row r="172">
      <x:c r="A172" s="49"/>
      <x:c r="B172" s="49"/>
      <x:c r="C172" s="49"/>
      <x:c r="D172" s="49"/>
      <x:c r="E172" s="49"/>
      <x:c r="F172" s="49"/>
      <x:c r="G172" s="49"/>
      <x:c r="H172" s="49"/>
      <x:c r="I172" s="49"/>
      <x:c r="J172" s="49"/>
      <x:c r="K172" s="49"/>
      <x:c r="L172" s="49"/>
      <x:c r="M172" s="49"/>
      <x:c r="N172" s="49"/>
      <x:c r="O172" s="49"/>
      <x:c r="P172" s="49"/>
      <x:c r="Q172" s="49"/>
      <x:c r="R172" s="49"/>
      <x:c r="S172" s="49"/>
      <x:c r="T172" s="49"/>
      <x:c r="U172" s="49"/>
      <x:c r="V172" s="49"/>
      <x:c r="W172" s="49"/>
      <x:c r="X172" s="49"/>
      <x:c r="Y172" s="49"/>
      <x:c r="Z172" s="49"/>
      <x:c r="AA172" s="49"/>
      <x:c r="AB172" s="49"/>
      <x:c r="AC172" s="49"/>
      <x:c r="AD172" s="49"/>
      <x:c r="AE172" s="49"/>
      <x:c r="AF172" s="49"/>
      <x:c r="AG172" s="49"/>
      <x:c r="AH172" s="49"/>
      <x:c r="AI172" s="49"/>
      <x:c r="AJ172" s="49"/>
      <x:c r="AK172" s="49"/>
      <x:c r="AL172" s="49"/>
      <x:c r="AM172" s="49"/>
      <x:c r="AN172" s="49"/>
      <x:c r="AO172" s="49"/>
      <x:c r="AP172" s="49"/>
      <x:c r="AQ172" s="49"/>
      <x:c r="AR172" s="49"/>
      <x:c r="AS172" s="49"/>
      <x:c r="AT172" s="49"/>
      <x:c r="AU172" s="49"/>
      <x:c r="AV172" s="49"/>
      <x:c r="AW172" s="49"/>
      <x:c r="AX172" s="49"/>
      <x:c r="AY172" s="49"/>
      <x:c r="AZ172" s="49"/>
    </x:row>
    <x:row r="173">
      <x:c r="A173" s="49"/>
      <x:c r="B173" s="49"/>
      <x:c r="C173" s="49"/>
      <x:c r="D173" s="49"/>
      <x:c r="E173" s="49"/>
      <x:c r="F173" s="49"/>
      <x:c r="G173" s="49"/>
      <x:c r="H173" s="49"/>
      <x:c r="I173" s="49"/>
      <x:c r="J173" s="49"/>
      <x:c r="K173" s="49"/>
      <x:c r="L173" s="49"/>
      <x:c r="M173" s="49"/>
      <x:c r="N173" s="49"/>
      <x:c r="O173" s="49"/>
      <x:c r="P173" s="49"/>
      <x:c r="Q173" s="49"/>
      <x:c r="R173" s="49"/>
      <x:c r="S173" s="49"/>
      <x:c r="T173" s="49"/>
      <x:c r="U173" s="49"/>
      <x:c r="V173" s="49"/>
      <x:c r="W173" s="49"/>
      <x:c r="X173" s="49"/>
      <x:c r="Y173" s="49"/>
      <x:c r="Z173" s="49"/>
      <x:c r="AA173" s="49"/>
      <x:c r="AB173" s="49"/>
      <x:c r="AC173" s="49"/>
      <x:c r="AD173" s="49"/>
      <x:c r="AE173" s="49"/>
      <x:c r="AF173" s="49"/>
      <x:c r="AG173" s="49"/>
      <x:c r="AH173" s="49"/>
      <x:c r="AI173" s="49"/>
      <x:c r="AJ173" s="49"/>
      <x:c r="AK173" s="49"/>
      <x:c r="AL173" s="49"/>
      <x:c r="AM173" s="49"/>
      <x:c r="AN173" s="49"/>
      <x:c r="AO173" s="49"/>
      <x:c r="AP173" s="49"/>
      <x:c r="AQ173" s="49"/>
      <x:c r="AR173" s="49"/>
      <x:c r="AS173" s="49"/>
      <x:c r="AT173" s="49"/>
      <x:c r="AU173" s="49"/>
      <x:c r="AV173" s="49"/>
      <x:c r="AW173" s="49"/>
      <x:c r="AX173" s="49"/>
      <x:c r="AY173" s="49"/>
      <x:c r="AZ173" s="49"/>
    </x:row>
    <x:row r="174">
      <x:c r="A174" s="49"/>
      <x:c r="B174" s="49"/>
      <x:c r="C174" s="49"/>
      <x:c r="D174" s="49"/>
      <x:c r="E174" s="49"/>
      <x:c r="F174" s="49"/>
      <x:c r="G174" s="49"/>
      <x:c r="H174" s="49"/>
      <x:c r="I174" s="49"/>
      <x:c r="J174" s="49"/>
      <x:c r="K174" s="49"/>
      <x:c r="L174" s="49"/>
      <x:c r="M174" s="49"/>
      <x:c r="N174" s="49"/>
      <x:c r="O174" s="49"/>
      <x:c r="P174" s="49"/>
      <x:c r="Q174" s="49"/>
      <x:c r="R174" s="49"/>
      <x:c r="S174" s="49"/>
      <x:c r="T174" s="49"/>
      <x:c r="U174" s="49"/>
      <x:c r="V174" s="49"/>
      <x:c r="W174" s="49"/>
      <x:c r="X174" s="49"/>
      <x:c r="Y174" s="49"/>
      <x:c r="Z174" s="49"/>
      <x:c r="AA174" s="49"/>
      <x:c r="AB174" s="49"/>
      <x:c r="AC174" s="49"/>
      <x:c r="AD174" s="49"/>
      <x:c r="AE174" s="49"/>
      <x:c r="AF174" s="49"/>
      <x:c r="AG174" s="49"/>
      <x:c r="AH174" s="49"/>
      <x:c r="AI174" s="49"/>
      <x:c r="AJ174" s="49"/>
      <x:c r="AK174" s="49"/>
      <x:c r="AL174" s="49"/>
      <x:c r="AM174" s="49"/>
      <x:c r="AN174" s="49"/>
      <x:c r="AO174" s="49"/>
      <x:c r="AP174" s="49"/>
      <x:c r="AQ174" s="49"/>
      <x:c r="AR174" s="49"/>
      <x:c r="AS174" s="49"/>
      <x:c r="AT174" s="49"/>
      <x:c r="AU174" s="49"/>
      <x:c r="AV174" s="49"/>
      <x:c r="AW174" s="49"/>
      <x:c r="AX174" s="49"/>
      <x:c r="AY174" s="49"/>
      <x:c r="AZ174" s="49"/>
    </x:row>
    <x:row r="175">
      <x:c r="A175" s="49"/>
      <x:c r="B175" s="49"/>
      <x:c r="C175" s="49"/>
      <x:c r="D175" s="49"/>
      <x:c r="E175" s="49"/>
      <x:c r="F175" s="49"/>
      <x:c r="G175" s="49"/>
      <x:c r="H175" s="49"/>
      <x:c r="I175" s="49"/>
      <x:c r="J175" s="49"/>
      <x:c r="K175" s="49"/>
      <x:c r="L175" s="49"/>
      <x:c r="M175" s="49"/>
      <x:c r="N175" s="49"/>
      <x:c r="O175" s="49"/>
      <x:c r="P175" s="49"/>
      <x:c r="Q175" s="49"/>
      <x:c r="R175" s="49"/>
      <x:c r="S175" s="49"/>
      <x:c r="T175" s="49"/>
      <x:c r="U175" s="49"/>
      <x:c r="V175" s="49"/>
      <x:c r="W175" s="49"/>
      <x:c r="X175" s="49"/>
      <x:c r="Y175" s="49"/>
      <x:c r="Z175" s="49"/>
      <x:c r="AA175" s="49"/>
      <x:c r="AB175" s="49"/>
      <x:c r="AC175" s="49"/>
      <x:c r="AD175" s="49"/>
      <x:c r="AE175" s="49"/>
      <x:c r="AF175" s="49"/>
      <x:c r="AG175" s="49"/>
      <x:c r="AH175" s="49"/>
      <x:c r="AI175" s="49"/>
      <x:c r="AJ175" s="49"/>
      <x:c r="AK175" s="49"/>
      <x:c r="AL175" s="49"/>
      <x:c r="AM175" s="49"/>
      <x:c r="AN175" s="49"/>
      <x:c r="AO175" s="49"/>
      <x:c r="AP175" s="49"/>
      <x:c r="AQ175" s="49"/>
      <x:c r="AR175" s="49"/>
      <x:c r="AS175" s="49"/>
      <x:c r="AT175" s="49"/>
      <x:c r="AU175" s="49"/>
      <x:c r="AV175" s="49"/>
      <x:c r="AW175" s="49"/>
      <x:c r="AX175" s="49"/>
      <x:c r="AY175" s="49"/>
      <x:c r="AZ175" s="49"/>
    </x:row>
    <x:row r="176">
      <x:c r="A176" s="49"/>
      <x:c r="B176" s="49"/>
      <x:c r="C176" s="49"/>
      <x:c r="D176" s="49"/>
      <x:c r="E176" s="49"/>
      <x:c r="F176" s="49"/>
      <x:c r="G176" s="49"/>
      <x:c r="H176" s="49"/>
      <x:c r="I176" s="49"/>
      <x:c r="J176" s="49"/>
      <x:c r="K176" s="49"/>
      <x:c r="L176" s="49"/>
      <x:c r="M176" s="49"/>
      <x:c r="N176" s="49"/>
      <x:c r="O176" s="49"/>
      <x:c r="P176" s="49"/>
      <x:c r="Q176" s="49"/>
      <x:c r="R176" s="49"/>
      <x:c r="S176" s="49"/>
      <x:c r="T176" s="49"/>
      <x:c r="U176" s="49"/>
      <x:c r="V176" s="49"/>
      <x:c r="W176" s="49"/>
      <x:c r="X176" s="49"/>
      <x:c r="Y176" s="49"/>
      <x:c r="Z176" s="49"/>
      <x:c r="AA176" s="49"/>
      <x:c r="AB176" s="49"/>
      <x:c r="AC176" s="49"/>
      <x:c r="AD176" s="49"/>
      <x:c r="AE176" s="49"/>
      <x:c r="AF176" s="49"/>
      <x:c r="AG176" s="49"/>
      <x:c r="AH176" s="49"/>
      <x:c r="AI176" s="49"/>
      <x:c r="AJ176" s="49"/>
      <x:c r="AK176" s="49"/>
      <x:c r="AL176" s="49"/>
      <x:c r="AM176" s="49"/>
      <x:c r="AN176" s="49"/>
      <x:c r="AO176" s="49"/>
      <x:c r="AP176" s="49"/>
      <x:c r="AQ176" s="49"/>
      <x:c r="AR176" s="49"/>
      <x:c r="AS176" s="49"/>
      <x:c r="AT176" s="49"/>
      <x:c r="AU176" s="49"/>
      <x:c r="AV176" s="49"/>
      <x:c r="AW176" s="49"/>
      <x:c r="AX176" s="49"/>
      <x:c r="AY176" s="49"/>
      <x:c r="AZ176" s="49"/>
    </x:row>
    <x:row r="177">
      <x:c r="A177" s="49"/>
      <x:c r="B177" s="49"/>
      <x:c r="C177" s="49"/>
      <x:c r="D177" s="49"/>
      <x:c r="E177" s="49"/>
      <x:c r="F177" s="49"/>
      <x:c r="G177" s="49"/>
      <x:c r="H177" s="49"/>
      <x:c r="I177" s="49"/>
      <x:c r="J177" s="49"/>
      <x:c r="K177" s="49"/>
      <x:c r="L177" s="49"/>
      <x:c r="M177" s="49"/>
      <x:c r="N177" s="49"/>
      <x:c r="O177" s="49"/>
      <x:c r="P177" s="49"/>
      <x:c r="Q177" s="49"/>
      <x:c r="R177" s="49"/>
      <x:c r="S177" s="49"/>
      <x:c r="T177" s="49"/>
      <x:c r="U177" s="49"/>
      <x:c r="V177" s="49"/>
      <x:c r="W177" s="49"/>
      <x:c r="X177" s="49"/>
      <x:c r="Y177" s="49"/>
      <x:c r="Z177" s="49"/>
      <x:c r="AA177" s="49"/>
      <x:c r="AB177" s="49"/>
      <x:c r="AC177" s="49"/>
      <x:c r="AD177" s="49"/>
      <x:c r="AE177" s="49"/>
      <x:c r="AF177" s="49"/>
      <x:c r="AG177" s="49"/>
      <x:c r="AH177" s="49"/>
      <x:c r="AI177" s="49"/>
      <x:c r="AJ177" s="49"/>
      <x:c r="AK177" s="49"/>
      <x:c r="AL177" s="49"/>
      <x:c r="AM177" s="49"/>
      <x:c r="AN177" s="49"/>
      <x:c r="AO177" s="49"/>
      <x:c r="AP177" s="49"/>
      <x:c r="AQ177" s="49"/>
      <x:c r="AR177" s="49"/>
      <x:c r="AS177" s="49"/>
      <x:c r="AT177" s="49"/>
      <x:c r="AU177" s="49"/>
      <x:c r="AV177" s="49"/>
      <x:c r="AW177" s="49"/>
      <x:c r="AX177" s="49"/>
      <x:c r="AY177" s="49"/>
      <x:c r="AZ177" s="49"/>
    </x:row>
    <x:row r="178">
      <x:c r="A178" s="49"/>
      <x:c r="B178" s="49"/>
      <x:c r="C178" s="49"/>
      <x:c r="D178" s="49"/>
      <x:c r="E178" s="49"/>
      <x:c r="F178" s="49"/>
      <x:c r="G178" s="49"/>
      <x:c r="H178" s="49"/>
      <x:c r="I178" s="49"/>
      <x:c r="J178" s="49"/>
      <x:c r="K178" s="49"/>
      <x:c r="L178" s="49"/>
      <x:c r="M178" s="49"/>
      <x:c r="N178" s="49"/>
      <x:c r="O178" s="49"/>
      <x:c r="P178" s="49"/>
      <x:c r="Q178" s="49"/>
      <x:c r="R178" s="49"/>
      <x:c r="S178" s="49"/>
      <x:c r="T178" s="49"/>
      <x:c r="U178" s="49"/>
      <x:c r="V178" s="49"/>
      <x:c r="W178" s="49"/>
      <x:c r="X178" s="49"/>
      <x:c r="Y178" s="49"/>
      <x:c r="Z178" s="49"/>
      <x:c r="AA178" s="49"/>
      <x:c r="AB178" s="49"/>
      <x:c r="AC178" s="49"/>
      <x:c r="AD178" s="49"/>
      <x:c r="AE178" s="49"/>
      <x:c r="AF178" s="49"/>
      <x:c r="AG178" s="49"/>
      <x:c r="AH178" s="49"/>
      <x:c r="AI178" s="49"/>
      <x:c r="AJ178" s="49"/>
      <x:c r="AK178" s="49"/>
      <x:c r="AL178" s="49"/>
      <x:c r="AM178" s="49"/>
      <x:c r="AN178" s="49"/>
      <x:c r="AO178" s="49"/>
      <x:c r="AP178" s="49"/>
      <x:c r="AQ178" s="49"/>
      <x:c r="AR178" s="49"/>
      <x:c r="AS178" s="49"/>
      <x:c r="AT178" s="49"/>
      <x:c r="AU178" s="49"/>
      <x:c r="AV178" s="49"/>
      <x:c r="AW178" s="49"/>
      <x:c r="AX178" s="49"/>
      <x:c r="AY178" s="49"/>
      <x:c r="AZ178" s="49"/>
    </x:row>
    <x:row r="179">
      <x:c r="A179" s="49"/>
      <x:c r="B179" s="49"/>
      <x:c r="C179" s="49"/>
      <x:c r="D179" s="49"/>
      <x:c r="E179" s="49"/>
      <x:c r="F179" s="49"/>
      <x:c r="G179" s="49"/>
      <x:c r="H179" s="49"/>
      <x:c r="I179" s="49"/>
      <x:c r="J179" s="49"/>
      <x:c r="K179" s="49"/>
      <x:c r="L179" s="49"/>
      <x:c r="M179" s="49"/>
      <x:c r="N179" s="49"/>
      <x:c r="O179" s="49"/>
      <x:c r="P179" s="49"/>
      <x:c r="Q179" s="49"/>
      <x:c r="R179" s="49"/>
      <x:c r="S179" s="49"/>
      <x:c r="T179" s="49"/>
      <x:c r="U179" s="49"/>
      <x:c r="V179" s="49"/>
      <x:c r="W179" s="49"/>
      <x:c r="X179" s="49"/>
      <x:c r="Y179" s="49"/>
      <x:c r="Z179" s="49"/>
      <x:c r="AA179" s="49"/>
      <x:c r="AB179" s="49"/>
      <x:c r="AC179" s="49"/>
      <x:c r="AD179" s="49"/>
      <x:c r="AE179" s="49"/>
      <x:c r="AF179" s="49"/>
      <x:c r="AG179" s="49"/>
      <x:c r="AH179" s="49"/>
      <x:c r="AI179" s="49"/>
      <x:c r="AJ179" s="49"/>
      <x:c r="AK179" s="49"/>
      <x:c r="AL179" s="49"/>
      <x:c r="AM179" s="49"/>
      <x:c r="AN179" s="49"/>
      <x:c r="AO179" s="49"/>
      <x:c r="AP179" s="49"/>
      <x:c r="AQ179" s="49"/>
      <x:c r="AR179" s="49"/>
      <x:c r="AS179" s="49"/>
      <x:c r="AT179" s="49"/>
      <x:c r="AU179" s="49"/>
      <x:c r="AV179" s="49"/>
      <x:c r="AW179" s="49"/>
      <x:c r="AX179" s="49"/>
      <x:c r="AY179" s="49"/>
      <x:c r="AZ179" s="49"/>
    </x:row>
    <x:row r="180">
      <x:c r="A180" s="49"/>
      <x:c r="B180" s="49"/>
      <x:c r="C180" s="49"/>
      <x:c r="D180" s="49"/>
      <x:c r="E180" s="49"/>
      <x:c r="F180" s="49"/>
      <x:c r="G180" s="49"/>
      <x:c r="H180" s="49"/>
      <x:c r="I180" s="49"/>
      <x:c r="J180" s="49"/>
      <x:c r="K180" s="49"/>
      <x:c r="L180" s="49"/>
      <x:c r="M180" s="49"/>
      <x:c r="N180" s="49"/>
      <x:c r="O180" s="49"/>
      <x:c r="P180" s="49"/>
      <x:c r="Q180" s="49"/>
      <x:c r="R180" s="49"/>
      <x:c r="S180" s="49"/>
      <x:c r="T180" s="49"/>
      <x:c r="U180" s="49"/>
      <x:c r="V180" s="49"/>
      <x:c r="W180" s="49"/>
      <x:c r="X180" s="49"/>
      <x:c r="Y180" s="49"/>
      <x:c r="Z180" s="49"/>
      <x:c r="AA180" s="49"/>
      <x:c r="AB180" s="49"/>
      <x:c r="AC180" s="49"/>
      <x:c r="AD180" s="49"/>
      <x:c r="AE180" s="49"/>
      <x:c r="AF180" s="49"/>
      <x:c r="AG180" s="49"/>
      <x:c r="AH180" s="49"/>
      <x:c r="AI180" s="49"/>
      <x:c r="AJ180" s="49"/>
      <x:c r="AK180" s="49"/>
      <x:c r="AL180" s="49"/>
      <x:c r="AM180" s="49"/>
      <x:c r="AN180" s="49"/>
      <x:c r="AO180" s="49"/>
      <x:c r="AP180" s="49"/>
      <x:c r="AQ180" s="49"/>
      <x:c r="AR180" s="49"/>
      <x:c r="AS180" s="49"/>
      <x:c r="AT180" s="49"/>
      <x:c r="AU180" s="49"/>
      <x:c r="AV180" s="49"/>
      <x:c r="AW180" s="49"/>
      <x:c r="AX180" s="49"/>
      <x:c r="AY180" s="49"/>
      <x:c r="AZ180" s="49"/>
    </x:row>
    <x:row r="181">
      <x:c r="A181" s="49"/>
      <x:c r="B181" s="49"/>
      <x:c r="C181" s="49"/>
      <x:c r="D181" s="49"/>
      <x:c r="E181" s="49"/>
      <x:c r="F181" s="49"/>
      <x:c r="G181" s="49"/>
      <x:c r="H181" s="49"/>
      <x:c r="I181" s="49"/>
      <x:c r="J181" s="49"/>
      <x:c r="K181" s="49"/>
      <x:c r="L181" s="49"/>
      <x:c r="M181" s="49"/>
      <x:c r="N181" s="49"/>
      <x:c r="O181" s="49"/>
      <x:c r="P181" s="49"/>
      <x:c r="Q181" s="49"/>
      <x:c r="R181" s="49"/>
      <x:c r="S181" s="49"/>
      <x:c r="T181" s="49"/>
      <x:c r="U181" s="49"/>
      <x:c r="V181" s="49"/>
      <x:c r="W181" s="49"/>
      <x:c r="X181" s="49"/>
      <x:c r="Y181" s="49"/>
      <x:c r="Z181" s="49"/>
      <x:c r="AA181" s="49"/>
      <x:c r="AB181" s="49"/>
      <x:c r="AC181" s="49"/>
      <x:c r="AD181" s="49"/>
      <x:c r="AE181" s="49"/>
      <x:c r="AF181" s="49"/>
      <x:c r="AG181" s="49"/>
      <x:c r="AH181" s="49"/>
      <x:c r="AI181" s="49"/>
      <x:c r="AJ181" s="49"/>
      <x:c r="AK181" s="49"/>
      <x:c r="AL181" s="49"/>
      <x:c r="AM181" s="49"/>
      <x:c r="AN181" s="49"/>
      <x:c r="AO181" s="49"/>
      <x:c r="AP181" s="49"/>
      <x:c r="AQ181" s="49"/>
      <x:c r="AR181" s="49"/>
      <x:c r="AS181" s="49"/>
      <x:c r="AT181" s="49"/>
      <x:c r="AU181" s="49"/>
      <x:c r="AV181" s="49"/>
      <x:c r="AW181" s="49"/>
      <x:c r="AX181" s="49"/>
      <x:c r="AY181" s="49"/>
      <x:c r="AZ181" s="49"/>
    </x:row>
    <x:row r="182">
      <x:c r="A182" s="49"/>
      <x:c r="B182" s="49"/>
      <x:c r="C182" s="49"/>
      <x:c r="D182" s="49"/>
      <x:c r="E182" s="49"/>
      <x:c r="F182" s="49"/>
      <x:c r="G182" s="49"/>
      <x:c r="H182" s="49"/>
      <x:c r="I182" s="49"/>
      <x:c r="J182" s="49"/>
      <x:c r="K182" s="49"/>
      <x:c r="L182" s="49"/>
      <x:c r="M182" s="49"/>
      <x:c r="N182" s="49"/>
      <x:c r="O182" s="49"/>
      <x:c r="P182" s="49"/>
      <x:c r="Q182" s="49"/>
      <x:c r="R182" s="49"/>
      <x:c r="S182" s="49"/>
      <x:c r="T182" s="49"/>
      <x:c r="U182" s="49"/>
      <x:c r="V182" s="49"/>
      <x:c r="W182" s="49"/>
      <x:c r="X182" s="49"/>
      <x:c r="Y182" s="49"/>
      <x:c r="Z182" s="49"/>
      <x:c r="AA182" s="49"/>
      <x:c r="AB182" s="49"/>
      <x:c r="AC182" s="49"/>
      <x:c r="AD182" s="49"/>
      <x:c r="AE182" s="49"/>
      <x:c r="AF182" s="49"/>
      <x:c r="AG182" s="49"/>
      <x:c r="AH182" s="49"/>
      <x:c r="AI182" s="49"/>
      <x:c r="AJ182" s="49"/>
      <x:c r="AK182" s="49"/>
      <x:c r="AL182" s="49"/>
      <x:c r="AM182" s="49"/>
      <x:c r="AN182" s="49"/>
      <x:c r="AO182" s="49"/>
      <x:c r="AP182" s="49"/>
      <x:c r="AQ182" s="49"/>
      <x:c r="AR182" s="49"/>
      <x:c r="AS182" s="49"/>
      <x:c r="AT182" s="49"/>
      <x:c r="AU182" s="49"/>
      <x:c r="AV182" s="49"/>
      <x:c r="AW182" s="49"/>
      <x:c r="AX182" s="49"/>
      <x:c r="AY182" s="49"/>
      <x:c r="AZ182" s="49"/>
    </x:row>
    <x:row r="183">
      <x:c r="A183" s="49"/>
      <x:c r="B183" s="49"/>
      <x:c r="C183" s="49"/>
      <x:c r="D183" s="49"/>
      <x:c r="E183" s="49"/>
      <x:c r="F183" s="49"/>
      <x:c r="G183" s="49"/>
      <x:c r="H183" s="49"/>
      <x:c r="I183" s="49"/>
      <x:c r="J183" s="49"/>
      <x:c r="K183" s="49"/>
      <x:c r="L183" s="49"/>
      <x:c r="M183" s="49"/>
      <x:c r="N183" s="49"/>
      <x:c r="O183" s="49"/>
      <x:c r="P183" s="49"/>
      <x:c r="Q183" s="49"/>
      <x:c r="R183" s="49"/>
      <x:c r="S183" s="49"/>
      <x:c r="T183" s="49"/>
      <x:c r="U183" s="49"/>
      <x:c r="V183" s="49"/>
      <x:c r="W183" s="49"/>
      <x:c r="X183" s="49"/>
      <x:c r="Y183" s="49"/>
      <x:c r="Z183" s="49"/>
      <x:c r="AA183" s="49"/>
      <x:c r="AB183" s="49"/>
      <x:c r="AC183" s="49"/>
      <x:c r="AD183" s="49"/>
      <x:c r="AE183" s="49"/>
      <x:c r="AF183" s="49"/>
      <x:c r="AG183" s="49"/>
      <x:c r="AH183" s="49"/>
      <x:c r="AI183" s="49"/>
      <x:c r="AJ183" s="49"/>
      <x:c r="AK183" s="49"/>
      <x:c r="AL183" s="49"/>
      <x:c r="AM183" s="49"/>
      <x:c r="AN183" s="49"/>
      <x:c r="AO183" s="49"/>
      <x:c r="AP183" s="49"/>
      <x:c r="AQ183" s="49"/>
      <x:c r="AR183" s="49"/>
      <x:c r="AS183" s="49"/>
      <x:c r="AT183" s="49"/>
      <x:c r="AU183" s="49"/>
      <x:c r="AV183" s="49"/>
      <x:c r="AW183" s="49"/>
      <x:c r="AX183" s="49"/>
      <x:c r="AY183" s="49"/>
      <x:c r="AZ183" s="49"/>
    </x:row>
    <x:row r="184">
      <x:c r="A184" s="49"/>
      <x:c r="B184" s="49"/>
      <x:c r="C184" s="49"/>
      <x:c r="D184" s="49"/>
      <x:c r="E184" s="49"/>
      <x:c r="F184" s="49"/>
      <x:c r="G184" s="49"/>
      <x:c r="H184" s="49"/>
      <x:c r="I184" s="49"/>
      <x:c r="J184" s="49"/>
      <x:c r="K184" s="49"/>
      <x:c r="L184" s="49"/>
      <x:c r="M184" s="49"/>
      <x:c r="N184" s="49"/>
      <x:c r="O184" s="49"/>
      <x:c r="P184" s="49"/>
      <x:c r="Q184" s="49"/>
      <x:c r="R184" s="49"/>
      <x:c r="S184" s="49"/>
      <x:c r="T184" s="49"/>
      <x:c r="U184" s="49"/>
      <x:c r="V184" s="49"/>
      <x:c r="W184" s="49"/>
      <x:c r="X184" s="49"/>
      <x:c r="Y184" s="49"/>
      <x:c r="Z184" s="49"/>
      <x:c r="AA184" s="49"/>
      <x:c r="AB184" s="49"/>
      <x:c r="AC184" s="49"/>
      <x:c r="AD184" s="49"/>
      <x:c r="AE184" s="49"/>
      <x:c r="AF184" s="49"/>
      <x:c r="AG184" s="49"/>
      <x:c r="AH184" s="49"/>
      <x:c r="AI184" s="49"/>
      <x:c r="AJ184" s="49"/>
      <x:c r="AK184" s="49"/>
      <x:c r="AL184" s="49"/>
      <x:c r="AM184" s="49"/>
      <x:c r="AN184" s="49"/>
      <x:c r="AO184" s="49"/>
      <x:c r="AP184" s="49"/>
      <x:c r="AQ184" s="49"/>
      <x:c r="AR184" s="49"/>
      <x:c r="AS184" s="49"/>
      <x:c r="AT184" s="49"/>
      <x:c r="AU184" s="49"/>
      <x:c r="AV184" s="49"/>
      <x:c r="AW184" s="49"/>
      <x:c r="AX184" s="49"/>
      <x:c r="AY184" s="49"/>
      <x:c r="AZ184" s="49"/>
    </x:row>
    <x:row r="185">
      <x:c r="A185" s="49"/>
      <x:c r="B185" s="49"/>
      <x:c r="C185" s="49"/>
      <x:c r="D185" s="49"/>
      <x:c r="E185" s="49"/>
      <x:c r="F185" s="49"/>
      <x:c r="G185" s="49"/>
      <x:c r="H185" s="49"/>
      <x:c r="I185" s="49"/>
      <x:c r="J185" s="49"/>
      <x:c r="K185" s="49"/>
      <x:c r="L185" s="49"/>
      <x:c r="M185" s="49"/>
      <x:c r="N185" s="49"/>
      <x:c r="O185" s="49"/>
      <x:c r="P185" s="49"/>
      <x:c r="Q185" s="49"/>
      <x:c r="R185" s="49"/>
      <x:c r="S185" s="49"/>
      <x:c r="T185" s="49"/>
      <x:c r="U185" s="49"/>
      <x:c r="V185" s="49"/>
      <x:c r="W185" s="49"/>
      <x:c r="X185" s="49"/>
      <x:c r="Y185" s="49"/>
      <x:c r="Z185" s="49"/>
      <x:c r="AA185" s="49"/>
      <x:c r="AB185" s="49"/>
      <x:c r="AC185" s="49"/>
      <x:c r="AD185" s="49"/>
      <x:c r="AE185" s="49"/>
      <x:c r="AF185" s="49"/>
      <x:c r="AG185" s="49"/>
      <x:c r="AH185" s="49"/>
      <x:c r="AI185" s="49"/>
      <x:c r="AJ185" s="49"/>
      <x:c r="AK185" s="49"/>
      <x:c r="AL185" s="49"/>
      <x:c r="AM185" s="49"/>
      <x:c r="AN185" s="49"/>
      <x:c r="AO185" s="49"/>
      <x:c r="AP185" s="49"/>
      <x:c r="AQ185" s="49"/>
      <x:c r="AR185" s="49"/>
      <x:c r="AS185" s="49"/>
      <x:c r="AT185" s="49"/>
      <x:c r="AU185" s="49"/>
      <x:c r="AV185" s="49"/>
      <x:c r="AW185" s="49"/>
      <x:c r="AX185" s="49"/>
      <x:c r="AY185" s="49"/>
      <x:c r="AZ185" s="49"/>
    </x:row>
    <x:row r="186">
      <x:c r="A186" s="49"/>
      <x:c r="B186" s="49"/>
      <x:c r="C186" s="49"/>
      <x:c r="D186" s="49"/>
      <x:c r="E186" s="49"/>
      <x:c r="F186" s="49"/>
      <x:c r="G186" s="49"/>
      <x:c r="H186" s="49"/>
      <x:c r="I186" s="49"/>
      <x:c r="J186" s="49"/>
      <x:c r="K186" s="49"/>
      <x:c r="L186" s="49"/>
      <x:c r="M186" s="49"/>
      <x:c r="N186" s="49"/>
      <x:c r="O186" s="49"/>
      <x:c r="P186" s="49"/>
      <x:c r="Q186" s="49"/>
      <x:c r="R186" s="49"/>
      <x:c r="S186" s="49"/>
      <x:c r="T186" s="49"/>
      <x:c r="U186" s="49"/>
      <x:c r="V186" s="49"/>
      <x:c r="W186" s="49"/>
      <x:c r="X186" s="49"/>
      <x:c r="Y186" s="49"/>
      <x:c r="Z186" s="49"/>
      <x:c r="AA186" s="49"/>
      <x:c r="AB186" s="49"/>
      <x:c r="AC186" s="49"/>
      <x:c r="AD186" s="49"/>
      <x:c r="AE186" s="49"/>
      <x:c r="AF186" s="49"/>
      <x:c r="AG186" s="49"/>
      <x:c r="AH186" s="49"/>
      <x:c r="AI186" s="49"/>
      <x:c r="AJ186" s="49"/>
      <x:c r="AK186" s="49"/>
      <x:c r="AL186" s="49"/>
      <x:c r="AM186" s="49"/>
      <x:c r="AN186" s="49"/>
      <x:c r="AO186" s="49"/>
      <x:c r="AP186" s="49"/>
      <x:c r="AQ186" s="49"/>
      <x:c r="AR186" s="49"/>
      <x:c r="AS186" s="49"/>
      <x:c r="AT186" s="49"/>
      <x:c r="AU186" s="49"/>
      <x:c r="AV186" s="49"/>
      <x:c r="AW186" s="49"/>
      <x:c r="AX186" s="49"/>
      <x:c r="AY186" s="49"/>
      <x:c r="AZ186" s="49"/>
    </x:row>
    <x:row r="187">
      <x:c r="A187" s="49"/>
      <x:c r="B187" s="49"/>
      <x:c r="C187" s="49"/>
      <x:c r="D187" s="49"/>
      <x:c r="E187" s="49"/>
      <x:c r="F187" s="49"/>
      <x:c r="G187" s="49"/>
      <x:c r="H187" s="49"/>
      <x:c r="I187" s="49"/>
      <x:c r="J187" s="49"/>
      <x:c r="K187" s="49"/>
      <x:c r="L187" s="49"/>
      <x:c r="M187" s="49"/>
      <x:c r="N187" s="49"/>
      <x:c r="O187" s="49"/>
      <x:c r="P187" s="49"/>
      <x:c r="Q187" s="49"/>
      <x:c r="R187" s="49"/>
      <x:c r="S187" s="49"/>
      <x:c r="T187" s="49"/>
      <x:c r="U187" s="49"/>
      <x:c r="V187" s="49"/>
      <x:c r="W187" s="49"/>
      <x:c r="X187" s="49"/>
      <x:c r="Y187" s="49"/>
      <x:c r="Z187" s="49"/>
      <x:c r="AA187" s="49"/>
      <x:c r="AB187" s="49"/>
      <x:c r="AC187" s="49"/>
      <x:c r="AD187" s="49"/>
      <x:c r="AE187" s="49"/>
      <x:c r="AF187" s="49"/>
      <x:c r="AG187" s="49"/>
      <x:c r="AH187" s="49"/>
      <x:c r="AI187" s="49"/>
      <x:c r="AJ187" s="49"/>
      <x:c r="AK187" s="49"/>
      <x:c r="AL187" s="49"/>
      <x:c r="AM187" s="49"/>
      <x:c r="AN187" s="49"/>
      <x:c r="AO187" s="49"/>
      <x:c r="AP187" s="49"/>
      <x:c r="AQ187" s="49"/>
      <x:c r="AR187" s="49"/>
      <x:c r="AS187" s="49"/>
      <x:c r="AT187" s="49"/>
      <x:c r="AU187" s="49"/>
      <x:c r="AV187" s="49"/>
      <x:c r="AW187" s="49"/>
      <x:c r="AX187" s="49"/>
      <x:c r="AY187" s="49"/>
      <x:c r="AZ187" s="49"/>
    </x:row>
    <x:row r="188">
      <x:c r="A188" s="49"/>
      <x:c r="B188" s="49"/>
      <x:c r="C188" s="49"/>
      <x:c r="D188" s="49"/>
      <x:c r="E188" s="49"/>
      <x:c r="F188" s="49"/>
      <x:c r="G188" s="49"/>
      <x:c r="H188" s="49"/>
      <x:c r="I188" s="49"/>
      <x:c r="J188" s="49"/>
      <x:c r="K188" s="49"/>
      <x:c r="L188" s="49"/>
      <x:c r="M188" s="49"/>
      <x:c r="N188" s="49"/>
      <x:c r="O188" s="49"/>
      <x:c r="P188" s="49"/>
      <x:c r="Q188" s="49"/>
      <x:c r="R188" s="49"/>
      <x:c r="S188" s="49"/>
      <x:c r="T188" s="49"/>
      <x:c r="U188" s="49"/>
      <x:c r="V188" s="49"/>
      <x:c r="W188" s="49"/>
      <x:c r="X188" s="49"/>
      <x:c r="Y188" s="49"/>
      <x:c r="Z188" s="49"/>
      <x:c r="AA188" s="49"/>
      <x:c r="AB188" s="49"/>
      <x:c r="AC188" s="49"/>
      <x:c r="AD188" s="49"/>
      <x:c r="AE188" s="49"/>
      <x:c r="AF188" s="49"/>
      <x:c r="AG188" s="49"/>
      <x:c r="AH188" s="49"/>
      <x:c r="AI188" s="49"/>
      <x:c r="AJ188" s="49"/>
      <x:c r="AK188" s="49"/>
      <x:c r="AL188" s="49"/>
      <x:c r="AM188" s="49"/>
      <x:c r="AN188" s="49"/>
      <x:c r="AO188" s="49"/>
      <x:c r="AP188" s="49"/>
      <x:c r="AQ188" s="49"/>
      <x:c r="AR188" s="49"/>
      <x:c r="AS188" s="49"/>
      <x:c r="AT188" s="49"/>
      <x:c r="AU188" s="49"/>
      <x:c r="AV188" s="49"/>
      <x:c r="AW188" s="49"/>
      <x:c r="AX188" s="49"/>
      <x:c r="AY188" s="49"/>
      <x:c r="AZ188" s="49"/>
    </x:row>
    <x:row r="189">
      <x:c r="A189" s="49"/>
      <x:c r="B189" s="49"/>
      <x:c r="C189" s="49"/>
      <x:c r="D189" s="49"/>
      <x:c r="E189" s="49"/>
      <x:c r="F189" s="49"/>
      <x:c r="G189" s="49"/>
      <x:c r="H189" s="49"/>
      <x:c r="I189" s="49"/>
      <x:c r="J189" s="49"/>
      <x:c r="K189" s="49"/>
      <x:c r="L189" s="49"/>
      <x:c r="M189" s="49"/>
      <x:c r="N189" s="49"/>
      <x:c r="O189" s="49"/>
      <x:c r="P189" s="49"/>
      <x:c r="Q189" s="49"/>
      <x:c r="R189" s="49"/>
      <x:c r="S189" s="49"/>
      <x:c r="T189" s="49"/>
      <x:c r="U189" s="49"/>
      <x:c r="V189" s="49"/>
      <x:c r="W189" s="49"/>
      <x:c r="X189" s="49"/>
      <x:c r="Y189" s="49"/>
      <x:c r="Z189" s="49"/>
      <x:c r="AA189" s="49"/>
      <x:c r="AB189" s="49"/>
      <x:c r="AC189" s="49"/>
      <x:c r="AD189" s="49"/>
      <x:c r="AE189" s="49"/>
      <x:c r="AF189" s="49"/>
      <x:c r="AG189" s="49"/>
      <x:c r="AH189" s="49"/>
      <x:c r="AI189" s="49"/>
      <x:c r="AJ189" s="49"/>
      <x:c r="AK189" s="49"/>
      <x:c r="AL189" s="49"/>
      <x:c r="AM189" s="49"/>
      <x:c r="AN189" s="49"/>
      <x:c r="AO189" s="49"/>
      <x:c r="AP189" s="49"/>
      <x:c r="AQ189" s="49"/>
      <x:c r="AR189" s="49"/>
      <x:c r="AS189" s="49"/>
      <x:c r="AT189" s="49"/>
      <x:c r="AU189" s="49"/>
      <x:c r="AV189" s="49"/>
      <x:c r="AW189" s="49"/>
      <x:c r="AX189" s="49"/>
      <x:c r="AY189" s="49"/>
      <x:c r="AZ189" s="49"/>
    </x:row>
    <x:row r="190">
      <x:c r="A190" s="49"/>
      <x:c r="B190" s="49"/>
      <x:c r="C190" s="49"/>
      <x:c r="D190" s="49"/>
      <x:c r="E190" s="49"/>
      <x:c r="F190" s="49"/>
      <x:c r="G190" s="49"/>
      <x:c r="H190" s="49"/>
      <x:c r="I190" s="49"/>
      <x:c r="J190" s="49"/>
      <x:c r="K190" s="49"/>
      <x:c r="L190" s="49"/>
      <x:c r="M190" s="49"/>
      <x:c r="N190" s="49"/>
      <x:c r="O190" s="49"/>
      <x:c r="P190" s="49"/>
      <x:c r="Q190" s="49"/>
      <x:c r="R190" s="49"/>
      <x:c r="S190" s="49"/>
      <x:c r="T190" s="49"/>
      <x:c r="U190" s="49"/>
      <x:c r="V190" s="49"/>
      <x:c r="W190" s="49"/>
      <x:c r="X190" s="49"/>
      <x:c r="Y190" s="49"/>
      <x:c r="Z190" s="49"/>
      <x:c r="AA190" s="49"/>
      <x:c r="AB190" s="49"/>
      <x:c r="AC190" s="49"/>
      <x:c r="AD190" s="49"/>
      <x:c r="AE190" s="49"/>
      <x:c r="AF190" s="49"/>
      <x:c r="AG190" s="49"/>
      <x:c r="AH190" s="49"/>
      <x:c r="AI190" s="49"/>
      <x:c r="AJ190" s="49"/>
      <x:c r="AK190" s="49"/>
      <x:c r="AL190" s="49"/>
      <x:c r="AM190" s="49"/>
      <x:c r="AN190" s="49"/>
      <x:c r="AO190" s="49"/>
      <x:c r="AP190" s="49"/>
      <x:c r="AQ190" s="49"/>
      <x:c r="AR190" s="49"/>
      <x:c r="AS190" s="49"/>
      <x:c r="AT190" s="49"/>
      <x:c r="AU190" s="49"/>
      <x:c r="AV190" s="49"/>
      <x:c r="AW190" s="49"/>
      <x:c r="AX190" s="49"/>
      <x:c r="AY190" s="49"/>
      <x:c r="AZ190" s="49"/>
    </x:row>
    <x:row r="191">
      <x:c r="A191" s="49"/>
      <x:c r="B191" s="49"/>
      <x:c r="C191" s="49"/>
      <x:c r="D191" s="49"/>
      <x:c r="E191" s="49"/>
      <x:c r="F191" s="49"/>
      <x:c r="G191" s="49"/>
      <x:c r="H191" s="49"/>
      <x:c r="I191" s="49"/>
      <x:c r="J191" s="49"/>
      <x:c r="K191" s="49"/>
      <x:c r="L191" s="49"/>
      <x:c r="M191" s="49"/>
      <x:c r="N191" s="49"/>
      <x:c r="O191" s="49"/>
      <x:c r="P191" s="49"/>
      <x:c r="Q191" s="49"/>
      <x:c r="R191" s="49"/>
      <x:c r="S191" s="49"/>
      <x:c r="T191" s="49"/>
      <x:c r="U191" s="49"/>
      <x:c r="V191" s="49"/>
      <x:c r="W191" s="49"/>
      <x:c r="X191" s="49"/>
      <x:c r="Y191" s="49"/>
      <x:c r="Z191" s="49"/>
      <x:c r="AA191" s="49"/>
      <x:c r="AB191" s="49"/>
      <x:c r="AC191" s="49"/>
      <x:c r="AD191" s="49"/>
      <x:c r="AE191" s="49"/>
      <x:c r="AF191" s="49"/>
      <x:c r="AG191" s="49"/>
      <x:c r="AH191" s="49"/>
      <x:c r="AI191" s="49"/>
      <x:c r="AJ191" s="49"/>
      <x:c r="AK191" s="49"/>
      <x:c r="AL191" s="49"/>
      <x:c r="AM191" s="49"/>
      <x:c r="AN191" s="49"/>
      <x:c r="AO191" s="49"/>
      <x:c r="AP191" s="49"/>
      <x:c r="AQ191" s="49"/>
      <x:c r="AR191" s="49"/>
      <x:c r="AS191" s="49"/>
      <x:c r="AT191" s="49"/>
      <x:c r="AU191" s="49"/>
      <x:c r="AV191" s="49"/>
      <x:c r="AW191" s="49"/>
      <x:c r="AX191" s="49"/>
      <x:c r="AY191" s="49"/>
      <x:c r="AZ191" s="49"/>
    </x:row>
    <x:row r="192">
      <x:c r="A192" s="49"/>
      <x:c r="B192" s="49"/>
      <x:c r="C192" s="49"/>
      <x:c r="D192" s="49"/>
      <x:c r="E192" s="49"/>
      <x:c r="F192" s="49"/>
      <x:c r="G192" s="49"/>
      <x:c r="H192" s="49"/>
      <x:c r="I192" s="49"/>
      <x:c r="J192" s="49"/>
      <x:c r="K192" s="49"/>
      <x:c r="L192" s="49"/>
      <x:c r="M192" s="49"/>
      <x:c r="N192" s="49"/>
      <x:c r="O192" s="49"/>
      <x:c r="P192" s="49"/>
      <x:c r="Q192" s="49"/>
      <x:c r="R192" s="49"/>
      <x:c r="S192" s="49"/>
      <x:c r="T192" s="49"/>
      <x:c r="U192" s="49"/>
      <x:c r="V192" s="49"/>
      <x:c r="W192" s="49"/>
      <x:c r="X192" s="49"/>
      <x:c r="Y192" s="49"/>
      <x:c r="Z192" s="49"/>
      <x:c r="AA192" s="49"/>
      <x:c r="AB192" s="49"/>
      <x:c r="AC192" s="49"/>
      <x:c r="AD192" s="49"/>
      <x:c r="AE192" s="49"/>
      <x:c r="AF192" s="49"/>
      <x:c r="AG192" s="49"/>
      <x:c r="AH192" s="49"/>
      <x:c r="AI192" s="49"/>
      <x:c r="AJ192" s="49"/>
      <x:c r="AK192" s="49"/>
      <x:c r="AL192" s="49"/>
      <x:c r="AM192" s="49"/>
      <x:c r="AN192" s="49"/>
      <x:c r="AO192" s="49"/>
      <x:c r="AP192" s="49"/>
      <x:c r="AQ192" s="49"/>
      <x:c r="AR192" s="49"/>
      <x:c r="AS192" s="49"/>
      <x:c r="AT192" s="49"/>
      <x:c r="AU192" s="49"/>
      <x:c r="AV192" s="49"/>
      <x:c r="AW192" s="49"/>
      <x:c r="AX192" s="49"/>
      <x:c r="AY192" s="49"/>
      <x:c r="AZ192" s="49"/>
    </x:row>
    <x:row r="193">
      <x:c r="A193" s="49"/>
      <x:c r="B193" s="49"/>
      <x:c r="C193" s="49"/>
      <x:c r="D193" s="49"/>
      <x:c r="E193" s="49"/>
      <x:c r="F193" s="49"/>
      <x:c r="G193" s="49"/>
      <x:c r="H193" s="49"/>
      <x:c r="I193" s="49"/>
      <x:c r="J193" s="49"/>
      <x:c r="K193" s="49"/>
      <x:c r="L193" s="49"/>
      <x:c r="M193" s="49"/>
      <x:c r="N193" s="49"/>
      <x:c r="O193" s="49"/>
      <x:c r="P193" s="49"/>
      <x:c r="Q193" s="49"/>
      <x:c r="R193" s="49"/>
      <x:c r="S193" s="49"/>
      <x:c r="T193" s="49"/>
      <x:c r="U193" s="49"/>
      <x:c r="V193" s="49"/>
      <x:c r="W193" s="49"/>
      <x:c r="X193" s="49"/>
      <x:c r="Y193" s="49"/>
      <x:c r="Z193" s="49"/>
      <x:c r="AA193" s="49"/>
      <x:c r="AB193" s="49"/>
      <x:c r="AC193" s="49"/>
      <x:c r="AD193" s="49"/>
      <x:c r="AE193" s="49"/>
      <x:c r="AF193" s="49"/>
      <x:c r="AG193" s="49"/>
      <x:c r="AH193" s="49"/>
      <x:c r="AI193" s="49"/>
      <x:c r="AJ193" s="49"/>
      <x:c r="AK193" s="49"/>
      <x:c r="AL193" s="49"/>
      <x:c r="AM193" s="49"/>
      <x:c r="AN193" s="49"/>
      <x:c r="AO193" s="49"/>
      <x:c r="AP193" s="49"/>
      <x:c r="AQ193" s="49"/>
      <x:c r="AR193" s="49"/>
      <x:c r="AS193" s="49"/>
      <x:c r="AT193" s="49"/>
      <x:c r="AU193" s="49"/>
      <x:c r="AV193" s="49"/>
      <x:c r="AW193" s="49"/>
      <x:c r="AX193" s="49"/>
      <x:c r="AY193" s="49"/>
      <x:c r="AZ193" s="49"/>
    </x:row>
    <x:row r="194">
      <x:c r="A194" s="49"/>
      <x:c r="B194" s="49"/>
      <x:c r="C194" s="49"/>
      <x:c r="D194" s="49"/>
      <x:c r="E194" s="49"/>
      <x:c r="F194" s="49"/>
      <x:c r="G194" s="49"/>
      <x:c r="H194" s="49"/>
      <x:c r="I194" s="49"/>
      <x:c r="J194" s="49"/>
      <x:c r="K194" s="49"/>
      <x:c r="L194" s="49"/>
      <x:c r="M194" s="49"/>
      <x:c r="N194" s="49"/>
      <x:c r="O194" s="49"/>
      <x:c r="P194" s="49"/>
      <x:c r="Q194" s="49"/>
      <x:c r="R194" s="49"/>
      <x:c r="S194" s="49"/>
      <x:c r="T194" s="49"/>
      <x:c r="U194" s="49"/>
      <x:c r="V194" s="49"/>
      <x:c r="W194" s="49"/>
      <x:c r="X194" s="49"/>
      <x:c r="Y194" s="49"/>
      <x:c r="Z194" s="49"/>
      <x:c r="AA194" s="49"/>
      <x:c r="AB194" s="49"/>
      <x:c r="AC194" s="49"/>
      <x:c r="AD194" s="49"/>
      <x:c r="AE194" s="49"/>
      <x:c r="AF194" s="49"/>
      <x:c r="AG194" s="49"/>
      <x:c r="AH194" s="49"/>
      <x:c r="AI194" s="49"/>
      <x:c r="AJ194" s="49"/>
      <x:c r="AK194" s="49"/>
      <x:c r="AL194" s="49"/>
      <x:c r="AM194" s="49"/>
      <x:c r="AN194" s="49"/>
      <x:c r="AO194" s="49"/>
      <x:c r="AP194" s="49"/>
      <x:c r="AQ194" s="49"/>
      <x:c r="AR194" s="49"/>
      <x:c r="AS194" s="49"/>
      <x:c r="AT194" s="49"/>
      <x:c r="AU194" s="49"/>
      <x:c r="AV194" s="49"/>
      <x:c r="AW194" s="49"/>
      <x:c r="AX194" s="49"/>
      <x:c r="AY194" s="49"/>
      <x:c r="AZ194" s="49"/>
    </x:row>
    <x:row r="195">
      <x:c r="A195" s="49"/>
      <x:c r="B195" s="49"/>
      <x:c r="C195" s="49"/>
      <x:c r="D195" s="49"/>
      <x:c r="E195" s="49"/>
      <x:c r="F195" s="49"/>
      <x:c r="G195" s="49"/>
      <x:c r="H195" s="49"/>
      <x:c r="I195" s="49"/>
      <x:c r="J195" s="49"/>
      <x:c r="K195" s="49"/>
      <x:c r="L195" s="49"/>
      <x:c r="M195" s="49"/>
      <x:c r="N195" s="49"/>
      <x:c r="O195" s="49"/>
      <x:c r="P195" s="49"/>
      <x:c r="Q195" s="49"/>
      <x:c r="R195" s="49"/>
      <x:c r="S195" s="49"/>
      <x:c r="T195" s="49"/>
      <x:c r="U195" s="49"/>
      <x:c r="V195" s="49"/>
      <x:c r="W195" s="49"/>
      <x:c r="X195" s="49"/>
      <x:c r="Y195" s="49"/>
      <x:c r="Z195" s="49"/>
      <x:c r="AA195" s="49"/>
      <x:c r="AB195" s="49"/>
      <x:c r="AC195" s="49"/>
      <x:c r="AD195" s="49"/>
      <x:c r="AE195" s="49"/>
      <x:c r="AF195" s="49"/>
      <x:c r="AG195" s="49"/>
      <x:c r="AH195" s="49"/>
      <x:c r="AI195" s="49"/>
      <x:c r="AJ195" s="49"/>
      <x:c r="AK195" s="49"/>
      <x:c r="AL195" s="49"/>
      <x:c r="AM195" s="49"/>
      <x:c r="AN195" s="49"/>
      <x:c r="AO195" s="49"/>
      <x:c r="AP195" s="49"/>
      <x:c r="AQ195" s="49"/>
      <x:c r="AR195" s="49"/>
      <x:c r="AS195" s="49"/>
      <x:c r="AT195" s="49"/>
      <x:c r="AU195" s="49"/>
      <x:c r="AV195" s="49"/>
      <x:c r="AW195" s="49"/>
      <x:c r="AX195" s="49"/>
      <x:c r="AY195" s="49"/>
      <x:c r="AZ195" s="49"/>
    </x:row>
    <x:row r="196">
      <x:c r="A196" s="49"/>
      <x:c r="B196" s="49"/>
      <x:c r="C196" s="49"/>
      <x:c r="D196" s="49"/>
      <x:c r="E196" s="49"/>
      <x:c r="F196" s="49"/>
      <x:c r="G196" s="49"/>
      <x:c r="H196" s="49"/>
      <x:c r="I196" s="49"/>
      <x:c r="J196" s="49"/>
      <x:c r="K196" s="49"/>
      <x:c r="L196" s="49"/>
      <x:c r="M196" s="49"/>
      <x:c r="N196" s="49"/>
      <x:c r="O196" s="49"/>
      <x:c r="P196" s="49"/>
      <x:c r="Q196" s="49"/>
      <x:c r="R196" s="49"/>
      <x:c r="S196" s="49"/>
      <x:c r="T196" s="49"/>
      <x:c r="U196" s="49"/>
      <x:c r="V196" s="49"/>
      <x:c r="W196" s="49"/>
      <x:c r="X196" s="49"/>
      <x:c r="Y196" s="49"/>
      <x:c r="Z196" s="49"/>
      <x:c r="AA196" s="49"/>
      <x:c r="AB196" s="49"/>
      <x:c r="AC196" s="49"/>
      <x:c r="AD196" s="49"/>
      <x:c r="AE196" s="49"/>
      <x:c r="AF196" s="49"/>
      <x:c r="AG196" s="49"/>
      <x:c r="AH196" s="49"/>
      <x:c r="AI196" s="49"/>
      <x:c r="AJ196" s="49"/>
      <x:c r="AK196" s="49"/>
      <x:c r="AL196" s="49"/>
      <x:c r="AM196" s="49"/>
      <x:c r="AN196" s="49"/>
      <x:c r="AO196" s="49"/>
      <x:c r="AP196" s="49"/>
      <x:c r="AQ196" s="49"/>
      <x:c r="AR196" s="49"/>
      <x:c r="AS196" s="49"/>
      <x:c r="AT196" s="49"/>
      <x:c r="AU196" s="49"/>
      <x:c r="AV196" s="49"/>
      <x:c r="AW196" s="49"/>
      <x:c r="AX196" s="49"/>
      <x:c r="AY196" s="49"/>
      <x:c r="AZ196" s="49"/>
    </x:row>
    <x:row r="197">
      <x:c r="A197" s="49"/>
      <x:c r="B197" s="49"/>
      <x:c r="C197" s="49"/>
      <x:c r="D197" s="49"/>
      <x:c r="E197" s="49"/>
      <x:c r="F197" s="49"/>
      <x:c r="G197" s="49"/>
      <x:c r="H197" s="49"/>
      <x:c r="I197" s="49"/>
      <x:c r="J197" s="49"/>
      <x:c r="K197" s="49"/>
      <x:c r="L197" s="49"/>
      <x:c r="M197" s="49"/>
      <x:c r="N197" s="49"/>
      <x:c r="O197" s="49"/>
      <x:c r="P197" s="49"/>
      <x:c r="Q197" s="49"/>
      <x:c r="R197" s="49"/>
      <x:c r="S197" s="49"/>
      <x:c r="T197" s="49"/>
      <x:c r="U197" s="49"/>
      <x:c r="V197" s="49"/>
      <x:c r="W197" s="49"/>
      <x:c r="X197" s="49"/>
      <x:c r="Y197" s="49"/>
      <x:c r="Z197" s="49"/>
      <x:c r="AA197" s="49"/>
      <x:c r="AB197" s="49"/>
      <x:c r="AC197" s="49"/>
      <x:c r="AD197" s="49"/>
      <x:c r="AE197" s="49"/>
      <x:c r="AF197" s="49"/>
      <x:c r="AG197" s="49"/>
      <x:c r="AH197" s="49"/>
      <x:c r="AI197" s="49"/>
      <x:c r="AJ197" s="49"/>
      <x:c r="AK197" s="49"/>
      <x:c r="AL197" s="49"/>
      <x:c r="AM197" s="49"/>
      <x:c r="AN197" s="49"/>
      <x:c r="AO197" s="49"/>
      <x:c r="AP197" s="49"/>
      <x:c r="AQ197" s="49"/>
      <x:c r="AR197" s="49"/>
      <x:c r="AS197" s="49"/>
      <x:c r="AT197" s="49"/>
      <x:c r="AU197" s="49"/>
      <x:c r="AV197" s="49"/>
      <x:c r="AW197" s="49"/>
      <x:c r="AX197" s="49"/>
      <x:c r="AY197" s="49"/>
      <x:c r="AZ197" s="49"/>
    </x:row>
    <x:row r="198">
      <x:c r="A198" s="49"/>
      <x:c r="B198" s="49"/>
      <x:c r="C198" s="49"/>
      <x:c r="D198" s="49"/>
      <x:c r="E198" s="49"/>
      <x:c r="F198" s="49"/>
      <x:c r="G198" s="49"/>
      <x:c r="H198" s="49"/>
      <x:c r="I198" s="49"/>
      <x:c r="J198" s="49"/>
      <x:c r="K198" s="49"/>
      <x:c r="L198" s="49"/>
      <x:c r="M198" s="49"/>
      <x:c r="N198" s="49"/>
      <x:c r="O198" s="49"/>
      <x:c r="P198" s="49"/>
      <x:c r="Q198" s="49"/>
      <x:c r="R198" s="49"/>
      <x:c r="S198" s="49"/>
      <x:c r="T198" s="49"/>
      <x:c r="U198" s="49"/>
      <x:c r="V198" s="49"/>
      <x:c r="W198" s="49"/>
      <x:c r="X198" s="49"/>
      <x:c r="Y198" s="49"/>
      <x:c r="Z198" s="49"/>
      <x:c r="AA198" s="49"/>
      <x:c r="AB198" s="49"/>
      <x:c r="AC198" s="49"/>
      <x:c r="AD198" s="49"/>
      <x:c r="AE198" s="49"/>
      <x:c r="AF198" s="49"/>
      <x:c r="AG198" s="49"/>
      <x:c r="AH198" s="49"/>
      <x:c r="AI198" s="49"/>
      <x:c r="AJ198" s="49"/>
      <x:c r="AK198" s="49"/>
      <x:c r="AL198" s="49"/>
      <x:c r="AM198" s="49"/>
      <x:c r="AN198" s="49"/>
      <x:c r="AO198" s="49"/>
      <x:c r="AP198" s="49"/>
      <x:c r="AQ198" s="49"/>
      <x:c r="AR198" s="49"/>
      <x:c r="AS198" s="49"/>
      <x:c r="AT198" s="49"/>
      <x:c r="AU198" s="49"/>
      <x:c r="AV198" s="49"/>
      <x:c r="AW198" s="49"/>
      <x:c r="AX198" s="49"/>
      <x:c r="AY198" s="49"/>
      <x:c r="AZ198" s="49"/>
    </x:row>
    <x:row r="199">
      <x:c r="A199" s="49"/>
      <x:c r="B199" s="49"/>
      <x:c r="C199" s="49"/>
      <x:c r="D199" s="49"/>
      <x:c r="E199" s="49"/>
      <x:c r="F199" s="49"/>
      <x:c r="G199" s="49"/>
      <x:c r="H199" s="49"/>
      <x:c r="I199" s="49"/>
      <x:c r="J199" s="49"/>
      <x:c r="K199" s="49"/>
      <x:c r="L199" s="49"/>
      <x:c r="M199" s="49"/>
      <x:c r="N199" s="49"/>
      <x:c r="O199" s="49"/>
      <x:c r="P199" s="49"/>
      <x:c r="Q199" s="49"/>
      <x:c r="R199" s="49"/>
      <x:c r="S199" s="49"/>
      <x:c r="T199" s="49"/>
      <x:c r="U199" s="49"/>
      <x:c r="V199" s="49"/>
      <x:c r="W199" s="49"/>
      <x:c r="X199" s="49"/>
      <x:c r="Y199" s="49"/>
      <x:c r="Z199" s="49"/>
      <x:c r="AA199" s="49"/>
      <x:c r="AB199" s="49"/>
      <x:c r="AC199" s="49"/>
      <x:c r="AD199" s="49"/>
      <x:c r="AE199" s="49"/>
      <x:c r="AF199" s="49"/>
      <x:c r="AG199" s="49"/>
      <x:c r="AH199" s="49"/>
      <x:c r="AI199" s="49"/>
      <x:c r="AJ199" s="49"/>
      <x:c r="AK199" s="49"/>
      <x:c r="AL199" s="49"/>
      <x:c r="AM199" s="49"/>
      <x:c r="AN199" s="49"/>
      <x:c r="AO199" s="49"/>
      <x:c r="AP199" s="49"/>
      <x:c r="AQ199" s="49"/>
      <x:c r="AR199" s="49"/>
      <x:c r="AS199" s="49"/>
      <x:c r="AT199" s="49"/>
      <x:c r="AU199" s="49"/>
      <x:c r="AV199" s="49"/>
      <x:c r="AW199" s="49"/>
      <x:c r="AX199" s="49"/>
      <x:c r="AY199" s="49"/>
      <x:c r="AZ199" s="49"/>
    </x:row>
    <x:row r="200">
      <x:c r="A200" s="49"/>
      <x:c r="B200" s="49"/>
      <x:c r="C200" s="49"/>
      <x:c r="D200" s="49"/>
      <x:c r="E200" s="49"/>
      <x:c r="F200" s="49"/>
      <x:c r="G200" s="49"/>
      <x:c r="H200" s="49"/>
      <x:c r="I200" s="49"/>
      <x:c r="J200" s="49"/>
      <x:c r="K200" s="49"/>
      <x:c r="L200" s="49"/>
      <x:c r="M200" s="49"/>
      <x:c r="N200" s="49"/>
      <x:c r="O200" s="49"/>
      <x:c r="P200" s="49"/>
      <x:c r="Q200" s="49"/>
      <x:c r="R200" s="49"/>
      <x:c r="S200" s="49"/>
      <x:c r="T200" s="49"/>
      <x:c r="U200" s="49"/>
      <x:c r="V200" s="49"/>
      <x:c r="W200" s="49"/>
      <x:c r="X200" s="49"/>
      <x:c r="Y200" s="49"/>
      <x:c r="Z200" s="49"/>
      <x:c r="AA200" s="49"/>
      <x:c r="AB200" s="49"/>
      <x:c r="AC200" s="49"/>
      <x:c r="AD200" s="49"/>
      <x:c r="AE200" s="49"/>
      <x:c r="AF200" s="49"/>
      <x:c r="AG200" s="49"/>
      <x:c r="AH200" s="49"/>
      <x:c r="AI200" s="49"/>
      <x:c r="AJ200" s="49"/>
      <x:c r="AK200" s="49"/>
      <x:c r="AL200" s="49"/>
      <x:c r="AM200" s="49"/>
      <x:c r="AN200" s="49"/>
      <x:c r="AO200" s="49"/>
      <x:c r="AP200" s="49"/>
      <x:c r="AQ200" s="49"/>
      <x:c r="AR200" s="49"/>
      <x:c r="AS200" s="49"/>
      <x:c r="AT200" s="49"/>
      <x:c r="AU200" s="49"/>
      <x:c r="AV200" s="49"/>
      <x:c r="AW200" s="49"/>
      <x:c r="AX200" s="49"/>
      <x:c r="AY200" s="49"/>
      <x:c r="AZ200" s="49"/>
    </x:row>
  </x:sheetData>
  <x:mergeCells>
    <x:mergeCell ref="A1:T1"/>
    <x:mergeCell ref="A2:T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22" hidden="0" customWidth="1"/>
    <x:col min="4" max="4" width="11" hidden="0" customWidth="1"/>
    <x:col min="5" max="5" width="14" hidden="0" customWidth="1"/>
    <x:col min="6" max="6" width="14" hidden="0" customWidth="1"/>
    <x:col min="7" max="7" width="15" hidden="0" customWidth="1"/>
    <x:col min="8" max="8" width="16" hidden="0" customWidth="1"/>
    <x:col min="9" max="9" width="16" hidden="0" customWidth="1"/>
  </x:cols>
  <x:sheetData>
    <x:row r="1" ht="28" customHeight="1">
      <x:c r="A1" s="226" t="str">
        <x:v>12 个月需求预测</x:v>
      </x:c>
      <x:c r="B1" s="132"/>
      <x:c r="C1" s="132"/>
      <x:c r="D1" s="132"/>
      <x:c r="E1" s="132"/>
      <x:c r="F1" s="132"/>
      <x:c r="G1" s="132"/>
      <x:c r="H1" s="132"/>
      <x:c r="I1" s="132"/>
      <x:c r="J1" s="49"/>
      <x:c r="K1" s="49"/>
      <x:c r="L1" s="49"/>
      <x:c r="M1" s="49"/>
      <x:c r="N1" s="49"/>
      <x:c r="O1" s="49"/>
      <x:c r="P1" s="49"/>
      <x:c r="Q1" s="49"/>
      <x:c r="R1" s="49"/>
      <x:c r="S1" s="49"/>
      <x:c r="T1" s="49"/>
      <x:c r="U1" s="49"/>
      <x:c r="V1" s="49"/>
      <x:c r="W1" s="49"/>
      <x:c r="X1" s="49"/>
      <x:c r="Y1" s="49"/>
      <x:c r="Z1" s="49"/>
      <x:c r="AA1" s="49"/>
      <x:c r="AB1" s="49"/>
      <x:c r="AC1" s="49"/>
      <x:c r="AD1" s="49"/>
      <x:c r="AE1" s="49"/>
      <x:c r="AF1" s="49"/>
      <x:c r="AG1" s="49"/>
      <x:c r="AH1" s="49"/>
      <x:c r="AI1" s="49"/>
      <x:c r="AJ1" s="49"/>
      <x:c r="AK1" s="49"/>
      <x:c r="AL1" s="49"/>
      <x:c r="AM1" s="49"/>
      <x:c r="AN1" s="49"/>
      <x:c r="AO1" s="49"/>
      <x:c r="AP1" s="49"/>
      <x:c r="AQ1" s="49"/>
      <x:c r="AR1" s="49"/>
      <x:c r="AS1" s="49"/>
      <x:c r="AT1" s="49"/>
      <x:c r="AU1" s="49"/>
      <x:c r="AV1" s="49"/>
      <x:c r="AW1" s="49"/>
      <x:c r="AX1" s="49"/>
      <x:c r="AY1" s="49"/>
      <x:c r="AZ1" s="49"/>
    </x:row>
    <x:row r="2" ht="22" customHeight="1">
      <x:c r="A2" s="45" t="str">
        <x:v>基准 / 上行 / 下行需求均为模拟数据；调整后需求会随所选情景自动变化。</x:v>
      </x:c>
      <x:c r="B2" s="45"/>
      <x:c r="C2" s="45"/>
      <x:c r="D2" s="45"/>
      <x:c r="E2" s="45"/>
      <x:c r="F2" s="45"/>
      <x:c r="G2" s="45"/>
      <x:c r="H2" s="45"/>
      <x:c r="I2" s="45"/>
      <x:c r="J2" s="49"/>
      <x:c r="K2" s="49"/>
      <x:c r="L2" s="49"/>
      <x:c r="M2" s="49"/>
      <x:c r="N2" s="49"/>
      <x:c r="O2" s="49"/>
      <x:c r="P2" s="49"/>
      <x:c r="Q2" s="49"/>
      <x:c r="R2" s="49"/>
      <x:c r="S2" s="49"/>
      <x:c r="T2" s="49"/>
      <x:c r="U2" s="49"/>
      <x:c r="V2" s="49"/>
      <x:c r="W2" s="49"/>
      <x:c r="X2" s="49"/>
      <x:c r="Y2" s="49"/>
      <x:c r="Z2" s="49"/>
      <x:c r="AA2" s="49"/>
      <x:c r="AB2" s="49"/>
      <x:c r="AC2" s="49"/>
      <x:c r="AD2" s="49"/>
      <x:c r="AE2" s="49"/>
      <x:c r="AF2" s="49"/>
      <x:c r="AG2" s="49"/>
      <x:c r="AH2" s="49"/>
      <x:c r="AI2" s="49"/>
      <x:c r="AJ2" s="49"/>
      <x:c r="AK2" s="49"/>
      <x:c r="AL2" s="49"/>
      <x:c r="AM2" s="49"/>
      <x:c r="AN2" s="49"/>
      <x:c r="AO2" s="49"/>
      <x:c r="AP2" s="49"/>
      <x:c r="AQ2" s="49"/>
      <x:c r="AR2" s="49"/>
      <x:c r="AS2" s="49"/>
      <x:c r="AT2" s="49"/>
      <x:c r="AU2" s="49"/>
      <x:c r="AV2" s="49"/>
      <x:c r="AW2" s="49"/>
      <x:c r="AX2" s="49"/>
      <x:c r="AY2" s="49"/>
      <x:c r="AZ2" s="49"/>
    </x:row>
    <x:row r="3" ht="22" customHeight="1">
      <x:c r="A3" s="45"/>
      <x:c r="B3" s="45"/>
      <x:c r="C3" s="45"/>
      <x:c r="D3" s="45"/>
      <x:c r="E3" s="45"/>
      <x:c r="F3" s="45"/>
      <x:c r="G3" s="45"/>
      <x:c r="H3" s="45"/>
      <x:c r="I3" s="45"/>
      <x:c r="J3" s="49"/>
      <x:c r="K3" s="49"/>
      <x:c r="L3" s="49"/>
      <x:c r="M3" s="49"/>
      <x:c r="N3" s="49"/>
      <x:c r="O3" s="49"/>
      <x:c r="P3" s="49"/>
      <x:c r="Q3" s="49"/>
      <x:c r="R3" s="49"/>
      <x:c r="S3" s="49"/>
      <x:c r="T3" s="49"/>
      <x:c r="U3" s="49"/>
      <x:c r="V3" s="49"/>
      <x:c r="W3" s="49"/>
      <x:c r="X3" s="49"/>
      <x:c r="Y3" s="49"/>
      <x:c r="Z3" s="49"/>
      <x:c r="AA3" s="49"/>
      <x:c r="AB3" s="49"/>
      <x:c r="AC3" s="49"/>
      <x:c r="AD3" s="49"/>
      <x:c r="AE3" s="49"/>
      <x:c r="AF3" s="49"/>
      <x:c r="AG3" s="49"/>
      <x:c r="AH3" s="49"/>
      <x:c r="AI3" s="49"/>
      <x:c r="AJ3" s="49"/>
      <x:c r="AK3" s="49"/>
      <x:c r="AL3" s="49"/>
      <x:c r="AM3" s="49"/>
      <x:c r="AN3" s="49"/>
      <x:c r="AO3" s="49"/>
      <x:c r="AP3" s="49"/>
      <x:c r="AQ3" s="49"/>
      <x:c r="AR3" s="49"/>
      <x:c r="AS3" s="49"/>
      <x:c r="AT3" s="49"/>
      <x:c r="AU3" s="49"/>
      <x:c r="AV3" s="49"/>
      <x:c r="AW3" s="49"/>
      <x:c r="AX3" s="49"/>
      <x:c r="AY3" s="49"/>
      <x:c r="AZ3" s="49"/>
    </x:row>
    <x:row r="4">
      <x:c r="A4" s="49"/>
      <x:c r="B4" s="49"/>
      <x:c r="C4" s="49"/>
      <x:c r="D4" s="49"/>
      <x:c r="E4" s="49"/>
      <x:c r="F4" s="49"/>
      <x:c r="G4" s="49"/>
      <x:c r="H4" s="49"/>
      <x:c r="I4" s="49"/>
      <x:c r="J4" s="49"/>
      <x:c r="K4" s="49"/>
      <x:c r="L4" s="49"/>
      <x:c r="M4" s="49"/>
      <x:c r="N4" s="49"/>
      <x:c r="O4" s="49"/>
      <x:c r="P4" s="49"/>
      <x:c r="Q4" s="49"/>
      <x:c r="R4" s="49"/>
      <x:c r="S4" s="49"/>
      <x:c r="T4" s="49"/>
      <x:c r="U4" s="49"/>
      <x:c r="V4" s="49"/>
      <x:c r="W4" s="49"/>
      <x:c r="X4" s="49"/>
      <x:c r="Y4" s="49"/>
      <x:c r="Z4" s="49"/>
      <x:c r="AA4" s="49"/>
      <x:c r="AB4" s="49"/>
      <x:c r="AC4" s="49"/>
      <x:c r="AD4" s="49"/>
      <x:c r="AE4" s="49"/>
      <x:c r="AF4" s="49"/>
      <x:c r="AG4" s="49"/>
      <x:c r="AH4" s="49"/>
      <x:c r="AI4" s="49"/>
      <x:c r="AJ4" s="49"/>
      <x:c r="AK4" s="49"/>
      <x:c r="AL4" s="49"/>
      <x:c r="AM4" s="49"/>
      <x:c r="AN4" s="49"/>
      <x:c r="AO4" s="49"/>
      <x:c r="AP4" s="49"/>
      <x:c r="AQ4" s="49"/>
      <x:c r="AR4" s="49"/>
      <x:c r="AS4" s="49"/>
      <x:c r="AT4" s="49"/>
      <x:c r="AU4" s="49"/>
      <x:c r="AV4" s="49"/>
      <x:c r="AW4" s="49"/>
      <x:c r="AX4" s="49"/>
      <x:c r="AY4" s="49"/>
      <x:c r="AZ4" s="49"/>
    </x:row>
    <x:row r="5">
      <x:c r="A5" s="144" t="str">
        <x:v>月份</x:v>
      </x:c>
      <x:c r="B5" s="144" t="str">
        <x:v>物料编号</x:v>
      </x:c>
      <x:c r="C5" s="144" t="str">
        <x:v>物料名称</x:v>
      </x:c>
      <x:c r="D5" s="144" t="str">
        <x:v>单位</x:v>
      </x:c>
      <x:c r="E5" s="144" t="str">
        <x:v>基准需求</x:v>
      </x:c>
      <x:c r="F5" s="144" t="str">
        <x:v>上行情景需求</x:v>
      </x:c>
      <x:c r="G5" s="144" t="str">
        <x:v>下行情景需求</x:v>
      </x:c>
      <x:c r="H5" s="144" t="str">
        <x:v>需求乘数</x:v>
      </x:c>
      <x:c r="I5" s="144" t="str">
        <x:v>调整后需求</x:v>
      </x:c>
      <x:c r="J5" s="49"/>
      <x:c r="K5" s="49"/>
      <x:c r="L5" s="49"/>
      <x:c r="M5" s="49"/>
      <x:c r="N5" s="49"/>
      <x:c r="O5" s="49"/>
      <x:c r="P5" s="49"/>
      <x:c r="Q5" s="49"/>
      <x:c r="R5" s="49"/>
      <x:c r="S5" s="49"/>
      <x:c r="T5" s="49"/>
      <x:c r="U5" s="49"/>
      <x:c r="V5" s="49"/>
      <x:c r="W5" s="49"/>
      <x:c r="X5" s="49"/>
      <x:c r="Y5" s="49"/>
      <x:c r="Z5" s="49"/>
      <x:c r="AA5" s="49"/>
      <x:c r="AB5" s="49"/>
      <x:c r="AC5" s="49"/>
      <x:c r="AD5" s="49"/>
      <x:c r="AE5" s="49"/>
      <x:c r="AF5" s="49"/>
      <x:c r="AG5" s="49"/>
      <x:c r="AH5" s="49"/>
      <x:c r="AI5" s="49"/>
      <x:c r="AJ5" s="49"/>
      <x:c r="AK5" s="49"/>
      <x:c r="AL5" s="49"/>
      <x:c r="AM5" s="49"/>
      <x:c r="AN5" s="49"/>
      <x:c r="AO5" s="49"/>
      <x:c r="AP5" s="49"/>
      <x:c r="AQ5" s="49"/>
      <x:c r="AR5" s="49"/>
      <x:c r="AS5" s="49"/>
      <x:c r="AT5" s="49"/>
      <x:c r="AU5" s="49"/>
      <x:c r="AV5" s="49"/>
      <x:c r="AW5" s="49"/>
      <x:c r="AX5" s="49"/>
      <x:c r="AY5" s="49"/>
      <x:c r="AZ5" s="49"/>
    </x:row>
    <x:row r="6">
      <x:c r="A6" s="49" t="str">
        <x:v>2026-01</x:v>
      </x:c>
      <x:c r="B6" s="49" t="str">
        <x:v>M001</x:v>
      </x:c>
      <x:c r="C6" s="49" t="str">
        <x:v>硅晶圆</x:v>
      </x:c>
      <x:c r="D6" s="49" t="str">
        <x:v>晶圆片</x:v>
      </x:c>
      <x:c r="E6" s="174" t="n">
        <x:v>3370</x:v>
      </x:c>
      <x:c r="F6" s="174" t="n">
        <x:v>4044</x:v>
      </x:c>
      <x:c r="G6" s="174" t="n">
        <x:v>2864</x:v>
      </x:c>
      <x:c r="H6" s="175" t="n">
        <x:f>'01_Assumptions'!$B$8</x:f>
        <x:v>1</x:v>
      </x:c>
      <x:c r="I6" s="175" t="n">
        <x:f>E6*H6</x:f>
        <x:v>3370</x:v>
      </x:c>
      <x:c r="J6" s="49"/>
      <x:c r="K6" s="49"/>
      <x:c r="L6" s="49"/>
      <x:c r="M6" s="49"/>
      <x:c r="N6" s="49"/>
      <x:c r="O6" s="49"/>
      <x:c r="P6" s="49"/>
      <x:c r="Q6" s="49"/>
      <x:c r="R6" s="49"/>
      <x:c r="S6" s="49"/>
      <x:c r="T6" s="49"/>
      <x:c r="U6" s="49"/>
      <x:c r="V6" s="49"/>
      <x:c r="W6" s="49"/>
      <x:c r="X6" s="49"/>
      <x:c r="Y6" s="49"/>
      <x:c r="Z6" s="49"/>
      <x:c r="AA6" s="49"/>
      <x:c r="AB6" s="49"/>
      <x:c r="AC6" s="49"/>
      <x:c r="AD6" s="49"/>
      <x:c r="AE6" s="49"/>
      <x:c r="AF6" s="49"/>
      <x:c r="AG6" s="49"/>
      <x:c r="AH6" s="49"/>
      <x:c r="AI6" s="49"/>
      <x:c r="AJ6" s="49"/>
      <x:c r="AK6" s="49"/>
      <x:c r="AL6" s="49"/>
      <x:c r="AM6" s="49"/>
      <x:c r="AN6" s="49"/>
      <x:c r="AO6" s="49"/>
      <x:c r="AP6" s="49"/>
      <x:c r="AQ6" s="49"/>
      <x:c r="AR6" s="49"/>
      <x:c r="AS6" s="49"/>
      <x:c r="AT6" s="49"/>
      <x:c r="AU6" s="49"/>
      <x:c r="AV6" s="49"/>
      <x:c r="AW6" s="49"/>
      <x:c r="AX6" s="49"/>
      <x:c r="AY6" s="49"/>
      <x:c r="AZ6" s="49"/>
    </x:row>
    <x:row r="7">
      <x:c r="A7" s="49" t="str">
        <x:v>2026-02</x:v>
      </x:c>
      <x:c r="B7" s="49" t="str">
        <x:v>M001</x:v>
      </x:c>
      <x:c r="C7" s="49" t="str">
        <x:v>硅晶圆</x:v>
      </x:c>
      <x:c r="D7" s="49" t="str">
        <x:v>晶圆片</x:v>
      </x:c>
      <x:c r="E7" s="174" t="n">
        <x:v>3894</x:v>
      </x:c>
      <x:c r="F7" s="174" t="n">
        <x:v>4673</x:v>
      </x:c>
      <x:c r="G7" s="174" t="n">
        <x:v>3310</x:v>
      </x:c>
      <x:c r="H7" s="175" t="n">
        <x:f>'01_Assumptions'!$B$8</x:f>
        <x:v>1</x:v>
      </x:c>
      <x:c r="I7" s="175" t="n">
        <x:f>E7*H7</x:f>
        <x:v>3894</x:v>
      </x:c>
      <x:c r="J7" s="49"/>
      <x:c r="K7" s="49"/>
      <x:c r="L7" s="49"/>
      <x:c r="M7" s="49"/>
      <x:c r="N7" s="49"/>
      <x:c r="O7" s="49"/>
      <x:c r="P7" s="49"/>
      <x:c r="Q7" s="49"/>
      <x:c r="R7" s="49"/>
      <x:c r="S7" s="49"/>
      <x:c r="T7" s="49"/>
      <x:c r="U7" s="49"/>
      <x:c r="V7" s="49"/>
      <x:c r="W7" s="49"/>
      <x:c r="X7" s="49"/>
      <x:c r="Y7" s="49"/>
      <x:c r="Z7" s="49"/>
      <x:c r="AA7" s="49"/>
      <x:c r="AB7" s="49"/>
      <x:c r="AC7" s="49"/>
      <x:c r="AD7" s="49"/>
      <x:c r="AE7" s="49"/>
      <x:c r="AF7" s="49"/>
      <x:c r="AG7" s="49"/>
      <x:c r="AH7" s="49"/>
      <x:c r="AI7" s="49"/>
      <x:c r="AJ7" s="49"/>
      <x:c r="AK7" s="49"/>
      <x:c r="AL7" s="49"/>
      <x:c r="AM7" s="49"/>
      <x:c r="AN7" s="49"/>
      <x:c r="AO7" s="49"/>
      <x:c r="AP7" s="49"/>
      <x:c r="AQ7" s="49"/>
      <x:c r="AR7" s="49"/>
      <x:c r="AS7" s="49"/>
      <x:c r="AT7" s="49"/>
      <x:c r="AU7" s="49"/>
      <x:c r="AV7" s="49"/>
      <x:c r="AW7" s="49"/>
      <x:c r="AX7" s="49"/>
      <x:c r="AY7" s="49"/>
      <x:c r="AZ7" s="49"/>
    </x:row>
    <x:row r="8">
      <x:c r="A8" s="49" t="str">
        <x:v>2026-03</x:v>
      </x:c>
      <x:c r="B8" s="49" t="str">
        <x:v>M001</x:v>
      </x:c>
      <x:c r="C8" s="49" t="str">
        <x:v>硅晶圆</x:v>
      </x:c>
      <x:c r="D8" s="49" t="str">
        <x:v>晶圆片</x:v>
      </x:c>
      <x:c r="E8" s="174" t="n">
        <x:v>3721</x:v>
      </x:c>
      <x:c r="F8" s="174" t="n">
        <x:v>4465</x:v>
      </x:c>
      <x:c r="G8" s="174" t="n">
        <x:v>3163</x:v>
      </x:c>
      <x:c r="H8" s="175" t="n">
        <x:f>'01_Assumptions'!$B$8</x:f>
        <x:v>1</x:v>
      </x:c>
      <x:c r="I8" s="175" t="n">
        <x:f>E8*H8</x:f>
        <x:v>3721</x:v>
      </x:c>
      <x:c r="J8" s="49"/>
      <x:c r="K8" s="49"/>
      <x:c r="L8" s="49"/>
      <x:c r="M8" s="49"/>
      <x:c r="N8" s="49"/>
      <x:c r="O8" s="49"/>
      <x:c r="P8" s="49"/>
      <x:c r="Q8" s="49"/>
      <x:c r="R8" s="49"/>
      <x:c r="S8" s="49"/>
      <x:c r="T8" s="49"/>
      <x:c r="U8" s="49"/>
      <x:c r="V8" s="49"/>
      <x:c r="W8" s="49"/>
      <x:c r="X8" s="49"/>
      <x:c r="Y8" s="49"/>
      <x:c r="Z8" s="49"/>
      <x:c r="AA8" s="49"/>
      <x:c r="AB8" s="49"/>
      <x:c r="AC8" s="49"/>
      <x:c r="AD8" s="49"/>
      <x:c r="AE8" s="49"/>
      <x:c r="AF8" s="49"/>
      <x:c r="AG8" s="49"/>
      <x:c r="AH8" s="49"/>
      <x:c r="AI8" s="49"/>
      <x:c r="AJ8" s="49"/>
      <x:c r="AK8" s="49"/>
      <x:c r="AL8" s="49"/>
      <x:c r="AM8" s="49"/>
      <x:c r="AN8" s="49"/>
      <x:c r="AO8" s="49"/>
      <x:c r="AP8" s="49"/>
      <x:c r="AQ8" s="49"/>
      <x:c r="AR8" s="49"/>
      <x:c r="AS8" s="49"/>
      <x:c r="AT8" s="49"/>
      <x:c r="AU8" s="49"/>
      <x:c r="AV8" s="49"/>
      <x:c r="AW8" s="49"/>
      <x:c r="AX8" s="49"/>
      <x:c r="AY8" s="49"/>
      <x:c r="AZ8" s="49"/>
    </x:row>
    <x:row r="9">
      <x:c r="A9" s="49" t="str">
        <x:v>2026-04</x:v>
      </x:c>
      <x:c r="B9" s="49" t="str">
        <x:v>M001</x:v>
      </x:c>
      <x:c r="C9" s="49" t="str">
        <x:v>硅晶圆</x:v>
      </x:c>
      <x:c r="D9" s="49" t="str">
        <x:v>晶圆片</x:v>
      </x:c>
      <x:c r="E9" s="174" t="n">
        <x:v>3817</x:v>
      </x:c>
      <x:c r="F9" s="174" t="n">
        <x:v>4580</x:v>
      </x:c>
      <x:c r="G9" s="174" t="n">
        <x:v>3244</x:v>
      </x:c>
      <x:c r="H9" s="175" t="n">
        <x:f>'01_Assumptions'!$B$8</x:f>
        <x:v>1</x:v>
      </x:c>
      <x:c r="I9" s="175" t="n">
        <x:f>E9*H9</x:f>
        <x:v>3817</x:v>
      </x:c>
      <x:c r="J9" s="49"/>
      <x:c r="K9" s="49"/>
      <x:c r="L9" s="49"/>
      <x:c r="M9" s="49"/>
      <x:c r="N9" s="49"/>
      <x:c r="O9" s="49"/>
      <x:c r="P9" s="49"/>
      <x:c r="Q9" s="49"/>
      <x:c r="R9" s="49"/>
      <x:c r="S9" s="49"/>
      <x:c r="T9" s="49"/>
      <x:c r="U9" s="49"/>
      <x:c r="V9" s="49"/>
      <x:c r="W9" s="49"/>
      <x:c r="X9" s="49"/>
      <x:c r="Y9" s="49"/>
      <x:c r="Z9" s="49"/>
      <x:c r="AA9" s="49"/>
      <x:c r="AB9" s="49"/>
      <x:c r="AC9" s="49"/>
      <x:c r="AD9" s="49"/>
      <x:c r="AE9" s="49"/>
      <x:c r="AF9" s="49"/>
      <x:c r="AG9" s="49"/>
      <x:c r="AH9" s="49"/>
      <x:c r="AI9" s="49"/>
      <x:c r="AJ9" s="49"/>
      <x:c r="AK9" s="49"/>
      <x:c r="AL9" s="49"/>
      <x:c r="AM9" s="49"/>
      <x:c r="AN9" s="49"/>
      <x:c r="AO9" s="49"/>
      <x:c r="AP9" s="49"/>
      <x:c r="AQ9" s="49"/>
      <x:c r="AR9" s="49"/>
      <x:c r="AS9" s="49"/>
      <x:c r="AT9" s="49"/>
      <x:c r="AU9" s="49"/>
      <x:c r="AV9" s="49"/>
      <x:c r="AW9" s="49"/>
      <x:c r="AX9" s="49"/>
      <x:c r="AY9" s="49"/>
      <x:c r="AZ9" s="49"/>
    </x:row>
    <x:row r="10">
      <x:c r="A10" s="49" t="str">
        <x:v>2026-05</x:v>
      </x:c>
      <x:c r="B10" s="49" t="str">
        <x:v>M001</x:v>
      </x:c>
      <x:c r="C10" s="49" t="str">
        <x:v>硅晶圆</x:v>
      </x:c>
      <x:c r="D10" s="49" t="str">
        <x:v>晶圆片</x:v>
      </x:c>
      <x:c r="E10" s="174" t="n">
        <x:v>3913</x:v>
      </x:c>
      <x:c r="F10" s="174" t="n">
        <x:v>4696</x:v>
      </x:c>
      <x:c r="G10" s="174" t="n">
        <x:v>3326</x:v>
      </x:c>
      <x:c r="H10" s="175" t="n">
        <x:f>'01_Assumptions'!$B$8</x:f>
        <x:v>1</x:v>
      </x:c>
      <x:c r="I10" s="175" t="n">
        <x:f>E10*H10</x:f>
        <x:v>3913</x:v>
      </x:c>
      <x:c r="J10" s="49"/>
      <x:c r="K10" s="49"/>
      <x:c r="L10" s="49"/>
      <x:c r="M10" s="49"/>
      <x:c r="N10" s="49"/>
      <x:c r="O10" s="49"/>
      <x:c r="P10" s="49"/>
      <x:c r="Q10" s="49"/>
      <x:c r="R10" s="49"/>
      <x:c r="S10" s="49"/>
      <x:c r="T10" s="49"/>
      <x:c r="U10" s="49"/>
      <x:c r="V10" s="49"/>
      <x:c r="W10" s="49"/>
      <x:c r="X10" s="49"/>
      <x:c r="Y10" s="49"/>
      <x:c r="Z10" s="49"/>
      <x:c r="AA10" s="49"/>
      <x:c r="AB10" s="49"/>
      <x:c r="AC10" s="49"/>
      <x:c r="AD10" s="49"/>
      <x:c r="AE10" s="49"/>
      <x:c r="AF10" s="49"/>
      <x:c r="AG10" s="49"/>
      <x:c r="AH10" s="49"/>
      <x:c r="AI10" s="49"/>
      <x:c r="AJ10" s="49"/>
      <x:c r="AK10" s="49"/>
      <x:c r="AL10" s="49"/>
      <x:c r="AM10" s="49"/>
      <x:c r="AN10" s="49"/>
      <x:c r="AO10" s="49"/>
      <x:c r="AP10" s="49"/>
      <x:c r="AQ10" s="49"/>
      <x:c r="AR10" s="49"/>
      <x:c r="AS10" s="49"/>
      <x:c r="AT10" s="49"/>
      <x:c r="AU10" s="49"/>
      <x:c r="AV10" s="49"/>
      <x:c r="AW10" s="49"/>
      <x:c r="AX10" s="49"/>
      <x:c r="AY10" s="49"/>
      <x:c r="AZ10" s="49"/>
    </x:row>
    <x:row r="11">
      <x:c r="A11" s="49" t="str">
        <x:v>2026-06</x:v>
      </x:c>
      <x:c r="B11" s="49" t="str">
        <x:v>M001</x:v>
      </x:c>
      <x:c r="C11" s="49" t="str">
        <x:v>硅晶圆</x:v>
      </x:c>
      <x:c r="D11" s="49" t="str">
        <x:v>晶圆片</x:v>
      </x:c>
      <x:c r="E11" s="174" t="n">
        <x:v>3793</x:v>
      </x:c>
      <x:c r="F11" s="174" t="n">
        <x:v>4552</x:v>
      </x:c>
      <x:c r="G11" s="174" t="n">
        <x:v>3224</x:v>
      </x:c>
      <x:c r="H11" s="175" t="n">
        <x:f>'01_Assumptions'!$B$8</x:f>
        <x:v>1</x:v>
      </x:c>
      <x:c r="I11" s="175" t="n">
        <x:f>E11*H11</x:f>
        <x:v>3793</x:v>
      </x:c>
      <x:c r="J11" s="49"/>
      <x:c r="K11" s="49"/>
      <x:c r="L11" s="49"/>
      <x:c r="M11" s="49"/>
      <x:c r="N11" s="49"/>
      <x:c r="O11" s="49"/>
      <x:c r="P11" s="49"/>
      <x:c r="Q11" s="49"/>
      <x:c r="R11" s="49"/>
      <x:c r="S11" s="49"/>
      <x:c r="T11" s="49"/>
      <x:c r="U11" s="49"/>
      <x:c r="V11" s="49"/>
      <x:c r="W11" s="49"/>
      <x:c r="X11" s="49"/>
      <x:c r="Y11" s="49"/>
      <x:c r="Z11" s="49"/>
      <x:c r="AA11" s="49"/>
      <x:c r="AB11" s="49"/>
      <x:c r="AC11" s="49"/>
      <x:c r="AD11" s="49"/>
      <x:c r="AE11" s="49"/>
      <x:c r="AF11" s="49"/>
      <x:c r="AG11" s="49"/>
      <x:c r="AH11" s="49"/>
      <x:c r="AI11" s="49"/>
      <x:c r="AJ11" s="49"/>
      <x:c r="AK11" s="49"/>
      <x:c r="AL11" s="49"/>
      <x:c r="AM11" s="49"/>
      <x:c r="AN11" s="49"/>
      <x:c r="AO11" s="49"/>
      <x:c r="AP11" s="49"/>
      <x:c r="AQ11" s="49"/>
      <x:c r="AR11" s="49"/>
      <x:c r="AS11" s="49"/>
      <x:c r="AT11" s="49"/>
      <x:c r="AU11" s="49"/>
      <x:c r="AV11" s="49"/>
      <x:c r="AW11" s="49"/>
      <x:c r="AX11" s="49"/>
      <x:c r="AY11" s="49"/>
      <x:c r="AZ11" s="49"/>
    </x:row>
    <x:row r="12">
      <x:c r="A12" s="49" t="str">
        <x:v>2026-07</x:v>
      </x:c>
      <x:c r="B12" s="49" t="str">
        <x:v>M001</x:v>
      </x:c>
      <x:c r="C12" s="49" t="str">
        <x:v>硅晶圆</x:v>
      </x:c>
      <x:c r="D12" s="49" t="str">
        <x:v>晶圆片</x:v>
      </x:c>
      <x:c r="E12" s="174" t="n">
        <x:v>3568</x:v>
      </x:c>
      <x:c r="F12" s="174" t="n">
        <x:v>4282</x:v>
      </x:c>
      <x:c r="G12" s="174" t="n">
        <x:v>3033</x:v>
      </x:c>
      <x:c r="H12" s="175" t="n">
        <x:f>'01_Assumptions'!$B$8</x:f>
        <x:v>1</x:v>
      </x:c>
      <x:c r="I12" s="175" t="n">
        <x:f>E12*H12</x:f>
        <x:v>3568</x:v>
      </x:c>
      <x:c r="J12" s="49"/>
      <x:c r="K12" s="49"/>
      <x:c r="L12" s="49"/>
      <x:c r="M12" s="49"/>
      <x:c r="N12" s="49"/>
      <x:c r="O12" s="49"/>
      <x:c r="P12" s="49"/>
      <x:c r="Q12" s="49"/>
      <x:c r="R12" s="49"/>
      <x:c r="S12" s="49"/>
      <x:c r="T12" s="49"/>
      <x:c r="U12" s="49"/>
      <x:c r="V12" s="49"/>
      <x:c r="W12" s="49"/>
      <x:c r="X12" s="49"/>
      <x:c r="Y12" s="49"/>
      <x:c r="Z12" s="49"/>
      <x:c r="AA12" s="49"/>
      <x:c r="AB12" s="49"/>
      <x:c r="AC12" s="49"/>
      <x:c r="AD12" s="49"/>
      <x:c r="AE12" s="49"/>
      <x:c r="AF12" s="49"/>
      <x:c r="AG12" s="49"/>
      <x:c r="AH12" s="49"/>
      <x:c r="AI12" s="49"/>
      <x:c r="AJ12" s="49"/>
      <x:c r="AK12" s="49"/>
      <x:c r="AL12" s="49"/>
      <x:c r="AM12" s="49"/>
      <x:c r="AN12" s="49"/>
      <x:c r="AO12" s="49"/>
      <x:c r="AP12" s="49"/>
      <x:c r="AQ12" s="49"/>
      <x:c r="AR12" s="49"/>
      <x:c r="AS12" s="49"/>
      <x:c r="AT12" s="49"/>
      <x:c r="AU12" s="49"/>
      <x:c r="AV12" s="49"/>
      <x:c r="AW12" s="49"/>
      <x:c r="AX12" s="49"/>
      <x:c r="AY12" s="49"/>
      <x:c r="AZ12" s="49"/>
    </x:row>
    <x:row r="13">
      <x:c r="A13" s="49" t="str">
        <x:v>2026-08</x:v>
      </x:c>
      <x:c r="B13" s="49" t="str">
        <x:v>M001</x:v>
      </x:c>
      <x:c r="C13" s="49" t="str">
        <x:v>硅晶圆</x:v>
      </x:c>
      <x:c r="D13" s="49" t="str">
        <x:v>晶圆片</x:v>
      </x:c>
      <x:c r="E13" s="174" t="n">
        <x:v>3432</x:v>
      </x:c>
      <x:c r="F13" s="174" t="n">
        <x:v>4118</x:v>
      </x:c>
      <x:c r="G13" s="174" t="n">
        <x:v>2917</x:v>
      </x:c>
      <x:c r="H13" s="175" t="n">
        <x:f>'01_Assumptions'!$B$8</x:f>
        <x:v>1</x:v>
      </x:c>
      <x:c r="I13" s="175" t="n">
        <x:f>E13*H13</x:f>
        <x:v>3432</x:v>
      </x:c>
      <x:c r="J13" s="49"/>
      <x:c r="K13" s="49"/>
      <x:c r="L13" s="49"/>
      <x:c r="M13" s="49"/>
      <x:c r="N13" s="49"/>
      <x:c r="O13" s="49"/>
      <x:c r="P13" s="49"/>
      <x:c r="Q13" s="49"/>
      <x:c r="R13" s="49"/>
      <x:c r="S13" s="49"/>
      <x:c r="T13" s="49"/>
      <x:c r="U13" s="49"/>
      <x:c r="V13" s="49"/>
      <x:c r="W13" s="49"/>
      <x:c r="X13" s="49"/>
      <x:c r="Y13" s="49"/>
      <x:c r="Z13" s="49"/>
      <x:c r="AA13" s="49"/>
      <x:c r="AB13" s="49"/>
      <x:c r="AC13" s="49"/>
      <x:c r="AD13" s="49"/>
      <x:c r="AE13" s="49"/>
      <x:c r="AF13" s="49"/>
      <x:c r="AG13" s="49"/>
      <x:c r="AH13" s="49"/>
      <x:c r="AI13" s="49"/>
      <x:c r="AJ13" s="49"/>
      <x:c r="AK13" s="49"/>
      <x:c r="AL13" s="49"/>
      <x:c r="AM13" s="49"/>
      <x:c r="AN13" s="49"/>
      <x:c r="AO13" s="49"/>
      <x:c r="AP13" s="49"/>
      <x:c r="AQ13" s="49"/>
      <x:c r="AR13" s="49"/>
      <x:c r="AS13" s="49"/>
      <x:c r="AT13" s="49"/>
      <x:c r="AU13" s="49"/>
      <x:c r="AV13" s="49"/>
      <x:c r="AW13" s="49"/>
      <x:c r="AX13" s="49"/>
      <x:c r="AY13" s="49"/>
      <x:c r="AZ13" s="49"/>
    </x:row>
    <x:row r="14">
      <x:c r="A14" s="49" t="str">
        <x:v>2026-09</x:v>
      </x:c>
      <x:c r="B14" s="49" t="str">
        <x:v>M001</x:v>
      </x:c>
      <x:c r="C14" s="49" t="str">
        <x:v>硅晶圆</x:v>
      </x:c>
      <x:c r="D14" s="49" t="str">
        <x:v>晶圆片</x:v>
      </x:c>
      <x:c r="E14" s="174" t="n">
        <x:v>3389</x:v>
      </x:c>
      <x:c r="F14" s="174" t="n">
        <x:v>4067</x:v>
      </x:c>
      <x:c r="G14" s="174" t="n">
        <x:v>2881</x:v>
      </x:c>
      <x:c r="H14" s="175" t="n">
        <x:f>'01_Assumptions'!$B$8</x:f>
        <x:v>1</x:v>
      </x:c>
      <x:c r="I14" s="175" t="n">
        <x:f>E14*H14</x:f>
        <x:v>3389</x:v>
      </x:c>
      <x:c r="J14" s="49"/>
      <x:c r="K14" s="49"/>
      <x:c r="L14" s="49"/>
      <x:c r="M14" s="49"/>
      <x:c r="N14" s="49"/>
      <x:c r="O14" s="49"/>
      <x:c r="P14" s="49"/>
      <x:c r="Q14" s="49"/>
      <x:c r="R14" s="49"/>
      <x:c r="S14" s="49"/>
      <x:c r="T14" s="49"/>
      <x:c r="U14" s="49"/>
      <x:c r="V14" s="49"/>
      <x:c r="W14" s="49"/>
      <x:c r="X14" s="49"/>
      <x:c r="Y14" s="49"/>
      <x:c r="Z14" s="49"/>
      <x:c r="AA14" s="49"/>
      <x:c r="AB14" s="49"/>
      <x:c r="AC14" s="49"/>
      <x:c r="AD14" s="49"/>
      <x:c r="AE14" s="49"/>
      <x:c r="AF14" s="49"/>
      <x:c r="AG14" s="49"/>
      <x:c r="AH14" s="49"/>
      <x:c r="AI14" s="49"/>
      <x:c r="AJ14" s="49"/>
      <x:c r="AK14" s="49"/>
      <x:c r="AL14" s="49"/>
      <x:c r="AM14" s="49"/>
      <x:c r="AN14" s="49"/>
      <x:c r="AO14" s="49"/>
      <x:c r="AP14" s="49"/>
      <x:c r="AQ14" s="49"/>
      <x:c r="AR14" s="49"/>
      <x:c r="AS14" s="49"/>
      <x:c r="AT14" s="49"/>
      <x:c r="AU14" s="49"/>
      <x:c r="AV14" s="49"/>
      <x:c r="AW14" s="49"/>
      <x:c r="AX14" s="49"/>
      <x:c r="AY14" s="49"/>
      <x:c r="AZ14" s="49"/>
    </x:row>
    <x:row r="15">
      <x:c r="A15" s="49" t="str">
        <x:v>2026-10</x:v>
      </x:c>
      <x:c r="B15" s="49" t="str">
        <x:v>M001</x:v>
      </x:c>
      <x:c r="C15" s="49" t="str">
        <x:v>硅晶圆</x:v>
      </x:c>
      <x:c r="D15" s="49" t="str">
        <x:v>晶圆片</x:v>
      </x:c>
      <x:c r="E15" s="174" t="n">
        <x:v>3503</x:v>
      </x:c>
      <x:c r="F15" s="174" t="n">
        <x:v>4204</x:v>
      </x:c>
      <x:c r="G15" s="174" t="n">
        <x:v>2978</x:v>
      </x:c>
      <x:c r="H15" s="175" t="n">
        <x:f>'01_Assumptions'!$B$8</x:f>
        <x:v>1</x:v>
      </x:c>
      <x:c r="I15" s="175" t="n">
        <x:f>E15*H15</x:f>
        <x:v>3503</x:v>
      </x:c>
      <x:c r="J15" s="49"/>
      <x:c r="K15" s="49"/>
      <x:c r="L15" s="49"/>
      <x:c r="M15" s="49"/>
      <x:c r="N15" s="49"/>
      <x:c r="O15" s="49"/>
      <x:c r="P15" s="49"/>
      <x:c r="Q15" s="49"/>
      <x:c r="R15" s="49"/>
      <x:c r="S15" s="49"/>
      <x:c r="T15" s="49"/>
      <x:c r="U15" s="49"/>
      <x:c r="V15" s="49"/>
      <x:c r="W15" s="49"/>
      <x:c r="X15" s="49"/>
      <x:c r="Y15" s="49"/>
      <x:c r="Z15" s="49"/>
      <x:c r="AA15" s="49"/>
      <x:c r="AB15" s="49"/>
      <x:c r="AC15" s="49"/>
      <x:c r="AD15" s="49"/>
      <x:c r="AE15" s="49"/>
      <x:c r="AF15" s="49"/>
      <x:c r="AG15" s="49"/>
      <x:c r="AH15" s="49"/>
      <x:c r="AI15" s="49"/>
      <x:c r="AJ15" s="49"/>
      <x:c r="AK15" s="49"/>
      <x:c r="AL15" s="49"/>
      <x:c r="AM15" s="49"/>
      <x:c r="AN15" s="49"/>
      <x:c r="AO15" s="49"/>
      <x:c r="AP15" s="49"/>
      <x:c r="AQ15" s="49"/>
      <x:c r="AR15" s="49"/>
      <x:c r="AS15" s="49"/>
      <x:c r="AT15" s="49"/>
      <x:c r="AU15" s="49"/>
      <x:c r="AV15" s="49"/>
      <x:c r="AW15" s="49"/>
      <x:c r="AX15" s="49"/>
      <x:c r="AY15" s="49"/>
      <x:c r="AZ15" s="49"/>
    </x:row>
    <x:row r="16">
      <x:c r="A16" s="49" t="str">
        <x:v>2026-11</x:v>
      </x:c>
      <x:c r="B16" s="49" t="str">
        <x:v>M001</x:v>
      </x:c>
      <x:c r="C16" s="49" t="str">
        <x:v>硅晶圆</x:v>
      </x:c>
      <x:c r="D16" s="49" t="str">
        <x:v>晶圆片</x:v>
      </x:c>
      <x:c r="E16" s="174" t="n">
        <x:v>3408</x:v>
      </x:c>
      <x:c r="F16" s="174" t="n">
        <x:v>4090</x:v>
      </x:c>
      <x:c r="G16" s="174" t="n">
        <x:v>2897</x:v>
      </x:c>
      <x:c r="H16" s="175" t="n">
        <x:f>'01_Assumptions'!$B$8</x:f>
        <x:v>1</x:v>
      </x:c>
      <x:c r="I16" s="175" t="n">
        <x:f>E16*H16</x:f>
        <x:v>3408</x:v>
      </x:c>
      <x:c r="J16" s="49"/>
      <x:c r="K16" s="49"/>
      <x:c r="L16" s="49"/>
      <x:c r="M16" s="49"/>
      <x:c r="N16" s="49"/>
      <x:c r="O16" s="49"/>
      <x:c r="P16" s="49"/>
      <x:c r="Q16" s="49"/>
      <x:c r="R16" s="49"/>
      <x:c r="S16" s="49"/>
      <x:c r="T16" s="49"/>
      <x:c r="U16" s="49"/>
      <x:c r="V16" s="49"/>
      <x:c r="W16" s="49"/>
      <x:c r="X16" s="49"/>
      <x:c r="Y16" s="49"/>
      <x:c r="Z16" s="49"/>
      <x:c r="AA16" s="49"/>
      <x:c r="AB16" s="49"/>
      <x:c r="AC16" s="49"/>
      <x:c r="AD16" s="49"/>
      <x:c r="AE16" s="49"/>
      <x:c r="AF16" s="49"/>
      <x:c r="AG16" s="49"/>
      <x:c r="AH16" s="49"/>
      <x:c r="AI16" s="49"/>
      <x:c r="AJ16" s="49"/>
      <x:c r="AK16" s="49"/>
      <x:c r="AL16" s="49"/>
      <x:c r="AM16" s="49"/>
      <x:c r="AN16" s="49"/>
      <x:c r="AO16" s="49"/>
      <x:c r="AP16" s="49"/>
      <x:c r="AQ16" s="49"/>
      <x:c r="AR16" s="49"/>
      <x:c r="AS16" s="49"/>
      <x:c r="AT16" s="49"/>
      <x:c r="AU16" s="49"/>
      <x:c r="AV16" s="49"/>
      <x:c r="AW16" s="49"/>
      <x:c r="AX16" s="49"/>
      <x:c r="AY16" s="49"/>
      <x:c r="AZ16" s="49"/>
    </x:row>
    <x:row r="17">
      <x:c r="A17" s="49" t="str">
        <x:v>2026-12</x:v>
      </x:c>
      <x:c r="B17" s="49" t="str">
        <x:v>M001</x:v>
      </x:c>
      <x:c r="C17" s="49" t="str">
        <x:v>硅晶圆</x:v>
      </x:c>
      <x:c r="D17" s="49" t="str">
        <x:v>晶圆片</x:v>
      </x:c>
      <x:c r="E17" s="174" t="n">
        <x:v>3526</x:v>
      </x:c>
      <x:c r="F17" s="174" t="n">
        <x:v>4231</x:v>
      </x:c>
      <x:c r="G17" s="174" t="n">
        <x:v>2997</x:v>
      </x:c>
      <x:c r="H17" s="175" t="n">
        <x:f>'01_Assumptions'!$B$8</x:f>
        <x:v>1</x:v>
      </x:c>
      <x:c r="I17" s="175" t="n">
        <x:f>E17*H17</x:f>
        <x:v>3526</x:v>
      </x:c>
      <x:c r="J17" s="49"/>
      <x:c r="K17" s="49"/>
      <x:c r="L17" s="49"/>
      <x:c r="M17" s="49"/>
      <x:c r="N17" s="49"/>
      <x:c r="O17" s="49"/>
      <x:c r="P17" s="49"/>
      <x:c r="Q17" s="49"/>
      <x:c r="R17" s="49"/>
      <x:c r="S17" s="49"/>
      <x:c r="T17" s="49"/>
      <x:c r="U17" s="49"/>
      <x:c r="V17" s="49"/>
      <x:c r="W17" s="49"/>
      <x:c r="X17" s="49"/>
      <x:c r="Y17" s="49"/>
      <x:c r="Z17" s="49"/>
      <x:c r="AA17" s="49"/>
      <x:c r="AB17" s="49"/>
      <x:c r="AC17" s="49"/>
      <x:c r="AD17" s="49"/>
      <x:c r="AE17" s="49"/>
      <x:c r="AF17" s="49"/>
      <x:c r="AG17" s="49"/>
      <x:c r="AH17" s="49"/>
      <x:c r="AI17" s="49"/>
      <x:c r="AJ17" s="49"/>
      <x:c r="AK17" s="49"/>
      <x:c r="AL17" s="49"/>
      <x:c r="AM17" s="49"/>
      <x:c r="AN17" s="49"/>
      <x:c r="AO17" s="49"/>
      <x:c r="AP17" s="49"/>
      <x:c r="AQ17" s="49"/>
      <x:c r="AR17" s="49"/>
      <x:c r="AS17" s="49"/>
      <x:c r="AT17" s="49"/>
      <x:c r="AU17" s="49"/>
      <x:c r="AV17" s="49"/>
      <x:c r="AW17" s="49"/>
      <x:c r="AX17" s="49"/>
      <x:c r="AY17" s="49"/>
      <x:c r="AZ17" s="49"/>
    </x:row>
    <x:row r="18">
      <x:c r="A18" s="49" t="str">
        <x:v>2026-01</x:v>
      </x:c>
      <x:c r="B18" s="49" t="str">
        <x:v>M002</x:v>
      </x:c>
      <x:c r="C18" s="49" t="str">
        <x:v>光刻胶</x:v>
      </x:c>
      <x:c r="D18" s="49" t="str">
        <x:v>升</x:v>
      </x:c>
      <x:c r="E18" s="174" t="n">
        <x:v>2830</x:v>
      </x:c>
      <x:c r="F18" s="174" t="n">
        <x:v>3396</x:v>
      </x:c>
      <x:c r="G18" s="174" t="n">
        <x:v>2406</x:v>
      </x:c>
      <x:c r="H18" s="175" t="n">
        <x:f>'01_Assumptions'!$B$8</x:f>
        <x:v>1</x:v>
      </x:c>
      <x:c r="I18" s="175" t="n">
        <x:f>E18*H18</x:f>
        <x:v>2830</x:v>
      </x:c>
      <x:c r="J18" s="49"/>
      <x:c r="K18" s="49"/>
      <x:c r="L18" s="49"/>
      <x:c r="M18" s="49"/>
      <x:c r="N18" s="49"/>
      <x:c r="O18" s="49"/>
      <x:c r="P18" s="49"/>
      <x:c r="Q18" s="49"/>
      <x:c r="R18" s="49"/>
      <x:c r="S18" s="49"/>
      <x:c r="T18" s="49"/>
      <x:c r="U18" s="49"/>
      <x:c r="V18" s="49"/>
      <x:c r="W18" s="49"/>
      <x:c r="X18" s="49"/>
      <x:c r="Y18" s="49"/>
      <x:c r="Z18" s="49"/>
      <x:c r="AA18" s="49"/>
      <x:c r="AB18" s="49"/>
      <x:c r="AC18" s="49"/>
      <x:c r="AD18" s="49"/>
      <x:c r="AE18" s="49"/>
      <x:c r="AF18" s="49"/>
      <x:c r="AG18" s="49"/>
      <x:c r="AH18" s="49"/>
      <x:c r="AI18" s="49"/>
      <x:c r="AJ18" s="49"/>
      <x:c r="AK18" s="49"/>
      <x:c r="AL18" s="49"/>
      <x:c r="AM18" s="49"/>
      <x:c r="AN18" s="49"/>
      <x:c r="AO18" s="49"/>
      <x:c r="AP18" s="49"/>
      <x:c r="AQ18" s="49"/>
      <x:c r="AR18" s="49"/>
      <x:c r="AS18" s="49"/>
      <x:c r="AT18" s="49"/>
      <x:c r="AU18" s="49"/>
      <x:c r="AV18" s="49"/>
      <x:c r="AW18" s="49"/>
      <x:c r="AX18" s="49"/>
      <x:c r="AY18" s="49"/>
      <x:c r="AZ18" s="49"/>
    </x:row>
    <x:row r="19">
      <x:c r="A19" s="49" t="str">
        <x:v>2026-02</x:v>
      </x:c>
      <x:c r="B19" s="49" t="str">
        <x:v>M002</x:v>
      </x:c>
      <x:c r="C19" s="49" t="str">
        <x:v>光刻胶</x:v>
      </x:c>
      <x:c r="D19" s="49" t="str">
        <x:v>升</x:v>
      </x:c>
      <x:c r="E19" s="174" t="n">
        <x:v>2921</x:v>
      </x:c>
      <x:c r="F19" s="174" t="n">
        <x:v>3505</x:v>
      </x:c>
      <x:c r="G19" s="174" t="n">
        <x:v>2483</x:v>
      </x:c>
      <x:c r="H19" s="175" t="n">
        <x:f>'01_Assumptions'!$B$8</x:f>
        <x:v>1</x:v>
      </x:c>
      <x:c r="I19" s="175" t="n">
        <x:f>E19*H19</x:f>
        <x:v>2921</x:v>
      </x:c>
      <x:c r="J19" s="49"/>
      <x:c r="K19" s="49"/>
      <x:c r="L19" s="49"/>
      <x:c r="M19" s="49"/>
      <x:c r="N19" s="49"/>
      <x:c r="O19" s="49"/>
      <x:c r="P19" s="49"/>
      <x:c r="Q19" s="49"/>
      <x:c r="R19" s="49"/>
      <x:c r="S19" s="49"/>
      <x:c r="T19" s="49"/>
      <x:c r="U19" s="49"/>
      <x:c r="V19" s="49"/>
      <x:c r="W19" s="49"/>
      <x:c r="X19" s="49"/>
      <x:c r="Y19" s="49"/>
      <x:c r="Z19" s="49"/>
      <x:c r="AA19" s="49"/>
      <x:c r="AB19" s="49"/>
      <x:c r="AC19" s="49"/>
      <x:c r="AD19" s="49"/>
      <x:c r="AE19" s="49"/>
      <x:c r="AF19" s="49"/>
      <x:c r="AG19" s="49"/>
      <x:c r="AH19" s="49"/>
      <x:c r="AI19" s="49"/>
      <x:c r="AJ19" s="49"/>
      <x:c r="AK19" s="49"/>
      <x:c r="AL19" s="49"/>
      <x:c r="AM19" s="49"/>
      <x:c r="AN19" s="49"/>
      <x:c r="AO19" s="49"/>
      <x:c r="AP19" s="49"/>
      <x:c r="AQ19" s="49"/>
      <x:c r="AR19" s="49"/>
      <x:c r="AS19" s="49"/>
      <x:c r="AT19" s="49"/>
      <x:c r="AU19" s="49"/>
      <x:c r="AV19" s="49"/>
      <x:c r="AW19" s="49"/>
      <x:c r="AX19" s="49"/>
      <x:c r="AY19" s="49"/>
      <x:c r="AZ19" s="49"/>
    </x:row>
    <x:row r="20">
      <x:c r="A20" s="49" t="str">
        <x:v>2026-03</x:v>
      </x:c>
      <x:c r="B20" s="49" t="str">
        <x:v>M002</x:v>
      </x:c>
      <x:c r="C20" s="49" t="str">
        <x:v>光刻胶</x:v>
      </x:c>
      <x:c r="D20" s="49" t="str">
        <x:v>升</x:v>
      </x:c>
      <x:c r="E20" s="174" t="n">
        <x:v>2956</x:v>
      </x:c>
      <x:c r="F20" s="174" t="n">
        <x:v>3547</x:v>
      </x:c>
      <x:c r="G20" s="174" t="n">
        <x:v>2513</x:v>
      </x:c>
      <x:c r="H20" s="175" t="n">
        <x:f>'01_Assumptions'!$B$8</x:f>
        <x:v>1</x:v>
      </x:c>
      <x:c r="I20" s="175" t="n">
        <x:f>E20*H20</x:f>
        <x:v>2956</x:v>
      </x:c>
      <x:c r="J20" s="49"/>
      <x:c r="K20" s="49"/>
      <x:c r="L20" s="49"/>
      <x:c r="M20" s="49"/>
      <x:c r="N20" s="49"/>
      <x:c r="O20" s="49"/>
      <x:c r="P20" s="49"/>
      <x:c r="Q20" s="49"/>
      <x:c r="R20" s="49"/>
      <x:c r="S20" s="49"/>
      <x:c r="T20" s="49"/>
      <x:c r="U20" s="49"/>
      <x:c r="V20" s="49"/>
      <x:c r="W20" s="49"/>
      <x:c r="X20" s="49"/>
      <x:c r="Y20" s="49"/>
      <x:c r="Z20" s="49"/>
      <x:c r="AA20" s="49"/>
      <x:c r="AB20" s="49"/>
      <x:c r="AC20" s="49"/>
      <x:c r="AD20" s="49"/>
      <x:c r="AE20" s="49"/>
      <x:c r="AF20" s="49"/>
      <x:c r="AG20" s="49"/>
      <x:c r="AH20" s="49"/>
      <x:c r="AI20" s="49"/>
      <x:c r="AJ20" s="49"/>
      <x:c r="AK20" s="49"/>
      <x:c r="AL20" s="49"/>
      <x:c r="AM20" s="49"/>
      <x:c r="AN20" s="49"/>
      <x:c r="AO20" s="49"/>
      <x:c r="AP20" s="49"/>
      <x:c r="AQ20" s="49"/>
      <x:c r="AR20" s="49"/>
      <x:c r="AS20" s="49"/>
      <x:c r="AT20" s="49"/>
      <x:c r="AU20" s="49"/>
      <x:c r="AV20" s="49"/>
      <x:c r="AW20" s="49"/>
      <x:c r="AX20" s="49"/>
      <x:c r="AY20" s="49"/>
      <x:c r="AZ20" s="49"/>
    </x:row>
    <x:row r="21">
      <x:c r="A21" s="49" t="str">
        <x:v>2026-04</x:v>
      </x:c>
      <x:c r="B21" s="49" t="str">
        <x:v>M002</x:v>
      </x:c>
      <x:c r="C21" s="49" t="str">
        <x:v>光刻胶</x:v>
      </x:c>
      <x:c r="D21" s="49" t="str">
        <x:v>升</x:v>
      </x:c>
      <x:c r="E21" s="174" t="n">
        <x:v>3123</x:v>
      </x:c>
      <x:c r="F21" s="174" t="n">
        <x:v>3748</x:v>
      </x:c>
      <x:c r="G21" s="174" t="n">
        <x:v>2655</x:v>
      </x:c>
      <x:c r="H21" s="175" t="n">
        <x:f>'01_Assumptions'!$B$8</x:f>
        <x:v>1</x:v>
      </x:c>
      <x:c r="I21" s="175" t="n">
        <x:f>E21*H21</x:f>
        <x:v>3123</x:v>
      </x:c>
      <x:c r="J21" s="49"/>
      <x:c r="K21" s="49"/>
      <x:c r="L21" s="49"/>
      <x:c r="M21" s="49"/>
      <x:c r="N21" s="49"/>
      <x:c r="O21" s="49"/>
      <x:c r="P21" s="49"/>
      <x:c r="Q21" s="49"/>
      <x:c r="R21" s="49"/>
      <x:c r="S21" s="49"/>
      <x:c r="T21" s="49"/>
      <x:c r="U21" s="49"/>
      <x:c r="V21" s="49"/>
      <x:c r="W21" s="49"/>
      <x:c r="X21" s="49"/>
      <x:c r="Y21" s="49"/>
      <x:c r="Z21" s="49"/>
      <x:c r="AA21" s="49"/>
      <x:c r="AB21" s="49"/>
      <x:c r="AC21" s="49"/>
      <x:c r="AD21" s="49"/>
      <x:c r="AE21" s="49"/>
      <x:c r="AF21" s="49"/>
      <x:c r="AG21" s="49"/>
      <x:c r="AH21" s="49"/>
      <x:c r="AI21" s="49"/>
      <x:c r="AJ21" s="49"/>
      <x:c r="AK21" s="49"/>
      <x:c r="AL21" s="49"/>
      <x:c r="AM21" s="49"/>
      <x:c r="AN21" s="49"/>
      <x:c r="AO21" s="49"/>
      <x:c r="AP21" s="49"/>
      <x:c r="AQ21" s="49"/>
      <x:c r="AR21" s="49"/>
      <x:c r="AS21" s="49"/>
      <x:c r="AT21" s="49"/>
      <x:c r="AU21" s="49"/>
      <x:c r="AV21" s="49"/>
      <x:c r="AW21" s="49"/>
      <x:c r="AX21" s="49"/>
      <x:c r="AY21" s="49"/>
      <x:c r="AZ21" s="49"/>
    </x:row>
    <x:row r="22">
      <x:c r="A22" s="49" t="str">
        <x:v>2026-05</x:v>
      </x:c>
      <x:c r="B22" s="49" t="str">
        <x:v>M002</x:v>
      </x:c>
      <x:c r="C22" s="49" t="str">
        <x:v>光刻胶</x:v>
      </x:c>
      <x:c r="D22" s="49" t="str">
        <x:v>升</x:v>
      </x:c>
      <x:c r="E22" s="174" t="n">
        <x:v>3023</x:v>
      </x:c>
      <x:c r="F22" s="174" t="n">
        <x:v>3628</x:v>
      </x:c>
      <x:c r="G22" s="174" t="n">
        <x:v>2570</x:v>
      </x:c>
      <x:c r="H22" s="175" t="n">
        <x:f>'01_Assumptions'!$B$8</x:f>
        <x:v>1</x:v>
      </x:c>
      <x:c r="I22" s="175" t="n">
        <x:f>E22*H22</x:f>
        <x:v>3023</x:v>
      </x:c>
      <x:c r="J22" s="49"/>
      <x:c r="K22" s="49"/>
      <x:c r="L22" s="49"/>
      <x:c r="M22" s="49"/>
      <x:c r="N22" s="49"/>
      <x:c r="O22" s="49"/>
      <x:c r="P22" s="49"/>
      <x:c r="Q22" s="49"/>
      <x:c r="R22" s="49"/>
      <x:c r="S22" s="49"/>
      <x:c r="T22" s="49"/>
      <x:c r="U22" s="49"/>
      <x:c r="V22" s="49"/>
      <x:c r="W22" s="49"/>
      <x:c r="X22" s="49"/>
      <x:c r="Y22" s="49"/>
      <x:c r="Z22" s="49"/>
      <x:c r="AA22" s="49"/>
      <x:c r="AB22" s="49"/>
      <x:c r="AC22" s="49"/>
      <x:c r="AD22" s="49"/>
      <x:c r="AE22" s="49"/>
      <x:c r="AF22" s="49"/>
      <x:c r="AG22" s="49"/>
      <x:c r="AH22" s="49"/>
      <x:c r="AI22" s="49"/>
      <x:c r="AJ22" s="49"/>
      <x:c r="AK22" s="49"/>
      <x:c r="AL22" s="49"/>
      <x:c r="AM22" s="49"/>
      <x:c r="AN22" s="49"/>
      <x:c r="AO22" s="49"/>
      <x:c r="AP22" s="49"/>
      <x:c r="AQ22" s="49"/>
      <x:c r="AR22" s="49"/>
      <x:c r="AS22" s="49"/>
      <x:c r="AT22" s="49"/>
      <x:c r="AU22" s="49"/>
      <x:c r="AV22" s="49"/>
      <x:c r="AW22" s="49"/>
      <x:c r="AX22" s="49"/>
      <x:c r="AY22" s="49"/>
      <x:c r="AZ22" s="49"/>
    </x:row>
    <x:row r="23">
      <x:c r="A23" s="49" t="str">
        <x:v>2026-06</x:v>
      </x:c>
      <x:c r="B23" s="49" t="str">
        <x:v>M002</x:v>
      </x:c>
      <x:c r="C23" s="49" t="str">
        <x:v>光刻胶</x:v>
      </x:c>
      <x:c r="D23" s="49" t="str">
        <x:v>升</x:v>
      </x:c>
      <x:c r="E23" s="174" t="n">
        <x:v>3000</x:v>
      </x:c>
      <x:c r="F23" s="174" t="n">
        <x:v>3600</x:v>
      </x:c>
      <x:c r="G23" s="174" t="n">
        <x:v>2550</x:v>
      </x:c>
      <x:c r="H23" s="175" t="n">
        <x:f>'01_Assumptions'!$B$8</x:f>
        <x:v>1</x:v>
      </x:c>
      <x:c r="I23" s="175" t="n">
        <x:f>E23*H23</x:f>
        <x:v>3000</x:v>
      </x:c>
      <x:c r="J23" s="49"/>
      <x:c r="K23" s="49"/>
      <x:c r="L23" s="49"/>
      <x:c r="M23" s="49"/>
      <x:c r="N23" s="49"/>
      <x:c r="O23" s="49"/>
      <x:c r="P23" s="49"/>
      <x:c r="Q23" s="49"/>
      <x:c r="R23" s="49"/>
      <x:c r="S23" s="49"/>
      <x:c r="T23" s="49"/>
      <x:c r="U23" s="49"/>
      <x:c r="V23" s="49"/>
      <x:c r="W23" s="49"/>
      <x:c r="X23" s="49"/>
      <x:c r="Y23" s="49"/>
      <x:c r="Z23" s="49"/>
      <x:c r="AA23" s="49"/>
      <x:c r="AB23" s="49"/>
      <x:c r="AC23" s="49"/>
      <x:c r="AD23" s="49"/>
      <x:c r="AE23" s="49"/>
      <x:c r="AF23" s="49"/>
      <x:c r="AG23" s="49"/>
      <x:c r="AH23" s="49"/>
      <x:c r="AI23" s="49"/>
      <x:c r="AJ23" s="49"/>
      <x:c r="AK23" s="49"/>
      <x:c r="AL23" s="49"/>
      <x:c r="AM23" s="49"/>
      <x:c r="AN23" s="49"/>
      <x:c r="AO23" s="49"/>
      <x:c r="AP23" s="49"/>
      <x:c r="AQ23" s="49"/>
      <x:c r="AR23" s="49"/>
      <x:c r="AS23" s="49"/>
      <x:c r="AT23" s="49"/>
      <x:c r="AU23" s="49"/>
      <x:c r="AV23" s="49"/>
      <x:c r="AW23" s="49"/>
      <x:c r="AX23" s="49"/>
      <x:c r="AY23" s="49"/>
      <x:c r="AZ23" s="49"/>
    </x:row>
    <x:row r="24">
      <x:c r="A24" s="49" t="str">
        <x:v>2026-07</x:v>
      </x:c>
      <x:c r="B24" s="49" t="str">
        <x:v>M002</x:v>
      </x:c>
      <x:c r="C24" s="49" t="str">
        <x:v>光刻胶</x:v>
      </x:c>
      <x:c r="D24" s="49" t="str">
        <x:v>升</x:v>
      </x:c>
      <x:c r="E24" s="174" t="n">
        <x:v>2851</x:v>
      </x:c>
      <x:c r="F24" s="174" t="n">
        <x:v>3421</x:v>
      </x:c>
      <x:c r="G24" s="174" t="n">
        <x:v>2423</x:v>
      </x:c>
      <x:c r="H24" s="175" t="n">
        <x:f>'01_Assumptions'!$B$8</x:f>
        <x:v>1</x:v>
      </x:c>
      <x:c r="I24" s="175" t="n">
        <x:f>E24*H24</x:f>
        <x:v>2851</x:v>
      </x:c>
      <x:c r="J24" s="49"/>
      <x:c r="K24" s="49"/>
      <x:c r="L24" s="49"/>
      <x:c r="M24" s="49"/>
      <x:c r="N24" s="49"/>
      <x:c r="O24" s="49"/>
      <x:c r="P24" s="49"/>
      <x:c r="Q24" s="49"/>
      <x:c r="R24" s="49"/>
      <x:c r="S24" s="49"/>
      <x:c r="T24" s="49"/>
      <x:c r="U24" s="49"/>
      <x:c r="V24" s="49"/>
      <x:c r="W24" s="49"/>
      <x:c r="X24" s="49"/>
      <x:c r="Y24" s="49"/>
      <x:c r="Z24" s="49"/>
      <x:c r="AA24" s="49"/>
      <x:c r="AB24" s="49"/>
      <x:c r="AC24" s="49"/>
      <x:c r="AD24" s="49"/>
      <x:c r="AE24" s="49"/>
      <x:c r="AF24" s="49"/>
      <x:c r="AG24" s="49"/>
      <x:c r="AH24" s="49"/>
      <x:c r="AI24" s="49"/>
      <x:c r="AJ24" s="49"/>
      <x:c r="AK24" s="49"/>
      <x:c r="AL24" s="49"/>
      <x:c r="AM24" s="49"/>
      <x:c r="AN24" s="49"/>
      <x:c r="AO24" s="49"/>
      <x:c r="AP24" s="49"/>
      <x:c r="AQ24" s="49"/>
      <x:c r="AR24" s="49"/>
      <x:c r="AS24" s="49"/>
      <x:c r="AT24" s="49"/>
      <x:c r="AU24" s="49"/>
      <x:c r="AV24" s="49"/>
      <x:c r="AW24" s="49"/>
      <x:c r="AX24" s="49"/>
      <x:c r="AY24" s="49"/>
      <x:c r="AZ24" s="49"/>
    </x:row>
    <x:row r="25">
      <x:c r="A25" s="49" t="str">
        <x:v>2026-08</x:v>
      </x:c>
      <x:c r="B25" s="49" t="str">
        <x:v>M002</x:v>
      </x:c>
      <x:c r="C25" s="49" t="str">
        <x:v>光刻胶</x:v>
      </x:c>
      <x:c r="D25" s="49" t="str">
        <x:v>升</x:v>
      </x:c>
      <x:c r="E25" s="174" t="n">
        <x:v>2804</x:v>
      </x:c>
      <x:c r="F25" s="174" t="n">
        <x:v>3365</x:v>
      </x:c>
      <x:c r="G25" s="174" t="n">
        <x:v>2383</x:v>
      </x:c>
      <x:c r="H25" s="175" t="n">
        <x:f>'01_Assumptions'!$B$8</x:f>
        <x:v>1</x:v>
      </x:c>
      <x:c r="I25" s="175" t="n">
        <x:f>E25*H25</x:f>
        <x:v>2804</x:v>
      </x:c>
      <x:c r="J25" s="49"/>
      <x:c r="K25" s="49"/>
      <x:c r="L25" s="49"/>
      <x:c r="M25" s="49"/>
      <x:c r="N25" s="49"/>
      <x:c r="O25" s="49"/>
      <x:c r="P25" s="49"/>
      <x:c r="Q25" s="49"/>
      <x:c r="R25" s="49"/>
      <x:c r="S25" s="49"/>
      <x:c r="T25" s="49"/>
      <x:c r="U25" s="49"/>
      <x:c r="V25" s="49"/>
      <x:c r="W25" s="49"/>
      <x:c r="X25" s="49"/>
      <x:c r="Y25" s="49"/>
      <x:c r="Z25" s="49"/>
      <x:c r="AA25" s="49"/>
      <x:c r="AB25" s="49"/>
      <x:c r="AC25" s="49"/>
      <x:c r="AD25" s="49"/>
      <x:c r="AE25" s="49"/>
      <x:c r="AF25" s="49"/>
      <x:c r="AG25" s="49"/>
      <x:c r="AH25" s="49"/>
      <x:c r="AI25" s="49"/>
      <x:c r="AJ25" s="49"/>
      <x:c r="AK25" s="49"/>
      <x:c r="AL25" s="49"/>
      <x:c r="AM25" s="49"/>
      <x:c r="AN25" s="49"/>
      <x:c r="AO25" s="49"/>
      <x:c r="AP25" s="49"/>
      <x:c r="AQ25" s="49"/>
      <x:c r="AR25" s="49"/>
      <x:c r="AS25" s="49"/>
      <x:c r="AT25" s="49"/>
      <x:c r="AU25" s="49"/>
      <x:c r="AV25" s="49"/>
      <x:c r="AW25" s="49"/>
      <x:c r="AX25" s="49"/>
      <x:c r="AY25" s="49"/>
      <x:c r="AZ25" s="49"/>
    </x:row>
    <x:row r="26">
      <x:c r="A26" s="49" t="str">
        <x:v>2026-09</x:v>
      </x:c>
      <x:c r="B26" s="49" t="str">
        <x:v>M002</x:v>
      </x:c>
      <x:c r="C26" s="49" t="str">
        <x:v>光刻胶</x:v>
      </x:c>
      <x:c r="D26" s="49" t="str">
        <x:v>升</x:v>
      </x:c>
      <x:c r="E26" s="174" t="n">
        <x:v>2621</x:v>
      </x:c>
      <x:c r="F26" s="174" t="n">
        <x:v>3145</x:v>
      </x:c>
      <x:c r="G26" s="174" t="n">
        <x:v>2228</x:v>
      </x:c>
      <x:c r="H26" s="175" t="n">
        <x:f>'01_Assumptions'!$B$8</x:f>
        <x:v>1</x:v>
      </x:c>
      <x:c r="I26" s="175" t="n">
        <x:f>E26*H26</x:f>
        <x:v>2621</x:v>
      </x:c>
      <x:c r="J26" s="49"/>
      <x:c r="K26" s="49"/>
      <x:c r="L26" s="49"/>
      <x:c r="M26" s="49"/>
      <x:c r="N26" s="49"/>
      <x:c r="O26" s="49"/>
      <x:c r="P26" s="49"/>
      <x:c r="Q26" s="49"/>
      <x:c r="R26" s="49"/>
      <x:c r="S26" s="49"/>
      <x:c r="T26" s="49"/>
      <x:c r="U26" s="49"/>
      <x:c r="V26" s="49"/>
      <x:c r="W26" s="49"/>
      <x:c r="X26" s="49"/>
      <x:c r="Y26" s="49"/>
      <x:c r="Z26" s="49"/>
      <x:c r="AA26" s="49"/>
      <x:c r="AB26" s="49"/>
      <x:c r="AC26" s="49"/>
      <x:c r="AD26" s="49"/>
      <x:c r="AE26" s="49"/>
      <x:c r="AF26" s="49"/>
      <x:c r="AG26" s="49"/>
      <x:c r="AH26" s="49"/>
      <x:c r="AI26" s="49"/>
      <x:c r="AJ26" s="49"/>
      <x:c r="AK26" s="49"/>
      <x:c r="AL26" s="49"/>
      <x:c r="AM26" s="49"/>
      <x:c r="AN26" s="49"/>
      <x:c r="AO26" s="49"/>
      <x:c r="AP26" s="49"/>
      <x:c r="AQ26" s="49"/>
      <x:c r="AR26" s="49"/>
      <x:c r="AS26" s="49"/>
      <x:c r="AT26" s="49"/>
      <x:c r="AU26" s="49"/>
      <x:c r="AV26" s="49"/>
      <x:c r="AW26" s="49"/>
      <x:c r="AX26" s="49"/>
      <x:c r="AY26" s="49"/>
      <x:c r="AZ26" s="49"/>
    </x:row>
    <x:row r="27">
      <x:c r="A27" s="49" t="str">
        <x:v>2026-10</x:v>
      </x:c>
      <x:c r="B27" s="49" t="str">
        <x:v>M002</x:v>
      </x:c>
      <x:c r="C27" s="49" t="str">
        <x:v>光刻胶</x:v>
      </x:c>
      <x:c r="D27" s="49" t="str">
        <x:v>升</x:v>
      </x:c>
      <x:c r="E27" s="174" t="n">
        <x:v>2779</x:v>
      </x:c>
      <x:c r="F27" s="174" t="n">
        <x:v>3335</x:v>
      </x:c>
      <x:c r="G27" s="174" t="n">
        <x:v>2362</x:v>
      </x:c>
      <x:c r="H27" s="175" t="n">
        <x:f>'01_Assumptions'!$B$8</x:f>
        <x:v>1</x:v>
      </x:c>
      <x:c r="I27" s="175" t="n">
        <x:f>E27*H27</x:f>
        <x:v>2779</x:v>
      </x:c>
      <x:c r="J27" s="49"/>
      <x:c r="K27" s="49"/>
      <x:c r="L27" s="49"/>
      <x:c r="M27" s="49"/>
      <x:c r="N27" s="49"/>
      <x:c r="O27" s="49"/>
      <x:c r="P27" s="49"/>
      <x:c r="Q27" s="49"/>
      <x:c r="R27" s="49"/>
      <x:c r="S27" s="49"/>
      <x:c r="T27" s="49"/>
      <x:c r="U27" s="49"/>
      <x:c r="V27" s="49"/>
      <x:c r="W27" s="49"/>
      <x:c r="X27" s="49"/>
      <x:c r="Y27" s="49"/>
      <x:c r="Z27" s="49"/>
      <x:c r="AA27" s="49"/>
      <x:c r="AB27" s="49"/>
      <x:c r="AC27" s="49"/>
      <x:c r="AD27" s="49"/>
      <x:c r="AE27" s="49"/>
      <x:c r="AF27" s="49"/>
      <x:c r="AG27" s="49"/>
      <x:c r="AH27" s="49"/>
      <x:c r="AI27" s="49"/>
      <x:c r="AJ27" s="49"/>
      <x:c r="AK27" s="49"/>
      <x:c r="AL27" s="49"/>
      <x:c r="AM27" s="49"/>
      <x:c r="AN27" s="49"/>
      <x:c r="AO27" s="49"/>
      <x:c r="AP27" s="49"/>
      <x:c r="AQ27" s="49"/>
      <x:c r="AR27" s="49"/>
      <x:c r="AS27" s="49"/>
      <x:c r="AT27" s="49"/>
      <x:c r="AU27" s="49"/>
      <x:c r="AV27" s="49"/>
      <x:c r="AW27" s="49"/>
      <x:c r="AX27" s="49"/>
      <x:c r="AY27" s="49"/>
      <x:c r="AZ27" s="49"/>
    </x:row>
    <x:row r="28">
      <x:c r="A28" s="49" t="str">
        <x:v>2026-11</x:v>
      </x:c>
      <x:c r="B28" s="49" t="str">
        <x:v>M002</x:v>
      </x:c>
      <x:c r="C28" s="49" t="str">
        <x:v>光刻胶</x:v>
      </x:c>
      <x:c r="D28" s="49" t="str">
        <x:v>升</x:v>
      </x:c>
      <x:c r="E28" s="174" t="n">
        <x:v>2764</x:v>
      </x:c>
      <x:c r="F28" s="174" t="n">
        <x:v>3317</x:v>
      </x:c>
      <x:c r="G28" s="174" t="n">
        <x:v>2349</x:v>
      </x:c>
      <x:c r="H28" s="175" t="n">
        <x:f>'01_Assumptions'!$B$8</x:f>
        <x:v>1</x:v>
      </x:c>
      <x:c r="I28" s="175" t="n">
        <x:f>E28*H28</x:f>
        <x:v>2764</x:v>
      </x:c>
      <x:c r="J28" s="49"/>
      <x:c r="K28" s="49"/>
      <x:c r="L28" s="49"/>
      <x:c r="M28" s="49"/>
      <x:c r="N28" s="49"/>
      <x:c r="O28" s="49"/>
      <x:c r="P28" s="49"/>
      <x:c r="Q28" s="49"/>
      <x:c r="R28" s="49"/>
      <x:c r="S28" s="49"/>
      <x:c r="T28" s="49"/>
      <x:c r="U28" s="49"/>
      <x:c r="V28" s="49"/>
      <x:c r="W28" s="49"/>
      <x:c r="X28" s="49"/>
      <x:c r="Y28" s="49"/>
      <x:c r="Z28" s="49"/>
      <x:c r="AA28" s="49"/>
      <x:c r="AB28" s="49"/>
      <x:c r="AC28" s="49"/>
      <x:c r="AD28" s="49"/>
      <x:c r="AE28" s="49"/>
      <x:c r="AF28" s="49"/>
      <x:c r="AG28" s="49"/>
      <x:c r="AH28" s="49"/>
      <x:c r="AI28" s="49"/>
      <x:c r="AJ28" s="49"/>
      <x:c r="AK28" s="49"/>
      <x:c r="AL28" s="49"/>
      <x:c r="AM28" s="49"/>
      <x:c r="AN28" s="49"/>
      <x:c r="AO28" s="49"/>
      <x:c r="AP28" s="49"/>
      <x:c r="AQ28" s="49"/>
      <x:c r="AR28" s="49"/>
      <x:c r="AS28" s="49"/>
      <x:c r="AT28" s="49"/>
      <x:c r="AU28" s="49"/>
      <x:c r="AV28" s="49"/>
      <x:c r="AW28" s="49"/>
      <x:c r="AX28" s="49"/>
      <x:c r="AY28" s="49"/>
      <x:c r="AZ28" s="49"/>
    </x:row>
    <x:row r="29">
      <x:c r="A29" s="49" t="str">
        <x:v>2026-12</x:v>
      </x:c>
      <x:c r="B29" s="49" t="str">
        <x:v>M002</x:v>
      </x:c>
      <x:c r="C29" s="49" t="str">
        <x:v>光刻胶</x:v>
      </x:c>
      <x:c r="D29" s="49" t="str">
        <x:v>升</x:v>
      </x:c>
      <x:c r="E29" s="174" t="n">
        <x:v>2875</x:v>
      </x:c>
      <x:c r="F29" s="174" t="n">
        <x:v>3450</x:v>
      </x:c>
      <x:c r="G29" s="174" t="n">
        <x:v>2444</x:v>
      </x:c>
      <x:c r="H29" s="175" t="n">
        <x:f>'01_Assumptions'!$B$8</x:f>
        <x:v>1</x:v>
      </x:c>
      <x:c r="I29" s="175" t="n">
        <x:f>E29*H29</x:f>
        <x:v>2875</x:v>
      </x:c>
      <x:c r="J29" s="49"/>
      <x:c r="K29" s="49"/>
      <x:c r="L29" s="49"/>
      <x:c r="M29" s="49"/>
      <x:c r="N29" s="49"/>
      <x:c r="O29" s="49"/>
      <x:c r="P29" s="49"/>
      <x:c r="Q29" s="49"/>
      <x:c r="R29" s="49"/>
      <x:c r="S29" s="49"/>
      <x:c r="T29" s="49"/>
      <x:c r="U29" s="49"/>
      <x:c r="V29" s="49"/>
      <x:c r="W29" s="49"/>
      <x:c r="X29" s="49"/>
      <x:c r="Y29" s="49"/>
      <x:c r="Z29" s="49"/>
      <x:c r="AA29" s="49"/>
      <x:c r="AB29" s="49"/>
      <x:c r="AC29" s="49"/>
      <x:c r="AD29" s="49"/>
      <x:c r="AE29" s="49"/>
      <x:c r="AF29" s="49"/>
      <x:c r="AG29" s="49"/>
      <x:c r="AH29" s="49"/>
      <x:c r="AI29" s="49"/>
      <x:c r="AJ29" s="49"/>
      <x:c r="AK29" s="49"/>
      <x:c r="AL29" s="49"/>
      <x:c r="AM29" s="49"/>
      <x:c r="AN29" s="49"/>
      <x:c r="AO29" s="49"/>
      <x:c r="AP29" s="49"/>
      <x:c r="AQ29" s="49"/>
      <x:c r="AR29" s="49"/>
      <x:c r="AS29" s="49"/>
      <x:c r="AT29" s="49"/>
      <x:c r="AU29" s="49"/>
      <x:c r="AV29" s="49"/>
      <x:c r="AW29" s="49"/>
      <x:c r="AX29" s="49"/>
      <x:c r="AY29" s="49"/>
      <x:c r="AZ29" s="49"/>
    </x:row>
    <x:row r="30">
      <x:c r="A30" s="49" t="str">
        <x:v>2026-01</x:v>
      </x:c>
      <x:c r="B30" s="49" t="str">
        <x:v>M003</x:v>
      </x:c>
      <x:c r="C30" s="49" t="str">
        <x:v>工艺气体</x:v>
      </x:c>
      <x:c r="D30" s="49" t="str">
        <x:v>瓶</x:v>
      </x:c>
      <x:c r="E30" s="174" t="n">
        <x:v>791</x:v>
      </x:c>
      <x:c r="F30" s="174" t="n">
        <x:v>949</x:v>
      </x:c>
      <x:c r="G30" s="174" t="n">
        <x:v>672</x:v>
      </x:c>
      <x:c r="H30" s="175" t="n">
        <x:f>'01_Assumptions'!$B$8</x:f>
        <x:v>1</x:v>
      </x:c>
      <x:c r="I30" s="175" t="n">
        <x:f>E30*H30</x:f>
        <x:v>791</x:v>
      </x:c>
      <x:c r="J30" s="49"/>
      <x:c r="K30" s="49"/>
      <x:c r="L30" s="49"/>
      <x:c r="M30" s="49"/>
      <x:c r="N30" s="49"/>
      <x:c r="O30" s="49"/>
      <x:c r="P30" s="49"/>
      <x:c r="Q30" s="49"/>
      <x:c r="R30" s="49"/>
      <x:c r="S30" s="49"/>
      <x:c r="T30" s="49"/>
      <x:c r="U30" s="49"/>
      <x:c r="V30" s="49"/>
      <x:c r="W30" s="49"/>
      <x:c r="X30" s="49"/>
      <x:c r="Y30" s="49"/>
      <x:c r="Z30" s="49"/>
      <x:c r="AA30" s="49"/>
      <x:c r="AB30" s="49"/>
      <x:c r="AC30" s="49"/>
      <x:c r="AD30" s="49"/>
      <x:c r="AE30" s="49"/>
      <x:c r="AF30" s="49"/>
      <x:c r="AG30" s="49"/>
      <x:c r="AH30" s="49"/>
      <x:c r="AI30" s="49"/>
      <x:c r="AJ30" s="49"/>
      <x:c r="AK30" s="49"/>
      <x:c r="AL30" s="49"/>
      <x:c r="AM30" s="49"/>
      <x:c r="AN30" s="49"/>
      <x:c r="AO30" s="49"/>
      <x:c r="AP30" s="49"/>
      <x:c r="AQ30" s="49"/>
      <x:c r="AR30" s="49"/>
      <x:c r="AS30" s="49"/>
      <x:c r="AT30" s="49"/>
      <x:c r="AU30" s="49"/>
      <x:c r="AV30" s="49"/>
      <x:c r="AW30" s="49"/>
      <x:c r="AX30" s="49"/>
      <x:c r="AY30" s="49"/>
      <x:c r="AZ30" s="49"/>
    </x:row>
    <x:row r="31">
      <x:c r="A31" s="49" t="str">
        <x:v>2026-02</x:v>
      </x:c>
      <x:c r="B31" s="49" t="str">
        <x:v>M003</x:v>
      </x:c>
      <x:c r="C31" s="49" t="str">
        <x:v>工艺气体</x:v>
      </x:c>
      <x:c r="D31" s="49" t="str">
        <x:v>瓶</x:v>
      </x:c>
      <x:c r="E31" s="174" t="n">
        <x:v>747</x:v>
      </x:c>
      <x:c r="F31" s="174" t="n">
        <x:v>896</x:v>
      </x:c>
      <x:c r="G31" s="174" t="n">
        <x:v>635</x:v>
      </x:c>
      <x:c r="H31" s="175" t="n">
        <x:f>'01_Assumptions'!$B$8</x:f>
        <x:v>1</x:v>
      </x:c>
      <x:c r="I31" s="175" t="n">
        <x:f>E31*H31</x:f>
        <x:v>747</x:v>
      </x:c>
      <x:c r="J31" s="49"/>
      <x:c r="K31" s="49"/>
      <x:c r="L31" s="49"/>
      <x:c r="M31" s="49"/>
      <x:c r="N31" s="49"/>
      <x:c r="O31" s="49"/>
      <x:c r="P31" s="49"/>
      <x:c r="Q31" s="49"/>
      <x:c r="R31" s="49"/>
      <x:c r="S31" s="49"/>
      <x:c r="T31" s="49"/>
      <x:c r="U31" s="49"/>
      <x:c r="V31" s="49"/>
      <x:c r="W31" s="49"/>
      <x:c r="X31" s="49"/>
      <x:c r="Y31" s="49"/>
      <x:c r="Z31" s="49"/>
      <x:c r="AA31" s="49"/>
      <x:c r="AB31" s="49"/>
      <x:c r="AC31" s="49"/>
      <x:c r="AD31" s="49"/>
      <x:c r="AE31" s="49"/>
      <x:c r="AF31" s="49"/>
      <x:c r="AG31" s="49"/>
      <x:c r="AH31" s="49"/>
      <x:c r="AI31" s="49"/>
      <x:c r="AJ31" s="49"/>
      <x:c r="AK31" s="49"/>
      <x:c r="AL31" s="49"/>
      <x:c r="AM31" s="49"/>
      <x:c r="AN31" s="49"/>
      <x:c r="AO31" s="49"/>
      <x:c r="AP31" s="49"/>
      <x:c r="AQ31" s="49"/>
      <x:c r="AR31" s="49"/>
      <x:c r="AS31" s="49"/>
      <x:c r="AT31" s="49"/>
      <x:c r="AU31" s="49"/>
      <x:c r="AV31" s="49"/>
      <x:c r="AW31" s="49"/>
      <x:c r="AX31" s="49"/>
      <x:c r="AY31" s="49"/>
      <x:c r="AZ31" s="49"/>
    </x:row>
    <x:row r="32">
      <x:c r="A32" s="49" t="str">
        <x:v>2026-03</x:v>
      </x:c>
      <x:c r="B32" s="49" t="str">
        <x:v>M003</x:v>
      </x:c>
      <x:c r="C32" s="49" t="str">
        <x:v>工艺气体</x:v>
      </x:c>
      <x:c r="D32" s="49" t="str">
        <x:v>瓶</x:v>
      </x:c>
      <x:c r="E32" s="174" t="n">
        <x:v>841</x:v>
      </x:c>
      <x:c r="F32" s="174" t="n">
        <x:v>1009</x:v>
      </x:c>
      <x:c r="G32" s="174" t="n">
        <x:v>715</x:v>
      </x:c>
      <x:c r="H32" s="175" t="n">
        <x:f>'01_Assumptions'!$B$8</x:f>
        <x:v>1</x:v>
      </x:c>
      <x:c r="I32" s="175" t="n">
        <x:f>E32*H32</x:f>
        <x:v>841</x:v>
      </x:c>
      <x:c r="J32" s="49"/>
      <x:c r="K32" s="49"/>
      <x:c r="L32" s="49"/>
      <x:c r="M32" s="49"/>
      <x:c r="N32" s="49"/>
      <x:c r="O32" s="49"/>
      <x:c r="P32" s="49"/>
      <x:c r="Q32" s="49"/>
      <x:c r="R32" s="49"/>
      <x:c r="S32" s="49"/>
      <x:c r="T32" s="49"/>
      <x:c r="U32" s="49"/>
      <x:c r="V32" s="49"/>
      <x:c r="W32" s="49"/>
      <x:c r="X32" s="49"/>
      <x:c r="Y32" s="49"/>
      <x:c r="Z32" s="49"/>
      <x:c r="AA32" s="49"/>
      <x:c r="AB32" s="49"/>
      <x:c r="AC32" s="49"/>
      <x:c r="AD32" s="49"/>
      <x:c r="AE32" s="49"/>
      <x:c r="AF32" s="49"/>
      <x:c r="AG32" s="49"/>
      <x:c r="AH32" s="49"/>
      <x:c r="AI32" s="49"/>
      <x:c r="AJ32" s="49"/>
      <x:c r="AK32" s="49"/>
      <x:c r="AL32" s="49"/>
      <x:c r="AM32" s="49"/>
      <x:c r="AN32" s="49"/>
      <x:c r="AO32" s="49"/>
      <x:c r="AP32" s="49"/>
      <x:c r="AQ32" s="49"/>
      <x:c r="AR32" s="49"/>
      <x:c r="AS32" s="49"/>
      <x:c r="AT32" s="49"/>
      <x:c r="AU32" s="49"/>
      <x:c r="AV32" s="49"/>
      <x:c r="AW32" s="49"/>
      <x:c r="AX32" s="49"/>
      <x:c r="AY32" s="49"/>
      <x:c r="AZ32" s="49"/>
    </x:row>
    <x:row r="33">
      <x:c r="A33" s="49" t="str">
        <x:v>2026-04</x:v>
      </x:c>
      <x:c r="B33" s="49" t="str">
        <x:v>M003</x:v>
      </x:c>
      <x:c r="C33" s="49" t="str">
        <x:v>工艺气体</x:v>
      </x:c>
      <x:c r="D33" s="49" t="str">
        <x:v>瓶</x:v>
      </x:c>
      <x:c r="E33" s="174" t="n">
        <x:v>866</x:v>
      </x:c>
      <x:c r="F33" s="174" t="n">
        <x:v>1039</x:v>
      </x:c>
      <x:c r="G33" s="174" t="n">
        <x:v>736</x:v>
      </x:c>
      <x:c r="H33" s="175" t="n">
        <x:f>'01_Assumptions'!$B$8</x:f>
        <x:v>1</x:v>
      </x:c>
      <x:c r="I33" s="175" t="n">
        <x:f>E33*H33</x:f>
        <x:v>866</x:v>
      </x:c>
      <x:c r="J33" s="49"/>
      <x:c r="K33" s="49"/>
      <x:c r="L33" s="49"/>
      <x:c r="M33" s="49"/>
      <x:c r="N33" s="49"/>
      <x:c r="O33" s="49"/>
      <x:c r="P33" s="49"/>
      <x:c r="Q33" s="49"/>
      <x:c r="R33" s="49"/>
      <x:c r="S33" s="49"/>
      <x:c r="T33" s="49"/>
      <x:c r="U33" s="49"/>
      <x:c r="V33" s="49"/>
      <x:c r="W33" s="49"/>
      <x:c r="X33" s="49"/>
      <x:c r="Y33" s="49"/>
      <x:c r="Z33" s="49"/>
      <x:c r="AA33" s="49"/>
      <x:c r="AB33" s="49"/>
      <x:c r="AC33" s="49"/>
      <x:c r="AD33" s="49"/>
      <x:c r="AE33" s="49"/>
      <x:c r="AF33" s="49"/>
      <x:c r="AG33" s="49"/>
      <x:c r="AH33" s="49"/>
      <x:c r="AI33" s="49"/>
      <x:c r="AJ33" s="49"/>
      <x:c r="AK33" s="49"/>
      <x:c r="AL33" s="49"/>
      <x:c r="AM33" s="49"/>
      <x:c r="AN33" s="49"/>
      <x:c r="AO33" s="49"/>
      <x:c r="AP33" s="49"/>
      <x:c r="AQ33" s="49"/>
      <x:c r="AR33" s="49"/>
      <x:c r="AS33" s="49"/>
      <x:c r="AT33" s="49"/>
      <x:c r="AU33" s="49"/>
      <x:c r="AV33" s="49"/>
      <x:c r="AW33" s="49"/>
      <x:c r="AX33" s="49"/>
      <x:c r="AY33" s="49"/>
      <x:c r="AZ33" s="49"/>
    </x:row>
    <x:row r="34">
      <x:c r="A34" s="49" t="str">
        <x:v>2026-05</x:v>
      </x:c>
      <x:c r="B34" s="49" t="str">
        <x:v>M003</x:v>
      </x:c>
      <x:c r="C34" s="49" t="str">
        <x:v>工艺气体</x:v>
      </x:c>
      <x:c r="D34" s="49" t="str">
        <x:v>瓶</x:v>
      </x:c>
      <x:c r="E34" s="174" t="n">
        <x:v>862</x:v>
      </x:c>
      <x:c r="F34" s="174" t="n">
        <x:v>1034</x:v>
      </x:c>
      <x:c r="G34" s="174" t="n">
        <x:v>733</x:v>
      </x:c>
      <x:c r="H34" s="175" t="n">
        <x:f>'01_Assumptions'!$B$8</x:f>
        <x:v>1</x:v>
      </x:c>
      <x:c r="I34" s="175" t="n">
        <x:f>E34*H34</x:f>
        <x:v>862</x:v>
      </x:c>
      <x:c r="J34" s="49"/>
      <x:c r="K34" s="49"/>
      <x:c r="L34" s="49"/>
      <x:c r="M34" s="49"/>
      <x:c r="N34" s="49"/>
      <x:c r="O34" s="49"/>
      <x:c r="P34" s="49"/>
      <x:c r="Q34" s="49"/>
      <x:c r="R34" s="49"/>
      <x:c r="S34" s="49"/>
      <x:c r="T34" s="49"/>
      <x:c r="U34" s="49"/>
      <x:c r="V34" s="49"/>
      <x:c r="W34" s="49"/>
      <x:c r="X34" s="49"/>
      <x:c r="Y34" s="49"/>
      <x:c r="Z34" s="49"/>
      <x:c r="AA34" s="49"/>
      <x:c r="AB34" s="49"/>
      <x:c r="AC34" s="49"/>
      <x:c r="AD34" s="49"/>
      <x:c r="AE34" s="49"/>
      <x:c r="AF34" s="49"/>
      <x:c r="AG34" s="49"/>
      <x:c r="AH34" s="49"/>
      <x:c r="AI34" s="49"/>
      <x:c r="AJ34" s="49"/>
      <x:c r="AK34" s="49"/>
      <x:c r="AL34" s="49"/>
      <x:c r="AM34" s="49"/>
      <x:c r="AN34" s="49"/>
      <x:c r="AO34" s="49"/>
      <x:c r="AP34" s="49"/>
      <x:c r="AQ34" s="49"/>
      <x:c r="AR34" s="49"/>
      <x:c r="AS34" s="49"/>
      <x:c r="AT34" s="49"/>
      <x:c r="AU34" s="49"/>
      <x:c r="AV34" s="49"/>
      <x:c r="AW34" s="49"/>
      <x:c r="AX34" s="49"/>
      <x:c r="AY34" s="49"/>
      <x:c r="AZ34" s="49"/>
    </x:row>
    <x:row r="35">
      <x:c r="A35" s="49" t="str">
        <x:v>2026-06</x:v>
      </x:c>
      <x:c r="B35" s="49" t="str">
        <x:v>M003</x:v>
      </x:c>
      <x:c r="C35" s="49" t="str">
        <x:v>工艺气体</x:v>
      </x:c>
      <x:c r="D35" s="49" t="str">
        <x:v>瓶</x:v>
      </x:c>
      <x:c r="E35" s="174" t="n">
        <x:v>794</x:v>
      </x:c>
      <x:c r="F35" s="174" t="n">
        <x:v>953</x:v>
      </x:c>
      <x:c r="G35" s="174" t="n">
        <x:v>675</x:v>
      </x:c>
      <x:c r="H35" s="175" t="n">
        <x:f>'01_Assumptions'!$B$8</x:f>
        <x:v>1</x:v>
      </x:c>
      <x:c r="I35" s="175" t="n">
        <x:f>E35*H35</x:f>
        <x:v>794</x:v>
      </x:c>
      <x:c r="J35" s="49"/>
      <x:c r="K35" s="49"/>
      <x:c r="L35" s="49"/>
      <x:c r="M35" s="49"/>
      <x:c r="N35" s="49"/>
      <x:c r="O35" s="49"/>
      <x:c r="P35" s="49"/>
      <x:c r="Q35" s="49"/>
      <x:c r="R35" s="49"/>
      <x:c r="S35" s="49"/>
      <x:c r="T35" s="49"/>
      <x:c r="U35" s="49"/>
      <x:c r="V35" s="49"/>
      <x:c r="W35" s="49"/>
      <x:c r="X35" s="49"/>
      <x:c r="Y35" s="49"/>
      <x:c r="Z35" s="49"/>
      <x:c r="AA35" s="49"/>
      <x:c r="AB35" s="49"/>
      <x:c r="AC35" s="49"/>
      <x:c r="AD35" s="49"/>
      <x:c r="AE35" s="49"/>
      <x:c r="AF35" s="49"/>
      <x:c r="AG35" s="49"/>
      <x:c r="AH35" s="49"/>
      <x:c r="AI35" s="49"/>
      <x:c r="AJ35" s="49"/>
      <x:c r="AK35" s="49"/>
      <x:c r="AL35" s="49"/>
      <x:c r="AM35" s="49"/>
      <x:c r="AN35" s="49"/>
      <x:c r="AO35" s="49"/>
      <x:c r="AP35" s="49"/>
      <x:c r="AQ35" s="49"/>
      <x:c r="AR35" s="49"/>
      <x:c r="AS35" s="49"/>
      <x:c r="AT35" s="49"/>
      <x:c r="AU35" s="49"/>
      <x:c r="AV35" s="49"/>
      <x:c r="AW35" s="49"/>
      <x:c r="AX35" s="49"/>
      <x:c r="AY35" s="49"/>
      <x:c r="AZ35" s="49"/>
    </x:row>
    <x:row r="36">
      <x:c r="A36" s="49" t="str">
        <x:v>2026-07</x:v>
      </x:c>
      <x:c r="B36" s="49" t="str">
        <x:v>M003</x:v>
      </x:c>
      <x:c r="C36" s="49" t="str">
        <x:v>工艺气体</x:v>
      </x:c>
      <x:c r="D36" s="49" t="str">
        <x:v>瓶</x:v>
      </x:c>
      <x:c r="E36" s="174" t="n">
        <x:v>808</x:v>
      </x:c>
      <x:c r="F36" s="174" t="n">
        <x:v>970</x:v>
      </x:c>
      <x:c r="G36" s="174" t="n">
        <x:v>687</x:v>
      </x:c>
      <x:c r="H36" s="175" t="n">
        <x:f>'01_Assumptions'!$B$8</x:f>
        <x:v>1</x:v>
      </x:c>
      <x:c r="I36" s="175" t="n">
        <x:f>E36*H36</x:f>
        <x:v>808</x:v>
      </x:c>
      <x:c r="J36" s="49"/>
      <x:c r="K36" s="49"/>
      <x:c r="L36" s="49"/>
      <x:c r="M36" s="49"/>
      <x:c r="N36" s="49"/>
      <x:c r="O36" s="49"/>
      <x:c r="P36" s="49"/>
      <x:c r="Q36" s="49"/>
      <x:c r="R36" s="49"/>
      <x:c r="S36" s="49"/>
      <x:c r="T36" s="49"/>
      <x:c r="U36" s="49"/>
      <x:c r="V36" s="49"/>
      <x:c r="W36" s="49"/>
      <x:c r="X36" s="49"/>
      <x:c r="Y36" s="49"/>
      <x:c r="Z36" s="49"/>
      <x:c r="AA36" s="49"/>
      <x:c r="AB36" s="49"/>
      <x:c r="AC36" s="49"/>
      <x:c r="AD36" s="49"/>
      <x:c r="AE36" s="49"/>
      <x:c r="AF36" s="49"/>
      <x:c r="AG36" s="49"/>
      <x:c r="AH36" s="49"/>
      <x:c r="AI36" s="49"/>
      <x:c r="AJ36" s="49"/>
      <x:c r="AK36" s="49"/>
      <x:c r="AL36" s="49"/>
      <x:c r="AM36" s="49"/>
      <x:c r="AN36" s="49"/>
      <x:c r="AO36" s="49"/>
      <x:c r="AP36" s="49"/>
      <x:c r="AQ36" s="49"/>
      <x:c r="AR36" s="49"/>
      <x:c r="AS36" s="49"/>
      <x:c r="AT36" s="49"/>
      <x:c r="AU36" s="49"/>
      <x:c r="AV36" s="49"/>
      <x:c r="AW36" s="49"/>
      <x:c r="AX36" s="49"/>
      <x:c r="AY36" s="49"/>
      <x:c r="AZ36" s="49"/>
    </x:row>
    <x:row r="37">
      <x:c r="A37" s="49" t="str">
        <x:v>2026-08</x:v>
      </x:c>
      <x:c r="B37" s="49" t="str">
        <x:v>M003</x:v>
      </x:c>
      <x:c r="C37" s="49" t="str">
        <x:v>工艺气体</x:v>
      </x:c>
      <x:c r="D37" s="49" t="str">
        <x:v>瓶</x:v>
      </x:c>
      <x:c r="E37" s="174" t="n">
        <x:v>735</x:v>
      </x:c>
      <x:c r="F37" s="174" t="n">
        <x:v>882</x:v>
      </x:c>
      <x:c r="G37" s="174" t="n">
        <x:v>625</x:v>
      </x:c>
      <x:c r="H37" s="175" t="n">
        <x:f>'01_Assumptions'!$B$8</x:f>
        <x:v>1</x:v>
      </x:c>
      <x:c r="I37" s="175" t="n">
        <x:f>E37*H37</x:f>
        <x:v>735</x:v>
      </x:c>
      <x:c r="J37" s="49"/>
      <x:c r="K37" s="49"/>
      <x:c r="L37" s="49"/>
      <x:c r="M37" s="49"/>
      <x:c r="N37" s="49"/>
      <x:c r="O37" s="49"/>
      <x:c r="P37" s="49"/>
      <x:c r="Q37" s="49"/>
      <x:c r="R37" s="49"/>
      <x:c r="S37" s="49"/>
      <x:c r="T37" s="49"/>
      <x:c r="U37" s="49"/>
      <x:c r="V37" s="49"/>
      <x:c r="W37" s="49"/>
      <x:c r="X37" s="49"/>
      <x:c r="Y37" s="49"/>
      <x:c r="Z37" s="49"/>
      <x:c r="AA37" s="49"/>
      <x:c r="AB37" s="49"/>
      <x:c r="AC37" s="49"/>
      <x:c r="AD37" s="49"/>
      <x:c r="AE37" s="49"/>
      <x:c r="AF37" s="49"/>
      <x:c r="AG37" s="49"/>
      <x:c r="AH37" s="49"/>
      <x:c r="AI37" s="49"/>
      <x:c r="AJ37" s="49"/>
      <x:c r="AK37" s="49"/>
      <x:c r="AL37" s="49"/>
      <x:c r="AM37" s="49"/>
      <x:c r="AN37" s="49"/>
      <x:c r="AO37" s="49"/>
      <x:c r="AP37" s="49"/>
      <x:c r="AQ37" s="49"/>
      <x:c r="AR37" s="49"/>
      <x:c r="AS37" s="49"/>
      <x:c r="AT37" s="49"/>
      <x:c r="AU37" s="49"/>
      <x:c r="AV37" s="49"/>
      <x:c r="AW37" s="49"/>
      <x:c r="AX37" s="49"/>
      <x:c r="AY37" s="49"/>
      <x:c r="AZ37" s="49"/>
    </x:row>
    <x:row r="38">
      <x:c r="A38" s="49" t="str">
        <x:v>2026-09</x:v>
      </x:c>
      <x:c r="B38" s="49" t="str">
        <x:v>M003</x:v>
      </x:c>
      <x:c r="C38" s="49" t="str">
        <x:v>工艺气体</x:v>
      </x:c>
      <x:c r="D38" s="49" t="str">
        <x:v>瓶</x:v>
      </x:c>
      <x:c r="E38" s="174" t="n">
        <x:v>740</x:v>
      </x:c>
      <x:c r="F38" s="174" t="n">
        <x:v>888</x:v>
      </x:c>
      <x:c r="G38" s="174" t="n">
        <x:v>629</x:v>
      </x:c>
      <x:c r="H38" s="175" t="n">
        <x:f>'01_Assumptions'!$B$8</x:f>
        <x:v>1</x:v>
      </x:c>
      <x:c r="I38" s="175" t="n">
        <x:f>E38*H38</x:f>
        <x:v>740</x:v>
      </x:c>
      <x:c r="J38" s="49"/>
      <x:c r="K38" s="49"/>
      <x:c r="L38" s="49"/>
      <x:c r="M38" s="49"/>
      <x:c r="N38" s="49"/>
      <x:c r="O38" s="49"/>
      <x:c r="P38" s="49"/>
      <x:c r="Q38" s="49"/>
      <x:c r="R38" s="49"/>
      <x:c r="S38" s="49"/>
      <x:c r="T38" s="49"/>
      <x:c r="U38" s="49"/>
      <x:c r="V38" s="49"/>
      <x:c r="W38" s="49"/>
      <x:c r="X38" s="49"/>
      <x:c r="Y38" s="49"/>
      <x:c r="Z38" s="49"/>
      <x:c r="AA38" s="49"/>
      <x:c r="AB38" s="49"/>
      <x:c r="AC38" s="49"/>
      <x:c r="AD38" s="49"/>
      <x:c r="AE38" s="49"/>
      <x:c r="AF38" s="49"/>
      <x:c r="AG38" s="49"/>
      <x:c r="AH38" s="49"/>
      <x:c r="AI38" s="49"/>
      <x:c r="AJ38" s="49"/>
      <x:c r="AK38" s="49"/>
      <x:c r="AL38" s="49"/>
      <x:c r="AM38" s="49"/>
      <x:c r="AN38" s="49"/>
      <x:c r="AO38" s="49"/>
      <x:c r="AP38" s="49"/>
      <x:c r="AQ38" s="49"/>
      <x:c r="AR38" s="49"/>
      <x:c r="AS38" s="49"/>
      <x:c r="AT38" s="49"/>
      <x:c r="AU38" s="49"/>
      <x:c r="AV38" s="49"/>
      <x:c r="AW38" s="49"/>
      <x:c r="AX38" s="49"/>
      <x:c r="AY38" s="49"/>
      <x:c r="AZ38" s="49"/>
    </x:row>
    <x:row r="39">
      <x:c r="A39" s="49" t="str">
        <x:v>2026-10</x:v>
      </x:c>
      <x:c r="B39" s="49" t="str">
        <x:v>M003</x:v>
      </x:c>
      <x:c r="C39" s="49" t="str">
        <x:v>工艺气体</x:v>
      </x:c>
      <x:c r="D39" s="49" t="str">
        <x:v>瓶</x:v>
      </x:c>
      <x:c r="E39" s="174" t="n">
        <x:v>732</x:v>
      </x:c>
      <x:c r="F39" s="174" t="n">
        <x:v>878</x:v>
      </x:c>
      <x:c r="G39" s="174" t="n">
        <x:v>622</x:v>
      </x:c>
      <x:c r="H39" s="175" t="n">
        <x:f>'01_Assumptions'!$B$8</x:f>
        <x:v>1</x:v>
      </x:c>
      <x:c r="I39" s="175" t="n">
        <x:f>E39*H39</x:f>
        <x:v>732</x:v>
      </x:c>
      <x:c r="J39" s="49"/>
      <x:c r="K39" s="49"/>
      <x:c r="L39" s="49"/>
      <x:c r="M39" s="49"/>
      <x:c r="N39" s="49"/>
      <x:c r="O39" s="49"/>
      <x:c r="P39" s="49"/>
      <x:c r="Q39" s="49"/>
      <x:c r="R39" s="49"/>
      <x:c r="S39" s="49"/>
      <x:c r="T39" s="49"/>
      <x:c r="U39" s="49"/>
      <x:c r="V39" s="49"/>
      <x:c r="W39" s="49"/>
      <x:c r="X39" s="49"/>
      <x:c r="Y39" s="49"/>
      <x:c r="Z39" s="49"/>
      <x:c r="AA39" s="49"/>
      <x:c r="AB39" s="49"/>
      <x:c r="AC39" s="49"/>
      <x:c r="AD39" s="49"/>
      <x:c r="AE39" s="49"/>
      <x:c r="AF39" s="49"/>
      <x:c r="AG39" s="49"/>
      <x:c r="AH39" s="49"/>
      <x:c r="AI39" s="49"/>
      <x:c r="AJ39" s="49"/>
      <x:c r="AK39" s="49"/>
      <x:c r="AL39" s="49"/>
      <x:c r="AM39" s="49"/>
      <x:c r="AN39" s="49"/>
      <x:c r="AO39" s="49"/>
      <x:c r="AP39" s="49"/>
      <x:c r="AQ39" s="49"/>
      <x:c r="AR39" s="49"/>
      <x:c r="AS39" s="49"/>
      <x:c r="AT39" s="49"/>
      <x:c r="AU39" s="49"/>
      <x:c r="AV39" s="49"/>
      <x:c r="AW39" s="49"/>
      <x:c r="AX39" s="49"/>
      <x:c r="AY39" s="49"/>
      <x:c r="AZ39" s="49"/>
    </x:row>
    <x:row r="40">
      <x:c r="A40" s="49" t="str">
        <x:v>2026-11</x:v>
      </x:c>
      <x:c r="B40" s="49" t="str">
        <x:v>M003</x:v>
      </x:c>
      <x:c r="C40" s="49" t="str">
        <x:v>工艺气体</x:v>
      </x:c>
      <x:c r="D40" s="49" t="str">
        <x:v>瓶</x:v>
      </x:c>
      <x:c r="E40" s="174" t="n">
        <x:v>769</x:v>
      </x:c>
      <x:c r="F40" s="174" t="n">
        <x:v>923</x:v>
      </x:c>
      <x:c r="G40" s="174" t="n">
        <x:v>654</x:v>
      </x:c>
      <x:c r="H40" s="175" t="n">
        <x:f>'01_Assumptions'!$B$8</x:f>
        <x:v>1</x:v>
      </x:c>
      <x:c r="I40" s="175" t="n">
        <x:f>E40*H40</x:f>
        <x:v>769</x:v>
      </x:c>
      <x:c r="J40" s="49"/>
      <x:c r="K40" s="49"/>
      <x:c r="L40" s="49"/>
      <x:c r="M40" s="49"/>
      <x:c r="N40" s="49"/>
      <x:c r="O40" s="49"/>
      <x:c r="P40" s="49"/>
      <x:c r="Q40" s="49"/>
      <x:c r="R40" s="49"/>
      <x:c r="S40" s="49"/>
      <x:c r="T40" s="49"/>
      <x:c r="U40" s="49"/>
      <x:c r="V40" s="49"/>
      <x:c r="W40" s="49"/>
      <x:c r="X40" s="49"/>
      <x:c r="Y40" s="49"/>
      <x:c r="Z40" s="49"/>
      <x:c r="AA40" s="49"/>
      <x:c r="AB40" s="49"/>
      <x:c r="AC40" s="49"/>
      <x:c r="AD40" s="49"/>
      <x:c r="AE40" s="49"/>
      <x:c r="AF40" s="49"/>
      <x:c r="AG40" s="49"/>
      <x:c r="AH40" s="49"/>
      <x:c r="AI40" s="49"/>
      <x:c r="AJ40" s="49"/>
      <x:c r="AK40" s="49"/>
      <x:c r="AL40" s="49"/>
      <x:c r="AM40" s="49"/>
      <x:c r="AN40" s="49"/>
      <x:c r="AO40" s="49"/>
      <x:c r="AP40" s="49"/>
      <x:c r="AQ40" s="49"/>
      <x:c r="AR40" s="49"/>
      <x:c r="AS40" s="49"/>
      <x:c r="AT40" s="49"/>
      <x:c r="AU40" s="49"/>
      <x:c r="AV40" s="49"/>
      <x:c r="AW40" s="49"/>
      <x:c r="AX40" s="49"/>
      <x:c r="AY40" s="49"/>
      <x:c r="AZ40" s="49"/>
    </x:row>
    <x:row r="41">
      <x:c r="A41" s="49" t="str">
        <x:v>2026-12</x:v>
      </x:c>
      <x:c r="B41" s="49" t="str">
        <x:v>M003</x:v>
      </x:c>
      <x:c r="C41" s="49" t="str">
        <x:v>工艺气体</x:v>
      </x:c>
      <x:c r="D41" s="49" t="str">
        <x:v>瓶</x:v>
      </x:c>
      <x:c r="E41" s="174" t="n">
        <x:v>808</x:v>
      </x:c>
      <x:c r="F41" s="174" t="n">
        <x:v>970</x:v>
      </x:c>
      <x:c r="G41" s="174" t="n">
        <x:v>687</x:v>
      </x:c>
      <x:c r="H41" s="175" t="n">
        <x:f>'01_Assumptions'!$B$8</x:f>
        <x:v>1</x:v>
      </x:c>
      <x:c r="I41" s="175" t="n">
        <x:f>E41*H41</x:f>
        <x:v>808</x:v>
      </x:c>
      <x:c r="J41" s="49"/>
      <x:c r="K41" s="49"/>
      <x:c r="L41" s="49"/>
      <x:c r="M41" s="49"/>
      <x:c r="N41" s="49"/>
      <x:c r="O41" s="49"/>
      <x:c r="P41" s="49"/>
      <x:c r="Q41" s="49"/>
      <x:c r="R41" s="49"/>
      <x:c r="S41" s="49"/>
      <x:c r="T41" s="49"/>
      <x:c r="U41" s="49"/>
      <x:c r="V41" s="49"/>
      <x:c r="W41" s="49"/>
      <x:c r="X41" s="49"/>
      <x:c r="Y41" s="49"/>
      <x:c r="Z41" s="49"/>
      <x:c r="AA41" s="49"/>
      <x:c r="AB41" s="49"/>
      <x:c r="AC41" s="49"/>
      <x:c r="AD41" s="49"/>
      <x:c r="AE41" s="49"/>
      <x:c r="AF41" s="49"/>
      <x:c r="AG41" s="49"/>
      <x:c r="AH41" s="49"/>
      <x:c r="AI41" s="49"/>
      <x:c r="AJ41" s="49"/>
      <x:c r="AK41" s="49"/>
      <x:c r="AL41" s="49"/>
      <x:c r="AM41" s="49"/>
      <x:c r="AN41" s="49"/>
      <x:c r="AO41" s="49"/>
      <x:c r="AP41" s="49"/>
      <x:c r="AQ41" s="49"/>
      <x:c r="AR41" s="49"/>
      <x:c r="AS41" s="49"/>
      <x:c r="AT41" s="49"/>
      <x:c r="AU41" s="49"/>
      <x:c r="AV41" s="49"/>
      <x:c r="AW41" s="49"/>
      <x:c r="AX41" s="49"/>
      <x:c r="AY41" s="49"/>
      <x:c r="AZ41" s="49"/>
    </x:row>
    <x:row r="42">
      <x:c r="A42" s="49" t="str">
        <x:v>2026-01</x:v>
      </x:c>
      <x:c r="B42" s="49" t="str">
        <x:v>M004</x:v>
      </x:c>
      <x:c r="C42" s="49" t="str">
        <x:v>CMP抛光液</x:v>
      </x:c>
      <x:c r="D42" s="49" t="str">
        <x:v>升</x:v>
      </x:c>
      <x:c r="E42" s="174" t="n">
        <x:v>6078</x:v>
      </x:c>
      <x:c r="F42" s="174" t="n">
        <x:v>7294</x:v>
      </x:c>
      <x:c r="G42" s="174" t="n">
        <x:v>5166</x:v>
      </x:c>
      <x:c r="H42" s="175" t="n">
        <x:f>'01_Assumptions'!$B$8</x:f>
        <x:v>1</x:v>
      </x:c>
      <x:c r="I42" s="175" t="n">
        <x:f>E42*H42</x:f>
        <x:v>6078</x:v>
      </x:c>
      <x:c r="J42" s="49"/>
      <x:c r="K42" s="49"/>
      <x:c r="L42" s="49"/>
      <x:c r="M42" s="49"/>
      <x:c r="N42" s="49"/>
      <x:c r="O42" s="49"/>
      <x:c r="P42" s="49"/>
      <x:c r="Q42" s="49"/>
      <x:c r="R42" s="49"/>
      <x:c r="S42" s="49"/>
      <x:c r="T42" s="49"/>
      <x:c r="U42" s="49"/>
      <x:c r="V42" s="49"/>
      <x:c r="W42" s="49"/>
      <x:c r="X42" s="49"/>
      <x:c r="Y42" s="49"/>
      <x:c r="Z42" s="49"/>
      <x:c r="AA42" s="49"/>
      <x:c r="AB42" s="49"/>
      <x:c r="AC42" s="49"/>
      <x:c r="AD42" s="49"/>
      <x:c r="AE42" s="49"/>
      <x:c r="AF42" s="49"/>
      <x:c r="AG42" s="49"/>
      <x:c r="AH42" s="49"/>
      <x:c r="AI42" s="49"/>
      <x:c r="AJ42" s="49"/>
      <x:c r="AK42" s="49"/>
      <x:c r="AL42" s="49"/>
      <x:c r="AM42" s="49"/>
      <x:c r="AN42" s="49"/>
      <x:c r="AO42" s="49"/>
      <x:c r="AP42" s="49"/>
      <x:c r="AQ42" s="49"/>
      <x:c r="AR42" s="49"/>
      <x:c r="AS42" s="49"/>
      <x:c r="AT42" s="49"/>
      <x:c r="AU42" s="49"/>
      <x:c r="AV42" s="49"/>
      <x:c r="AW42" s="49"/>
      <x:c r="AX42" s="49"/>
      <x:c r="AY42" s="49"/>
      <x:c r="AZ42" s="49"/>
    </x:row>
    <x:row r="43">
      <x:c r="A43" s="49" t="str">
        <x:v>2026-02</x:v>
      </x:c>
      <x:c r="B43" s="49" t="str">
        <x:v>M004</x:v>
      </x:c>
      <x:c r="C43" s="49" t="str">
        <x:v>CMP抛光液</x:v>
      </x:c>
      <x:c r="D43" s="49" t="str">
        <x:v>升</x:v>
      </x:c>
      <x:c r="E43" s="174" t="n">
        <x:v>6318</x:v>
      </x:c>
      <x:c r="F43" s="174" t="n">
        <x:v>7582</x:v>
      </x:c>
      <x:c r="G43" s="174" t="n">
        <x:v>5370</x:v>
      </x:c>
      <x:c r="H43" s="175" t="n">
        <x:f>'01_Assumptions'!$B$8</x:f>
        <x:v>1</x:v>
      </x:c>
      <x:c r="I43" s="175" t="n">
        <x:f>E43*H43</x:f>
        <x:v>6318</x:v>
      </x:c>
      <x:c r="J43" s="49"/>
      <x:c r="K43" s="49"/>
      <x:c r="L43" s="49"/>
      <x:c r="M43" s="49"/>
      <x:c r="N43" s="49"/>
      <x:c r="O43" s="49"/>
      <x:c r="P43" s="49"/>
      <x:c r="Q43" s="49"/>
      <x:c r="R43" s="49"/>
      <x:c r="S43" s="49"/>
      <x:c r="T43" s="49"/>
      <x:c r="U43" s="49"/>
      <x:c r="V43" s="49"/>
      <x:c r="W43" s="49"/>
      <x:c r="X43" s="49"/>
      <x:c r="Y43" s="49"/>
      <x:c r="Z43" s="49"/>
      <x:c r="AA43" s="49"/>
      <x:c r="AB43" s="49"/>
      <x:c r="AC43" s="49"/>
      <x:c r="AD43" s="49"/>
      <x:c r="AE43" s="49"/>
      <x:c r="AF43" s="49"/>
      <x:c r="AG43" s="49"/>
      <x:c r="AH43" s="49"/>
      <x:c r="AI43" s="49"/>
      <x:c r="AJ43" s="49"/>
      <x:c r="AK43" s="49"/>
      <x:c r="AL43" s="49"/>
      <x:c r="AM43" s="49"/>
      <x:c r="AN43" s="49"/>
      <x:c r="AO43" s="49"/>
      <x:c r="AP43" s="49"/>
      <x:c r="AQ43" s="49"/>
      <x:c r="AR43" s="49"/>
      <x:c r="AS43" s="49"/>
      <x:c r="AT43" s="49"/>
      <x:c r="AU43" s="49"/>
      <x:c r="AV43" s="49"/>
      <x:c r="AW43" s="49"/>
      <x:c r="AX43" s="49"/>
      <x:c r="AY43" s="49"/>
      <x:c r="AZ43" s="49"/>
    </x:row>
    <x:row r="44">
      <x:c r="A44" s="49" t="str">
        <x:v>2026-03</x:v>
      </x:c>
      <x:c r="B44" s="49" t="str">
        <x:v>M004</x:v>
      </x:c>
      <x:c r="C44" s="49" t="str">
        <x:v>CMP抛光液</x:v>
      </x:c>
      <x:c r="D44" s="49" t="str">
        <x:v>升</x:v>
      </x:c>
      <x:c r="E44" s="174" t="n">
        <x:v>6723</x:v>
      </x:c>
      <x:c r="F44" s="174" t="n">
        <x:v>8068</x:v>
      </x:c>
      <x:c r="G44" s="174" t="n">
        <x:v>5715</x:v>
      </x:c>
      <x:c r="H44" s="175" t="n">
        <x:f>'01_Assumptions'!$B$8</x:f>
        <x:v>1</x:v>
      </x:c>
      <x:c r="I44" s="175" t="n">
        <x:f>E44*H44</x:f>
        <x:v>6723</x:v>
      </x:c>
      <x:c r="J44" s="49"/>
      <x:c r="K44" s="49"/>
      <x:c r="L44" s="49"/>
      <x:c r="M44" s="49"/>
      <x:c r="N44" s="49"/>
      <x:c r="O44" s="49"/>
      <x:c r="P44" s="49"/>
      <x:c r="Q44" s="49"/>
      <x:c r="R44" s="49"/>
      <x:c r="S44" s="49"/>
      <x:c r="T44" s="49"/>
      <x:c r="U44" s="49"/>
      <x:c r="V44" s="49"/>
      <x:c r="W44" s="49"/>
      <x:c r="X44" s="49"/>
      <x:c r="Y44" s="49"/>
      <x:c r="Z44" s="49"/>
      <x:c r="AA44" s="49"/>
      <x:c r="AB44" s="49"/>
      <x:c r="AC44" s="49"/>
      <x:c r="AD44" s="49"/>
      <x:c r="AE44" s="49"/>
      <x:c r="AF44" s="49"/>
      <x:c r="AG44" s="49"/>
      <x:c r="AH44" s="49"/>
      <x:c r="AI44" s="49"/>
      <x:c r="AJ44" s="49"/>
      <x:c r="AK44" s="49"/>
      <x:c r="AL44" s="49"/>
      <x:c r="AM44" s="49"/>
      <x:c r="AN44" s="49"/>
      <x:c r="AO44" s="49"/>
      <x:c r="AP44" s="49"/>
      <x:c r="AQ44" s="49"/>
      <x:c r="AR44" s="49"/>
      <x:c r="AS44" s="49"/>
      <x:c r="AT44" s="49"/>
      <x:c r="AU44" s="49"/>
      <x:c r="AV44" s="49"/>
      <x:c r="AW44" s="49"/>
      <x:c r="AX44" s="49"/>
      <x:c r="AY44" s="49"/>
      <x:c r="AZ44" s="49"/>
    </x:row>
    <x:row r="45">
      <x:c r="A45" s="49" t="str">
        <x:v>2026-04</x:v>
      </x:c>
      <x:c r="B45" s="49" t="str">
        <x:v>M004</x:v>
      </x:c>
      <x:c r="C45" s="49" t="str">
        <x:v>CMP抛光液</x:v>
      </x:c>
      <x:c r="D45" s="49" t="str">
        <x:v>升</x:v>
      </x:c>
      <x:c r="E45" s="174" t="n">
        <x:v>6554</x:v>
      </x:c>
      <x:c r="F45" s="174" t="n">
        <x:v>7865</x:v>
      </x:c>
      <x:c r="G45" s="174" t="n">
        <x:v>5571</x:v>
      </x:c>
      <x:c r="H45" s="175" t="n">
        <x:f>'01_Assumptions'!$B$8</x:f>
        <x:v>1</x:v>
      </x:c>
      <x:c r="I45" s="175" t="n">
        <x:f>E45*H45</x:f>
        <x:v>6554</x:v>
      </x:c>
      <x:c r="J45" s="49"/>
      <x:c r="K45" s="49"/>
      <x:c r="L45" s="49"/>
      <x:c r="M45" s="49"/>
      <x:c r="N45" s="49"/>
      <x:c r="O45" s="49"/>
      <x:c r="P45" s="49"/>
      <x:c r="Q45" s="49"/>
      <x:c r="R45" s="49"/>
      <x:c r="S45" s="49"/>
      <x:c r="T45" s="49"/>
      <x:c r="U45" s="49"/>
      <x:c r="V45" s="49"/>
      <x:c r="W45" s="49"/>
      <x:c r="X45" s="49"/>
      <x:c r="Y45" s="49"/>
      <x:c r="Z45" s="49"/>
      <x:c r="AA45" s="49"/>
      <x:c r="AB45" s="49"/>
      <x:c r="AC45" s="49"/>
      <x:c r="AD45" s="49"/>
      <x:c r="AE45" s="49"/>
      <x:c r="AF45" s="49"/>
      <x:c r="AG45" s="49"/>
      <x:c r="AH45" s="49"/>
      <x:c r="AI45" s="49"/>
      <x:c r="AJ45" s="49"/>
      <x:c r="AK45" s="49"/>
      <x:c r="AL45" s="49"/>
      <x:c r="AM45" s="49"/>
      <x:c r="AN45" s="49"/>
      <x:c r="AO45" s="49"/>
      <x:c r="AP45" s="49"/>
      <x:c r="AQ45" s="49"/>
      <x:c r="AR45" s="49"/>
      <x:c r="AS45" s="49"/>
      <x:c r="AT45" s="49"/>
      <x:c r="AU45" s="49"/>
      <x:c r="AV45" s="49"/>
      <x:c r="AW45" s="49"/>
      <x:c r="AX45" s="49"/>
      <x:c r="AY45" s="49"/>
      <x:c r="AZ45" s="49"/>
    </x:row>
    <x:row r="46">
      <x:c r="A46" s="49" t="str">
        <x:v>2026-05</x:v>
      </x:c>
      <x:c r="B46" s="49" t="str">
        <x:v>M004</x:v>
      </x:c>
      <x:c r="C46" s="49" t="str">
        <x:v>CMP抛光液</x:v>
      </x:c>
      <x:c r="D46" s="49" t="str">
        <x:v>升</x:v>
      </x:c>
      <x:c r="E46" s="174" t="n">
        <x:v>6346</x:v>
      </x:c>
      <x:c r="F46" s="174" t="n">
        <x:v>7615</x:v>
      </x:c>
      <x:c r="G46" s="174" t="n">
        <x:v>5394</x:v>
      </x:c>
      <x:c r="H46" s="175" t="n">
        <x:f>'01_Assumptions'!$B$8</x:f>
        <x:v>1</x:v>
      </x:c>
      <x:c r="I46" s="175" t="n">
        <x:f>E46*H46</x:f>
        <x:v>6346</x:v>
      </x:c>
      <x:c r="J46" s="49"/>
      <x:c r="K46" s="49"/>
      <x:c r="L46" s="49"/>
      <x:c r="M46" s="49"/>
      <x:c r="N46" s="49"/>
      <x:c r="O46" s="49"/>
      <x:c r="P46" s="49"/>
      <x:c r="Q46" s="49"/>
      <x:c r="R46" s="49"/>
      <x:c r="S46" s="49"/>
      <x:c r="T46" s="49"/>
      <x:c r="U46" s="49"/>
      <x:c r="V46" s="49"/>
      <x:c r="W46" s="49"/>
      <x:c r="X46" s="49"/>
      <x:c r="Y46" s="49"/>
      <x:c r="Z46" s="49"/>
      <x:c r="AA46" s="49"/>
      <x:c r="AB46" s="49"/>
      <x:c r="AC46" s="49"/>
      <x:c r="AD46" s="49"/>
      <x:c r="AE46" s="49"/>
      <x:c r="AF46" s="49"/>
      <x:c r="AG46" s="49"/>
      <x:c r="AH46" s="49"/>
      <x:c r="AI46" s="49"/>
      <x:c r="AJ46" s="49"/>
      <x:c r="AK46" s="49"/>
      <x:c r="AL46" s="49"/>
      <x:c r="AM46" s="49"/>
      <x:c r="AN46" s="49"/>
      <x:c r="AO46" s="49"/>
      <x:c r="AP46" s="49"/>
      <x:c r="AQ46" s="49"/>
      <x:c r="AR46" s="49"/>
      <x:c r="AS46" s="49"/>
      <x:c r="AT46" s="49"/>
      <x:c r="AU46" s="49"/>
      <x:c r="AV46" s="49"/>
      <x:c r="AW46" s="49"/>
      <x:c r="AX46" s="49"/>
      <x:c r="AY46" s="49"/>
      <x:c r="AZ46" s="49"/>
    </x:row>
    <x:row r="47">
      <x:c r="A47" s="49" t="str">
        <x:v>2026-06</x:v>
      </x:c>
      <x:c r="B47" s="49" t="str">
        <x:v>M004</x:v>
      </x:c>
      <x:c r="C47" s="49" t="str">
        <x:v>CMP抛光液</x:v>
      </x:c>
      <x:c r="D47" s="49" t="str">
        <x:v>升</x:v>
      </x:c>
      <x:c r="E47" s="174" t="n">
        <x:v>6513</x:v>
      </x:c>
      <x:c r="F47" s="174" t="n">
        <x:v>7816</x:v>
      </x:c>
      <x:c r="G47" s="174" t="n">
        <x:v>5536</x:v>
      </x:c>
      <x:c r="H47" s="175" t="n">
        <x:f>'01_Assumptions'!$B$8</x:f>
        <x:v>1</x:v>
      </x:c>
      <x:c r="I47" s="175" t="n">
        <x:f>E47*H47</x:f>
        <x:v>6513</x:v>
      </x:c>
      <x:c r="J47" s="49"/>
      <x:c r="K47" s="49"/>
      <x:c r="L47" s="49"/>
      <x:c r="M47" s="49"/>
      <x:c r="N47" s="49"/>
      <x:c r="O47" s="49"/>
      <x:c r="P47" s="49"/>
      <x:c r="Q47" s="49"/>
      <x:c r="R47" s="49"/>
      <x:c r="S47" s="49"/>
      <x:c r="T47" s="49"/>
      <x:c r="U47" s="49"/>
      <x:c r="V47" s="49"/>
      <x:c r="W47" s="49"/>
      <x:c r="X47" s="49"/>
      <x:c r="Y47" s="49"/>
      <x:c r="Z47" s="49"/>
      <x:c r="AA47" s="49"/>
      <x:c r="AB47" s="49"/>
      <x:c r="AC47" s="49"/>
      <x:c r="AD47" s="49"/>
      <x:c r="AE47" s="49"/>
      <x:c r="AF47" s="49"/>
      <x:c r="AG47" s="49"/>
      <x:c r="AH47" s="49"/>
      <x:c r="AI47" s="49"/>
      <x:c r="AJ47" s="49"/>
      <x:c r="AK47" s="49"/>
      <x:c r="AL47" s="49"/>
      <x:c r="AM47" s="49"/>
      <x:c r="AN47" s="49"/>
      <x:c r="AO47" s="49"/>
      <x:c r="AP47" s="49"/>
      <x:c r="AQ47" s="49"/>
      <x:c r="AR47" s="49"/>
      <x:c r="AS47" s="49"/>
      <x:c r="AT47" s="49"/>
      <x:c r="AU47" s="49"/>
      <x:c r="AV47" s="49"/>
      <x:c r="AW47" s="49"/>
      <x:c r="AX47" s="49"/>
      <x:c r="AY47" s="49"/>
      <x:c r="AZ47" s="49"/>
    </x:row>
    <x:row r="48">
      <x:c r="A48" s="49" t="str">
        <x:v>2026-07</x:v>
      </x:c>
      <x:c r="B48" s="49" t="str">
        <x:v>M004</x:v>
      </x:c>
      <x:c r="C48" s="49" t="str">
        <x:v>CMP抛光液</x:v>
      </x:c>
      <x:c r="D48" s="49" t="str">
        <x:v>升</x:v>
      </x:c>
      <x:c r="E48" s="174" t="n">
        <x:v>6268</x:v>
      </x:c>
      <x:c r="F48" s="174" t="n">
        <x:v>7522</x:v>
      </x:c>
      <x:c r="G48" s="174" t="n">
        <x:v>5328</x:v>
      </x:c>
      <x:c r="H48" s="175" t="n">
        <x:f>'01_Assumptions'!$B$8</x:f>
        <x:v>1</x:v>
      </x:c>
      <x:c r="I48" s="175" t="n">
        <x:f>E48*H48</x:f>
        <x:v>6268</x:v>
      </x:c>
      <x:c r="J48" s="49"/>
      <x:c r="K48" s="49"/>
      <x:c r="L48" s="49"/>
      <x:c r="M48" s="49"/>
      <x:c r="N48" s="49"/>
      <x:c r="O48" s="49"/>
      <x:c r="P48" s="49"/>
      <x:c r="Q48" s="49"/>
      <x:c r="R48" s="49"/>
      <x:c r="S48" s="49"/>
      <x:c r="T48" s="49"/>
      <x:c r="U48" s="49"/>
      <x:c r="V48" s="49"/>
      <x:c r="W48" s="49"/>
      <x:c r="X48" s="49"/>
      <x:c r="Y48" s="49"/>
      <x:c r="Z48" s="49"/>
      <x:c r="AA48" s="49"/>
      <x:c r="AB48" s="49"/>
      <x:c r="AC48" s="49"/>
      <x:c r="AD48" s="49"/>
      <x:c r="AE48" s="49"/>
      <x:c r="AF48" s="49"/>
      <x:c r="AG48" s="49"/>
      <x:c r="AH48" s="49"/>
      <x:c r="AI48" s="49"/>
      <x:c r="AJ48" s="49"/>
      <x:c r="AK48" s="49"/>
      <x:c r="AL48" s="49"/>
      <x:c r="AM48" s="49"/>
      <x:c r="AN48" s="49"/>
      <x:c r="AO48" s="49"/>
      <x:c r="AP48" s="49"/>
      <x:c r="AQ48" s="49"/>
      <x:c r="AR48" s="49"/>
      <x:c r="AS48" s="49"/>
      <x:c r="AT48" s="49"/>
      <x:c r="AU48" s="49"/>
      <x:c r="AV48" s="49"/>
      <x:c r="AW48" s="49"/>
      <x:c r="AX48" s="49"/>
      <x:c r="AY48" s="49"/>
      <x:c r="AZ48" s="49"/>
    </x:row>
    <x:row r="49">
      <x:c r="A49" s="49" t="str">
        <x:v>2026-08</x:v>
      </x:c>
      <x:c r="B49" s="49" t="str">
        <x:v>M004</x:v>
      </x:c>
      <x:c r="C49" s="49" t="str">
        <x:v>CMP抛光液</x:v>
      </x:c>
      <x:c r="D49" s="49" t="str">
        <x:v>升</x:v>
      </x:c>
      <x:c r="E49" s="174" t="n">
        <x:v>6139</x:v>
      </x:c>
      <x:c r="F49" s="174" t="n">
        <x:v>7367</x:v>
      </x:c>
      <x:c r="G49" s="174" t="n">
        <x:v>5218</x:v>
      </x:c>
      <x:c r="H49" s="175" t="n">
        <x:f>'01_Assumptions'!$B$8</x:f>
        <x:v>1</x:v>
      </x:c>
      <x:c r="I49" s="175" t="n">
        <x:f>E49*H49</x:f>
        <x:v>6139</x:v>
      </x:c>
      <x:c r="J49" s="49"/>
      <x:c r="K49" s="49"/>
      <x:c r="L49" s="49"/>
      <x:c r="M49" s="49"/>
      <x:c r="N49" s="49"/>
      <x:c r="O49" s="49"/>
      <x:c r="P49" s="49"/>
      <x:c r="Q49" s="49"/>
      <x:c r="R49" s="49"/>
      <x:c r="S49" s="49"/>
      <x:c r="T49" s="49"/>
      <x:c r="U49" s="49"/>
      <x:c r="V49" s="49"/>
      <x:c r="W49" s="49"/>
      <x:c r="X49" s="49"/>
      <x:c r="Y49" s="49"/>
      <x:c r="Z49" s="49"/>
      <x:c r="AA49" s="49"/>
      <x:c r="AB49" s="49"/>
      <x:c r="AC49" s="49"/>
      <x:c r="AD49" s="49"/>
      <x:c r="AE49" s="49"/>
      <x:c r="AF49" s="49"/>
      <x:c r="AG49" s="49"/>
      <x:c r="AH49" s="49"/>
      <x:c r="AI49" s="49"/>
      <x:c r="AJ49" s="49"/>
      <x:c r="AK49" s="49"/>
      <x:c r="AL49" s="49"/>
      <x:c r="AM49" s="49"/>
      <x:c r="AN49" s="49"/>
      <x:c r="AO49" s="49"/>
      <x:c r="AP49" s="49"/>
      <x:c r="AQ49" s="49"/>
      <x:c r="AR49" s="49"/>
      <x:c r="AS49" s="49"/>
      <x:c r="AT49" s="49"/>
      <x:c r="AU49" s="49"/>
      <x:c r="AV49" s="49"/>
      <x:c r="AW49" s="49"/>
      <x:c r="AX49" s="49"/>
      <x:c r="AY49" s="49"/>
      <x:c r="AZ49" s="49"/>
    </x:row>
    <x:row r="50">
      <x:c r="A50" s="49" t="str">
        <x:v>2026-09</x:v>
      </x:c>
      <x:c r="B50" s="49" t="str">
        <x:v>M004</x:v>
      </x:c>
      <x:c r="C50" s="49" t="str">
        <x:v>CMP抛光液</x:v>
      </x:c>
      <x:c r="D50" s="49" t="str">
        <x:v>升</x:v>
      </x:c>
      <x:c r="E50" s="174" t="n">
        <x:v>6139</x:v>
      </x:c>
      <x:c r="F50" s="174" t="n">
        <x:v>7367</x:v>
      </x:c>
      <x:c r="G50" s="174" t="n">
        <x:v>5218</x:v>
      </x:c>
      <x:c r="H50" s="175" t="n">
        <x:f>'01_Assumptions'!$B$8</x:f>
        <x:v>1</x:v>
      </x:c>
      <x:c r="I50" s="175" t="n">
        <x:f>E50*H50</x:f>
        <x:v>6139</x:v>
      </x:c>
      <x:c r="J50" s="49"/>
      <x:c r="K50" s="49"/>
      <x:c r="L50" s="49"/>
      <x:c r="M50" s="49"/>
      <x:c r="N50" s="49"/>
      <x:c r="O50" s="49"/>
      <x:c r="P50" s="49"/>
      <x:c r="Q50" s="49"/>
      <x:c r="R50" s="49"/>
      <x:c r="S50" s="49"/>
      <x:c r="T50" s="49"/>
      <x:c r="U50" s="49"/>
      <x:c r="V50" s="49"/>
      <x:c r="W50" s="49"/>
      <x:c r="X50" s="49"/>
      <x:c r="Y50" s="49"/>
      <x:c r="Z50" s="49"/>
      <x:c r="AA50" s="49"/>
      <x:c r="AB50" s="49"/>
      <x:c r="AC50" s="49"/>
      <x:c r="AD50" s="49"/>
      <x:c r="AE50" s="49"/>
      <x:c r="AF50" s="49"/>
      <x:c r="AG50" s="49"/>
      <x:c r="AH50" s="49"/>
      <x:c r="AI50" s="49"/>
      <x:c r="AJ50" s="49"/>
      <x:c r="AK50" s="49"/>
      <x:c r="AL50" s="49"/>
      <x:c r="AM50" s="49"/>
      <x:c r="AN50" s="49"/>
      <x:c r="AO50" s="49"/>
      <x:c r="AP50" s="49"/>
      <x:c r="AQ50" s="49"/>
      <x:c r="AR50" s="49"/>
      <x:c r="AS50" s="49"/>
      <x:c r="AT50" s="49"/>
      <x:c r="AU50" s="49"/>
      <x:c r="AV50" s="49"/>
      <x:c r="AW50" s="49"/>
      <x:c r="AX50" s="49"/>
      <x:c r="AY50" s="49"/>
      <x:c r="AZ50" s="49"/>
    </x:row>
    <x:row r="51">
      <x:c r="A51" s="49" t="str">
        <x:v>2026-10</x:v>
      </x:c>
      <x:c r="B51" s="49" t="str">
        <x:v>M004</x:v>
      </x:c>
      <x:c r="C51" s="49" t="str">
        <x:v>CMP抛光液</x:v>
      </x:c>
      <x:c r="D51" s="49" t="str">
        <x:v>升</x:v>
      </x:c>
      <x:c r="E51" s="174" t="n">
        <x:v>5627</x:v>
      </x:c>
      <x:c r="F51" s="174" t="n">
        <x:v>6752</x:v>
      </x:c>
      <x:c r="G51" s="174" t="n">
        <x:v>4783</x:v>
      </x:c>
      <x:c r="H51" s="175" t="n">
        <x:f>'01_Assumptions'!$B$8</x:f>
        <x:v>1</x:v>
      </x:c>
      <x:c r="I51" s="175" t="n">
        <x:f>E51*H51</x:f>
        <x:v>5627</x:v>
      </x:c>
      <x:c r="J51" s="49"/>
      <x:c r="K51" s="49"/>
      <x:c r="L51" s="49"/>
      <x:c r="M51" s="49"/>
      <x:c r="N51" s="49"/>
      <x:c r="O51" s="49"/>
      <x:c r="P51" s="49"/>
      <x:c r="Q51" s="49"/>
      <x:c r="R51" s="49"/>
      <x:c r="S51" s="49"/>
      <x:c r="T51" s="49"/>
      <x:c r="U51" s="49"/>
      <x:c r="V51" s="49"/>
      <x:c r="W51" s="49"/>
      <x:c r="X51" s="49"/>
      <x:c r="Y51" s="49"/>
      <x:c r="Z51" s="49"/>
      <x:c r="AA51" s="49"/>
      <x:c r="AB51" s="49"/>
      <x:c r="AC51" s="49"/>
      <x:c r="AD51" s="49"/>
      <x:c r="AE51" s="49"/>
      <x:c r="AF51" s="49"/>
      <x:c r="AG51" s="49"/>
      <x:c r="AH51" s="49"/>
      <x:c r="AI51" s="49"/>
      <x:c r="AJ51" s="49"/>
      <x:c r="AK51" s="49"/>
      <x:c r="AL51" s="49"/>
      <x:c r="AM51" s="49"/>
      <x:c r="AN51" s="49"/>
      <x:c r="AO51" s="49"/>
      <x:c r="AP51" s="49"/>
      <x:c r="AQ51" s="49"/>
      <x:c r="AR51" s="49"/>
      <x:c r="AS51" s="49"/>
      <x:c r="AT51" s="49"/>
      <x:c r="AU51" s="49"/>
      <x:c r="AV51" s="49"/>
      <x:c r="AW51" s="49"/>
      <x:c r="AX51" s="49"/>
      <x:c r="AY51" s="49"/>
      <x:c r="AZ51" s="49"/>
    </x:row>
    <x:row r="52">
      <x:c r="A52" s="49" t="str">
        <x:v>2026-11</x:v>
      </x:c>
      <x:c r="B52" s="49" t="str">
        <x:v>M004</x:v>
      </x:c>
      <x:c r="C52" s="49" t="str">
        <x:v>CMP抛光液</x:v>
      </x:c>
      <x:c r="D52" s="49" t="str">
        <x:v>升</x:v>
      </x:c>
      <x:c r="E52" s="174" t="n">
        <x:v>5997</x:v>
      </x:c>
      <x:c r="F52" s="174" t="n">
        <x:v>7196</x:v>
      </x:c>
      <x:c r="G52" s="174" t="n">
        <x:v>5097</x:v>
      </x:c>
      <x:c r="H52" s="175" t="n">
        <x:f>'01_Assumptions'!$B$8</x:f>
        <x:v>1</x:v>
      </x:c>
      <x:c r="I52" s="175" t="n">
        <x:f>E52*H52</x:f>
        <x:v>5997</x:v>
      </x:c>
      <x:c r="J52" s="49"/>
      <x:c r="K52" s="49"/>
      <x:c r="L52" s="49"/>
      <x:c r="M52" s="49"/>
      <x:c r="N52" s="49"/>
      <x:c r="O52" s="49"/>
      <x:c r="P52" s="49"/>
      <x:c r="Q52" s="49"/>
      <x:c r="R52" s="49"/>
      <x:c r="S52" s="49"/>
      <x:c r="T52" s="49"/>
      <x:c r="U52" s="49"/>
      <x:c r="V52" s="49"/>
      <x:c r="W52" s="49"/>
      <x:c r="X52" s="49"/>
      <x:c r="Y52" s="49"/>
      <x:c r="Z52" s="49"/>
      <x:c r="AA52" s="49"/>
      <x:c r="AB52" s="49"/>
      <x:c r="AC52" s="49"/>
      <x:c r="AD52" s="49"/>
      <x:c r="AE52" s="49"/>
      <x:c r="AF52" s="49"/>
      <x:c r="AG52" s="49"/>
      <x:c r="AH52" s="49"/>
      <x:c r="AI52" s="49"/>
      <x:c r="AJ52" s="49"/>
      <x:c r="AK52" s="49"/>
      <x:c r="AL52" s="49"/>
      <x:c r="AM52" s="49"/>
      <x:c r="AN52" s="49"/>
      <x:c r="AO52" s="49"/>
      <x:c r="AP52" s="49"/>
      <x:c r="AQ52" s="49"/>
      <x:c r="AR52" s="49"/>
      <x:c r="AS52" s="49"/>
      <x:c r="AT52" s="49"/>
      <x:c r="AU52" s="49"/>
      <x:c r="AV52" s="49"/>
      <x:c r="AW52" s="49"/>
      <x:c r="AX52" s="49"/>
      <x:c r="AY52" s="49"/>
      <x:c r="AZ52" s="49"/>
    </x:row>
    <x:row r="53">
      <x:c r="A53" s="49" t="str">
        <x:v>2026-12</x:v>
      </x:c>
      <x:c r="B53" s="49" t="str">
        <x:v>M004</x:v>
      </x:c>
      <x:c r="C53" s="49" t="str">
        <x:v>CMP抛光液</x:v>
      </x:c>
      <x:c r="D53" s="49" t="str">
        <x:v>升</x:v>
      </x:c>
      <x:c r="E53" s="174" t="n">
        <x:v>6005</x:v>
      </x:c>
      <x:c r="F53" s="174" t="n">
        <x:v>7206</x:v>
      </x:c>
      <x:c r="G53" s="174" t="n">
        <x:v>5104</x:v>
      </x:c>
      <x:c r="H53" s="175" t="n">
        <x:f>'01_Assumptions'!$B$8</x:f>
        <x:v>1</x:v>
      </x:c>
      <x:c r="I53" s="175" t="n">
        <x:f>E53*H53</x:f>
        <x:v>6005</x:v>
      </x:c>
      <x:c r="J53" s="49"/>
      <x:c r="K53" s="49"/>
      <x:c r="L53" s="49"/>
      <x:c r="M53" s="49"/>
      <x:c r="N53" s="49"/>
      <x:c r="O53" s="49"/>
      <x:c r="P53" s="49"/>
      <x:c r="Q53" s="49"/>
      <x:c r="R53" s="49"/>
      <x:c r="S53" s="49"/>
      <x:c r="T53" s="49"/>
      <x:c r="U53" s="49"/>
      <x:c r="V53" s="49"/>
      <x:c r="W53" s="49"/>
      <x:c r="X53" s="49"/>
      <x:c r="Y53" s="49"/>
      <x:c r="Z53" s="49"/>
      <x:c r="AA53" s="49"/>
      <x:c r="AB53" s="49"/>
      <x:c r="AC53" s="49"/>
      <x:c r="AD53" s="49"/>
      <x:c r="AE53" s="49"/>
      <x:c r="AF53" s="49"/>
      <x:c r="AG53" s="49"/>
      <x:c r="AH53" s="49"/>
      <x:c r="AI53" s="49"/>
      <x:c r="AJ53" s="49"/>
      <x:c r="AK53" s="49"/>
      <x:c r="AL53" s="49"/>
      <x:c r="AM53" s="49"/>
      <x:c r="AN53" s="49"/>
      <x:c r="AO53" s="49"/>
      <x:c r="AP53" s="49"/>
      <x:c r="AQ53" s="49"/>
      <x:c r="AR53" s="49"/>
      <x:c r="AS53" s="49"/>
      <x:c r="AT53" s="49"/>
      <x:c r="AU53" s="49"/>
      <x:c r="AV53" s="49"/>
      <x:c r="AW53" s="49"/>
      <x:c r="AX53" s="49"/>
      <x:c r="AY53" s="49"/>
      <x:c r="AZ53" s="49"/>
    </x:row>
    <x:row r="54">
      <x:c r="A54" s="49" t="str">
        <x:v>2026-01</x:v>
      </x:c>
      <x:c r="B54" s="49" t="str">
        <x:v>M005</x:v>
      </x:c>
      <x:c r="C54" s="49" t="str">
        <x:v>PVD靶材</x:v>
      </x:c>
      <x:c r="D54" s="49" t="str">
        <x:v>件</x:v>
      </x:c>
      <x:c r="E54" s="174" t="n">
        <x:v>113</x:v>
      </x:c>
      <x:c r="F54" s="174" t="n">
        <x:v>136</x:v>
      </x:c>
      <x:c r="G54" s="174" t="n">
        <x:v>96</x:v>
      </x:c>
      <x:c r="H54" s="175" t="n">
        <x:f>'01_Assumptions'!$B$8</x:f>
        <x:v>1</x:v>
      </x:c>
      <x:c r="I54" s="175" t="n">
        <x:f>E54*H54</x:f>
        <x:v>113</x:v>
      </x:c>
      <x:c r="J54" s="49"/>
      <x:c r="K54" s="49"/>
      <x:c r="L54" s="49"/>
      <x:c r="M54" s="49"/>
      <x:c r="N54" s="49"/>
      <x:c r="O54" s="49"/>
      <x:c r="P54" s="49"/>
      <x:c r="Q54" s="49"/>
      <x:c r="R54" s="49"/>
      <x:c r="S54" s="49"/>
      <x:c r="T54" s="49"/>
      <x:c r="U54" s="49"/>
      <x:c r="V54" s="49"/>
      <x:c r="W54" s="49"/>
      <x:c r="X54" s="49"/>
      <x:c r="Y54" s="49"/>
      <x:c r="Z54" s="49"/>
      <x:c r="AA54" s="49"/>
      <x:c r="AB54" s="49"/>
      <x:c r="AC54" s="49"/>
      <x:c r="AD54" s="49"/>
      <x:c r="AE54" s="49"/>
      <x:c r="AF54" s="49"/>
      <x:c r="AG54" s="49"/>
      <x:c r="AH54" s="49"/>
      <x:c r="AI54" s="49"/>
      <x:c r="AJ54" s="49"/>
      <x:c r="AK54" s="49"/>
      <x:c r="AL54" s="49"/>
      <x:c r="AM54" s="49"/>
      <x:c r="AN54" s="49"/>
      <x:c r="AO54" s="49"/>
      <x:c r="AP54" s="49"/>
      <x:c r="AQ54" s="49"/>
      <x:c r="AR54" s="49"/>
      <x:c r="AS54" s="49"/>
      <x:c r="AT54" s="49"/>
      <x:c r="AU54" s="49"/>
      <x:c r="AV54" s="49"/>
      <x:c r="AW54" s="49"/>
      <x:c r="AX54" s="49"/>
      <x:c r="AY54" s="49"/>
      <x:c r="AZ54" s="49"/>
    </x:row>
    <x:row r="55">
      <x:c r="A55" s="49" t="str">
        <x:v>2026-02</x:v>
      </x:c>
      <x:c r="B55" s="49" t="str">
        <x:v>M005</x:v>
      </x:c>
      <x:c r="C55" s="49" t="str">
        <x:v>PVD靶材</x:v>
      </x:c>
      <x:c r="D55" s="49" t="str">
        <x:v>件</x:v>
      </x:c>
      <x:c r="E55" s="174" t="n">
        <x:v>116</x:v>
      </x:c>
      <x:c r="F55" s="174" t="n">
        <x:v>139</x:v>
      </x:c>
      <x:c r="G55" s="174" t="n">
        <x:v>99</x:v>
      </x:c>
      <x:c r="H55" s="175" t="n">
        <x:f>'01_Assumptions'!$B$8</x:f>
        <x:v>1</x:v>
      </x:c>
      <x:c r="I55" s="175" t="n">
        <x:f>E55*H55</x:f>
        <x:v>116</x:v>
      </x:c>
      <x:c r="J55" s="49"/>
      <x:c r="K55" s="49"/>
      <x:c r="L55" s="49"/>
      <x:c r="M55" s="49"/>
      <x:c r="N55" s="49"/>
      <x:c r="O55" s="49"/>
      <x:c r="P55" s="49"/>
      <x:c r="Q55" s="49"/>
      <x:c r="R55" s="49"/>
      <x:c r="S55" s="49"/>
      <x:c r="T55" s="49"/>
      <x:c r="U55" s="49"/>
      <x:c r="V55" s="49"/>
      <x:c r="W55" s="49"/>
      <x:c r="X55" s="49"/>
      <x:c r="Y55" s="49"/>
      <x:c r="Z55" s="49"/>
      <x:c r="AA55" s="49"/>
      <x:c r="AB55" s="49"/>
      <x:c r="AC55" s="49"/>
      <x:c r="AD55" s="49"/>
      <x:c r="AE55" s="49"/>
      <x:c r="AF55" s="49"/>
      <x:c r="AG55" s="49"/>
      <x:c r="AH55" s="49"/>
      <x:c r="AI55" s="49"/>
      <x:c r="AJ55" s="49"/>
      <x:c r="AK55" s="49"/>
      <x:c r="AL55" s="49"/>
      <x:c r="AM55" s="49"/>
      <x:c r="AN55" s="49"/>
      <x:c r="AO55" s="49"/>
      <x:c r="AP55" s="49"/>
      <x:c r="AQ55" s="49"/>
      <x:c r="AR55" s="49"/>
      <x:c r="AS55" s="49"/>
      <x:c r="AT55" s="49"/>
      <x:c r="AU55" s="49"/>
      <x:c r="AV55" s="49"/>
      <x:c r="AW55" s="49"/>
      <x:c r="AX55" s="49"/>
      <x:c r="AY55" s="49"/>
      <x:c r="AZ55" s="49"/>
    </x:row>
    <x:row r="56">
      <x:c r="A56" s="49" t="str">
        <x:v>2026-03</x:v>
      </x:c>
      <x:c r="B56" s="49" t="str">
        <x:v>M005</x:v>
      </x:c>
      <x:c r="C56" s="49" t="str">
        <x:v>PVD靶材</x:v>
      </x:c>
      <x:c r="D56" s="49" t="str">
        <x:v>件</x:v>
      </x:c>
      <x:c r="E56" s="174" t="n">
        <x:v>115</x:v>
      </x:c>
      <x:c r="F56" s="174" t="n">
        <x:v>138</x:v>
      </x:c>
      <x:c r="G56" s="174" t="n">
        <x:v>98</x:v>
      </x:c>
      <x:c r="H56" s="175" t="n">
        <x:f>'01_Assumptions'!$B$8</x:f>
        <x:v>1</x:v>
      </x:c>
      <x:c r="I56" s="175" t="n">
        <x:f>E56*H56</x:f>
        <x:v>115</x:v>
      </x:c>
      <x:c r="J56" s="49"/>
      <x:c r="K56" s="49"/>
      <x:c r="L56" s="49"/>
      <x:c r="M56" s="49"/>
      <x:c r="N56" s="49"/>
      <x:c r="O56" s="49"/>
      <x:c r="P56" s="49"/>
      <x:c r="Q56" s="49"/>
      <x:c r="R56" s="49"/>
      <x:c r="S56" s="49"/>
      <x:c r="T56" s="49"/>
      <x:c r="U56" s="49"/>
      <x:c r="V56" s="49"/>
      <x:c r="W56" s="49"/>
      <x:c r="X56" s="49"/>
      <x:c r="Y56" s="49"/>
      <x:c r="Z56" s="49"/>
      <x:c r="AA56" s="49"/>
      <x:c r="AB56" s="49"/>
      <x:c r="AC56" s="49"/>
      <x:c r="AD56" s="49"/>
      <x:c r="AE56" s="49"/>
      <x:c r="AF56" s="49"/>
      <x:c r="AG56" s="49"/>
      <x:c r="AH56" s="49"/>
      <x:c r="AI56" s="49"/>
      <x:c r="AJ56" s="49"/>
      <x:c r="AK56" s="49"/>
      <x:c r="AL56" s="49"/>
      <x:c r="AM56" s="49"/>
      <x:c r="AN56" s="49"/>
      <x:c r="AO56" s="49"/>
      <x:c r="AP56" s="49"/>
      <x:c r="AQ56" s="49"/>
      <x:c r="AR56" s="49"/>
      <x:c r="AS56" s="49"/>
      <x:c r="AT56" s="49"/>
      <x:c r="AU56" s="49"/>
      <x:c r="AV56" s="49"/>
      <x:c r="AW56" s="49"/>
      <x:c r="AX56" s="49"/>
      <x:c r="AY56" s="49"/>
      <x:c r="AZ56" s="49"/>
    </x:row>
    <x:row r="57">
      <x:c r="A57" s="49" t="str">
        <x:v>2026-04</x:v>
      </x:c>
      <x:c r="B57" s="49" t="str">
        <x:v>M005</x:v>
      </x:c>
      <x:c r="C57" s="49" t="str">
        <x:v>PVD靶材</x:v>
      </x:c>
      <x:c r="D57" s="49" t="str">
        <x:v>件</x:v>
      </x:c>
      <x:c r="E57" s="174" t="n">
        <x:v>108</x:v>
      </x:c>
      <x:c r="F57" s="174" t="n">
        <x:v>130</x:v>
      </x:c>
      <x:c r="G57" s="174" t="n">
        <x:v>92</x:v>
      </x:c>
      <x:c r="H57" s="175" t="n">
        <x:f>'01_Assumptions'!$B$8</x:f>
        <x:v>1</x:v>
      </x:c>
      <x:c r="I57" s="175" t="n">
        <x:f>E57*H57</x:f>
        <x:v>108</x:v>
      </x:c>
      <x:c r="J57" s="49"/>
      <x:c r="K57" s="49"/>
      <x:c r="L57" s="49"/>
      <x:c r="M57" s="49"/>
      <x:c r="N57" s="49"/>
      <x:c r="O57" s="49"/>
      <x:c r="P57" s="49"/>
      <x:c r="Q57" s="49"/>
      <x:c r="R57" s="49"/>
      <x:c r="S57" s="49"/>
      <x:c r="T57" s="49"/>
      <x:c r="U57" s="49"/>
      <x:c r="V57" s="49"/>
      <x:c r="W57" s="49"/>
      <x:c r="X57" s="49"/>
      <x:c r="Y57" s="49"/>
      <x:c r="Z57" s="49"/>
      <x:c r="AA57" s="49"/>
      <x:c r="AB57" s="49"/>
      <x:c r="AC57" s="49"/>
      <x:c r="AD57" s="49"/>
      <x:c r="AE57" s="49"/>
      <x:c r="AF57" s="49"/>
      <x:c r="AG57" s="49"/>
      <x:c r="AH57" s="49"/>
      <x:c r="AI57" s="49"/>
      <x:c r="AJ57" s="49"/>
      <x:c r="AK57" s="49"/>
      <x:c r="AL57" s="49"/>
      <x:c r="AM57" s="49"/>
      <x:c r="AN57" s="49"/>
      <x:c r="AO57" s="49"/>
      <x:c r="AP57" s="49"/>
      <x:c r="AQ57" s="49"/>
      <x:c r="AR57" s="49"/>
      <x:c r="AS57" s="49"/>
      <x:c r="AT57" s="49"/>
      <x:c r="AU57" s="49"/>
      <x:c r="AV57" s="49"/>
      <x:c r="AW57" s="49"/>
      <x:c r="AX57" s="49"/>
      <x:c r="AY57" s="49"/>
      <x:c r="AZ57" s="49"/>
    </x:row>
    <x:row r="58">
      <x:c r="A58" s="49" t="str">
        <x:v>2026-05</x:v>
      </x:c>
      <x:c r="B58" s="49" t="str">
        <x:v>M005</x:v>
      </x:c>
      <x:c r="C58" s="49" t="str">
        <x:v>PVD靶材</x:v>
      </x:c>
      <x:c r="D58" s="49" t="str">
        <x:v>件</x:v>
      </x:c>
      <x:c r="E58" s="174" t="n">
        <x:v>111</x:v>
      </x:c>
      <x:c r="F58" s="174" t="n">
        <x:v>133</x:v>
      </x:c>
      <x:c r="G58" s="174" t="n">
        <x:v>94</x:v>
      </x:c>
      <x:c r="H58" s="175" t="n">
        <x:f>'01_Assumptions'!$B$8</x:f>
        <x:v>1</x:v>
      </x:c>
      <x:c r="I58" s="175" t="n">
        <x:f>E58*H58</x:f>
        <x:v>111</x:v>
      </x:c>
      <x:c r="J58" s="49"/>
      <x:c r="K58" s="49"/>
      <x:c r="L58" s="49"/>
      <x:c r="M58" s="49"/>
      <x:c r="N58" s="49"/>
      <x:c r="O58" s="49"/>
      <x:c r="P58" s="49"/>
      <x:c r="Q58" s="49"/>
      <x:c r="R58" s="49"/>
      <x:c r="S58" s="49"/>
      <x:c r="T58" s="49"/>
      <x:c r="U58" s="49"/>
      <x:c r="V58" s="49"/>
      <x:c r="W58" s="49"/>
      <x:c r="X58" s="49"/>
      <x:c r="Y58" s="49"/>
      <x:c r="Z58" s="49"/>
      <x:c r="AA58" s="49"/>
      <x:c r="AB58" s="49"/>
      <x:c r="AC58" s="49"/>
      <x:c r="AD58" s="49"/>
      <x:c r="AE58" s="49"/>
      <x:c r="AF58" s="49"/>
      <x:c r="AG58" s="49"/>
      <x:c r="AH58" s="49"/>
      <x:c r="AI58" s="49"/>
      <x:c r="AJ58" s="49"/>
      <x:c r="AK58" s="49"/>
      <x:c r="AL58" s="49"/>
      <x:c r="AM58" s="49"/>
      <x:c r="AN58" s="49"/>
      <x:c r="AO58" s="49"/>
      <x:c r="AP58" s="49"/>
      <x:c r="AQ58" s="49"/>
      <x:c r="AR58" s="49"/>
      <x:c r="AS58" s="49"/>
      <x:c r="AT58" s="49"/>
      <x:c r="AU58" s="49"/>
      <x:c r="AV58" s="49"/>
      <x:c r="AW58" s="49"/>
      <x:c r="AX58" s="49"/>
      <x:c r="AY58" s="49"/>
      <x:c r="AZ58" s="49"/>
    </x:row>
    <x:row r="59">
      <x:c r="A59" s="49" t="str">
        <x:v>2026-06</x:v>
      </x:c>
      <x:c r="B59" s="49" t="str">
        <x:v>M005</x:v>
      </x:c>
      <x:c r="C59" s="49" t="str">
        <x:v>PVD靶材</x:v>
      </x:c>
      <x:c r="D59" s="49" t="str">
        <x:v>件</x:v>
      </x:c>
      <x:c r="E59" s="174" t="n">
        <x:v>116</x:v>
      </x:c>
      <x:c r="F59" s="174" t="n">
        <x:v>139</x:v>
      </x:c>
      <x:c r="G59" s="174" t="n">
        <x:v>99</x:v>
      </x:c>
      <x:c r="H59" s="175" t="n">
        <x:f>'01_Assumptions'!$B$8</x:f>
        <x:v>1</x:v>
      </x:c>
      <x:c r="I59" s="175" t="n">
        <x:f>E59*H59</x:f>
        <x:v>116</x:v>
      </x:c>
      <x:c r="J59" s="49"/>
      <x:c r="K59" s="49"/>
      <x:c r="L59" s="49"/>
      <x:c r="M59" s="49"/>
      <x:c r="N59" s="49"/>
      <x:c r="O59" s="49"/>
      <x:c r="P59" s="49"/>
      <x:c r="Q59" s="49"/>
      <x:c r="R59" s="49"/>
      <x:c r="S59" s="49"/>
      <x:c r="T59" s="49"/>
      <x:c r="U59" s="49"/>
      <x:c r="V59" s="49"/>
      <x:c r="W59" s="49"/>
      <x:c r="X59" s="49"/>
      <x:c r="Y59" s="49"/>
      <x:c r="Z59" s="49"/>
      <x:c r="AA59" s="49"/>
      <x:c r="AB59" s="49"/>
      <x:c r="AC59" s="49"/>
      <x:c r="AD59" s="49"/>
      <x:c r="AE59" s="49"/>
      <x:c r="AF59" s="49"/>
      <x:c r="AG59" s="49"/>
      <x:c r="AH59" s="49"/>
      <x:c r="AI59" s="49"/>
      <x:c r="AJ59" s="49"/>
      <x:c r="AK59" s="49"/>
      <x:c r="AL59" s="49"/>
      <x:c r="AM59" s="49"/>
      <x:c r="AN59" s="49"/>
      <x:c r="AO59" s="49"/>
      <x:c r="AP59" s="49"/>
      <x:c r="AQ59" s="49"/>
      <x:c r="AR59" s="49"/>
      <x:c r="AS59" s="49"/>
      <x:c r="AT59" s="49"/>
      <x:c r="AU59" s="49"/>
      <x:c r="AV59" s="49"/>
      <x:c r="AW59" s="49"/>
      <x:c r="AX59" s="49"/>
      <x:c r="AY59" s="49"/>
      <x:c r="AZ59" s="49"/>
    </x:row>
    <x:row r="60">
      <x:c r="A60" s="49" t="str">
        <x:v>2026-07</x:v>
      </x:c>
      <x:c r="B60" s="49" t="str">
        <x:v>M005</x:v>
      </x:c>
      <x:c r="C60" s="49" t="str">
        <x:v>PVD靶材</x:v>
      </x:c>
      <x:c r="D60" s="49" t="str">
        <x:v>件</x:v>
      </x:c>
      <x:c r="E60" s="174" t="n">
        <x:v>110</x:v>
      </x:c>
      <x:c r="F60" s="174" t="n">
        <x:v>132</x:v>
      </x:c>
      <x:c r="G60" s="174" t="n">
        <x:v>94</x:v>
      </x:c>
      <x:c r="H60" s="175" t="n">
        <x:f>'01_Assumptions'!$B$8</x:f>
        <x:v>1</x:v>
      </x:c>
      <x:c r="I60" s="175" t="n">
        <x:f>E60*H60</x:f>
        <x:v>110</x:v>
      </x:c>
      <x:c r="J60" s="49"/>
      <x:c r="K60" s="49"/>
      <x:c r="L60" s="49"/>
      <x:c r="M60" s="49"/>
      <x:c r="N60" s="49"/>
      <x:c r="O60" s="49"/>
      <x:c r="P60" s="49"/>
      <x:c r="Q60" s="49"/>
      <x:c r="R60" s="49"/>
      <x:c r="S60" s="49"/>
      <x:c r="T60" s="49"/>
      <x:c r="U60" s="49"/>
      <x:c r="V60" s="49"/>
      <x:c r="W60" s="49"/>
      <x:c r="X60" s="49"/>
      <x:c r="Y60" s="49"/>
      <x:c r="Z60" s="49"/>
      <x:c r="AA60" s="49"/>
      <x:c r="AB60" s="49"/>
      <x:c r="AC60" s="49"/>
      <x:c r="AD60" s="49"/>
      <x:c r="AE60" s="49"/>
      <x:c r="AF60" s="49"/>
      <x:c r="AG60" s="49"/>
      <x:c r="AH60" s="49"/>
      <x:c r="AI60" s="49"/>
      <x:c r="AJ60" s="49"/>
      <x:c r="AK60" s="49"/>
      <x:c r="AL60" s="49"/>
      <x:c r="AM60" s="49"/>
      <x:c r="AN60" s="49"/>
      <x:c r="AO60" s="49"/>
      <x:c r="AP60" s="49"/>
      <x:c r="AQ60" s="49"/>
      <x:c r="AR60" s="49"/>
      <x:c r="AS60" s="49"/>
      <x:c r="AT60" s="49"/>
      <x:c r="AU60" s="49"/>
      <x:c r="AV60" s="49"/>
      <x:c r="AW60" s="49"/>
      <x:c r="AX60" s="49"/>
      <x:c r="AY60" s="49"/>
      <x:c r="AZ60" s="49"/>
    </x:row>
    <x:row r="61">
      <x:c r="A61" s="49" t="str">
        <x:v>2026-08</x:v>
      </x:c>
      <x:c r="B61" s="49" t="str">
        <x:v>M005</x:v>
      </x:c>
      <x:c r="C61" s="49" t="str">
        <x:v>PVD靶材</x:v>
      </x:c>
      <x:c r="D61" s="49" t="str">
        <x:v>件</x:v>
      </x:c>
      <x:c r="E61" s="174" t="n">
        <x:v>105</x:v>
      </x:c>
      <x:c r="F61" s="174" t="n">
        <x:v>126</x:v>
      </x:c>
      <x:c r="G61" s="174" t="n">
        <x:v>89</x:v>
      </x:c>
      <x:c r="H61" s="175" t="n">
        <x:f>'01_Assumptions'!$B$8</x:f>
        <x:v>1</x:v>
      </x:c>
      <x:c r="I61" s="175" t="n">
        <x:f>E61*H61</x:f>
        <x:v>105</x:v>
      </x:c>
      <x:c r="J61" s="49"/>
      <x:c r="K61" s="49"/>
      <x:c r="L61" s="49"/>
      <x:c r="M61" s="49"/>
      <x:c r="N61" s="49"/>
      <x:c r="O61" s="49"/>
      <x:c r="P61" s="49"/>
      <x:c r="Q61" s="49"/>
      <x:c r="R61" s="49"/>
      <x:c r="S61" s="49"/>
      <x:c r="T61" s="49"/>
      <x:c r="U61" s="49"/>
      <x:c r="V61" s="49"/>
      <x:c r="W61" s="49"/>
      <x:c r="X61" s="49"/>
      <x:c r="Y61" s="49"/>
      <x:c r="Z61" s="49"/>
      <x:c r="AA61" s="49"/>
      <x:c r="AB61" s="49"/>
      <x:c r="AC61" s="49"/>
      <x:c r="AD61" s="49"/>
      <x:c r="AE61" s="49"/>
      <x:c r="AF61" s="49"/>
      <x:c r="AG61" s="49"/>
      <x:c r="AH61" s="49"/>
      <x:c r="AI61" s="49"/>
      <x:c r="AJ61" s="49"/>
      <x:c r="AK61" s="49"/>
      <x:c r="AL61" s="49"/>
      <x:c r="AM61" s="49"/>
      <x:c r="AN61" s="49"/>
      <x:c r="AO61" s="49"/>
      <x:c r="AP61" s="49"/>
      <x:c r="AQ61" s="49"/>
      <x:c r="AR61" s="49"/>
      <x:c r="AS61" s="49"/>
      <x:c r="AT61" s="49"/>
      <x:c r="AU61" s="49"/>
      <x:c r="AV61" s="49"/>
      <x:c r="AW61" s="49"/>
      <x:c r="AX61" s="49"/>
      <x:c r="AY61" s="49"/>
      <x:c r="AZ61" s="49"/>
    </x:row>
    <x:row r="62">
      <x:c r="A62" s="49" t="str">
        <x:v>2026-09</x:v>
      </x:c>
      <x:c r="B62" s="49" t="str">
        <x:v>M005</x:v>
      </x:c>
      <x:c r="C62" s="49" t="str">
        <x:v>PVD靶材</x:v>
      </x:c>
      <x:c r="D62" s="49" t="str">
        <x:v>件</x:v>
      </x:c>
      <x:c r="E62" s="174" t="n">
        <x:v>100</x:v>
      </x:c>
      <x:c r="F62" s="174" t="n">
        <x:v>120</x:v>
      </x:c>
      <x:c r="G62" s="174" t="n">
        <x:v>85</x:v>
      </x:c>
      <x:c r="H62" s="175" t="n">
        <x:f>'01_Assumptions'!$B$8</x:f>
        <x:v>1</x:v>
      </x:c>
      <x:c r="I62" s="175" t="n">
        <x:f>E62*H62</x:f>
        <x:v>100</x:v>
      </x:c>
      <x:c r="J62" s="49"/>
      <x:c r="K62" s="49"/>
      <x:c r="L62" s="49"/>
      <x:c r="M62" s="49"/>
      <x:c r="N62" s="49"/>
      <x:c r="O62" s="49"/>
      <x:c r="P62" s="49"/>
      <x:c r="Q62" s="49"/>
      <x:c r="R62" s="49"/>
      <x:c r="S62" s="49"/>
      <x:c r="T62" s="49"/>
      <x:c r="U62" s="49"/>
      <x:c r="V62" s="49"/>
      <x:c r="W62" s="49"/>
      <x:c r="X62" s="49"/>
      <x:c r="Y62" s="49"/>
      <x:c r="Z62" s="49"/>
      <x:c r="AA62" s="49"/>
      <x:c r="AB62" s="49"/>
      <x:c r="AC62" s="49"/>
      <x:c r="AD62" s="49"/>
      <x:c r="AE62" s="49"/>
      <x:c r="AF62" s="49"/>
      <x:c r="AG62" s="49"/>
      <x:c r="AH62" s="49"/>
      <x:c r="AI62" s="49"/>
      <x:c r="AJ62" s="49"/>
      <x:c r="AK62" s="49"/>
      <x:c r="AL62" s="49"/>
      <x:c r="AM62" s="49"/>
      <x:c r="AN62" s="49"/>
      <x:c r="AO62" s="49"/>
      <x:c r="AP62" s="49"/>
      <x:c r="AQ62" s="49"/>
      <x:c r="AR62" s="49"/>
      <x:c r="AS62" s="49"/>
      <x:c r="AT62" s="49"/>
      <x:c r="AU62" s="49"/>
      <x:c r="AV62" s="49"/>
      <x:c r="AW62" s="49"/>
      <x:c r="AX62" s="49"/>
      <x:c r="AY62" s="49"/>
      <x:c r="AZ62" s="49"/>
    </x:row>
    <x:row r="63">
      <x:c r="A63" s="49" t="str">
        <x:v>2026-10</x:v>
      </x:c>
      <x:c r="B63" s="49" t="str">
        <x:v>M005</x:v>
      </x:c>
      <x:c r="C63" s="49" t="str">
        <x:v>PVD靶材</x:v>
      </x:c>
      <x:c r="D63" s="49" t="str">
        <x:v>件</x:v>
      </x:c>
      <x:c r="E63" s="174" t="n">
        <x:v>100</x:v>
      </x:c>
      <x:c r="F63" s="174" t="n">
        <x:v>120</x:v>
      </x:c>
      <x:c r="G63" s="174" t="n">
        <x:v>85</x:v>
      </x:c>
      <x:c r="H63" s="175" t="n">
        <x:f>'01_Assumptions'!$B$8</x:f>
        <x:v>1</x:v>
      </x:c>
      <x:c r="I63" s="175" t="n">
        <x:f>E63*H63</x:f>
        <x:v>100</x:v>
      </x:c>
      <x:c r="J63" s="49"/>
      <x:c r="K63" s="49"/>
      <x:c r="L63" s="49"/>
      <x:c r="M63" s="49"/>
      <x:c r="N63" s="49"/>
      <x:c r="O63" s="49"/>
      <x:c r="P63" s="49"/>
      <x:c r="Q63" s="49"/>
      <x:c r="R63" s="49"/>
      <x:c r="S63" s="49"/>
      <x:c r="T63" s="49"/>
      <x:c r="U63" s="49"/>
      <x:c r="V63" s="49"/>
      <x:c r="W63" s="49"/>
      <x:c r="X63" s="49"/>
      <x:c r="Y63" s="49"/>
      <x:c r="Z63" s="49"/>
      <x:c r="AA63" s="49"/>
      <x:c r="AB63" s="49"/>
      <x:c r="AC63" s="49"/>
      <x:c r="AD63" s="49"/>
      <x:c r="AE63" s="49"/>
      <x:c r="AF63" s="49"/>
      <x:c r="AG63" s="49"/>
      <x:c r="AH63" s="49"/>
      <x:c r="AI63" s="49"/>
      <x:c r="AJ63" s="49"/>
      <x:c r="AK63" s="49"/>
      <x:c r="AL63" s="49"/>
      <x:c r="AM63" s="49"/>
      <x:c r="AN63" s="49"/>
      <x:c r="AO63" s="49"/>
      <x:c r="AP63" s="49"/>
      <x:c r="AQ63" s="49"/>
      <x:c r="AR63" s="49"/>
      <x:c r="AS63" s="49"/>
      <x:c r="AT63" s="49"/>
      <x:c r="AU63" s="49"/>
      <x:c r="AV63" s="49"/>
      <x:c r="AW63" s="49"/>
      <x:c r="AX63" s="49"/>
      <x:c r="AY63" s="49"/>
      <x:c r="AZ63" s="49"/>
    </x:row>
    <x:row r="64">
      <x:c r="A64" s="49" t="str">
        <x:v>2026-11</x:v>
      </x:c>
      <x:c r="B64" s="49" t="str">
        <x:v>M005</x:v>
      </x:c>
      <x:c r="C64" s="49" t="str">
        <x:v>PVD靶材</x:v>
      </x:c>
      <x:c r="D64" s="49" t="str">
        <x:v>件</x:v>
      </x:c>
      <x:c r="E64" s="174" t="n">
        <x:v>98</x:v>
      </x:c>
      <x:c r="F64" s="174" t="n">
        <x:v>118</x:v>
      </x:c>
      <x:c r="G64" s="174" t="n">
        <x:v>83</x:v>
      </x:c>
      <x:c r="H64" s="175" t="n">
        <x:f>'01_Assumptions'!$B$8</x:f>
        <x:v>1</x:v>
      </x:c>
      <x:c r="I64" s="175" t="n">
        <x:f>E64*H64</x:f>
        <x:v>98</x:v>
      </x:c>
      <x:c r="J64" s="49"/>
      <x:c r="K64" s="49"/>
      <x:c r="L64" s="49"/>
      <x:c r="M64" s="49"/>
      <x:c r="N64" s="49"/>
      <x:c r="O64" s="49"/>
      <x:c r="P64" s="49"/>
      <x:c r="Q64" s="49"/>
      <x:c r="R64" s="49"/>
      <x:c r="S64" s="49"/>
      <x:c r="T64" s="49"/>
      <x:c r="U64" s="49"/>
      <x:c r="V64" s="49"/>
      <x:c r="W64" s="49"/>
      <x:c r="X64" s="49"/>
      <x:c r="Y64" s="49"/>
      <x:c r="Z64" s="49"/>
      <x:c r="AA64" s="49"/>
      <x:c r="AB64" s="49"/>
      <x:c r="AC64" s="49"/>
      <x:c r="AD64" s="49"/>
      <x:c r="AE64" s="49"/>
      <x:c r="AF64" s="49"/>
      <x:c r="AG64" s="49"/>
      <x:c r="AH64" s="49"/>
      <x:c r="AI64" s="49"/>
      <x:c r="AJ64" s="49"/>
      <x:c r="AK64" s="49"/>
      <x:c r="AL64" s="49"/>
      <x:c r="AM64" s="49"/>
      <x:c r="AN64" s="49"/>
      <x:c r="AO64" s="49"/>
      <x:c r="AP64" s="49"/>
      <x:c r="AQ64" s="49"/>
      <x:c r="AR64" s="49"/>
      <x:c r="AS64" s="49"/>
      <x:c r="AT64" s="49"/>
      <x:c r="AU64" s="49"/>
      <x:c r="AV64" s="49"/>
      <x:c r="AW64" s="49"/>
      <x:c r="AX64" s="49"/>
      <x:c r="AY64" s="49"/>
      <x:c r="AZ64" s="49"/>
    </x:row>
    <x:row r="65">
      <x:c r="A65" s="49" t="str">
        <x:v>2026-12</x:v>
      </x:c>
      <x:c r="B65" s="49" t="str">
        <x:v>M005</x:v>
      </x:c>
      <x:c r="C65" s="49" t="str">
        <x:v>PVD靶材</x:v>
      </x:c>
      <x:c r="D65" s="49" t="str">
        <x:v>件</x:v>
      </x:c>
      <x:c r="E65" s="174" t="n">
        <x:v>102</x:v>
      </x:c>
      <x:c r="F65" s="174" t="n">
        <x:v>122</x:v>
      </x:c>
      <x:c r="G65" s="174" t="n">
        <x:v>87</x:v>
      </x:c>
      <x:c r="H65" s="175" t="n">
        <x:f>'01_Assumptions'!$B$8</x:f>
        <x:v>1</x:v>
      </x:c>
      <x:c r="I65" s="175" t="n">
        <x:f>E65*H65</x:f>
        <x:v>102</x:v>
      </x:c>
      <x:c r="J65" s="49"/>
      <x:c r="K65" s="49"/>
      <x:c r="L65" s="49"/>
      <x:c r="M65" s="49"/>
      <x:c r="N65" s="49"/>
      <x:c r="O65" s="49"/>
      <x:c r="P65" s="49"/>
      <x:c r="Q65" s="49"/>
      <x:c r="R65" s="49"/>
      <x:c r="S65" s="49"/>
      <x:c r="T65" s="49"/>
      <x:c r="U65" s="49"/>
      <x:c r="V65" s="49"/>
      <x:c r="W65" s="49"/>
      <x:c r="X65" s="49"/>
      <x:c r="Y65" s="49"/>
      <x:c r="Z65" s="49"/>
      <x:c r="AA65" s="49"/>
      <x:c r="AB65" s="49"/>
      <x:c r="AC65" s="49"/>
      <x:c r="AD65" s="49"/>
      <x:c r="AE65" s="49"/>
      <x:c r="AF65" s="49"/>
      <x:c r="AG65" s="49"/>
      <x:c r="AH65" s="49"/>
      <x:c r="AI65" s="49"/>
      <x:c r="AJ65" s="49"/>
      <x:c r="AK65" s="49"/>
      <x:c r="AL65" s="49"/>
      <x:c r="AM65" s="49"/>
      <x:c r="AN65" s="49"/>
      <x:c r="AO65" s="49"/>
      <x:c r="AP65" s="49"/>
      <x:c r="AQ65" s="49"/>
      <x:c r="AR65" s="49"/>
      <x:c r="AS65" s="49"/>
      <x:c r="AT65" s="49"/>
      <x:c r="AU65" s="49"/>
      <x:c r="AV65" s="49"/>
      <x:c r="AW65" s="49"/>
      <x:c r="AX65" s="49"/>
      <x:c r="AY65" s="49"/>
      <x:c r="AZ65" s="49"/>
    </x:row>
    <x:row r="66">
      <x:c r="A66" s="49" t="str">
        <x:v>2026-01</x:v>
      </x:c>
      <x:c r="B66" s="49" t="str">
        <x:v>M006</x:v>
      </x:c>
      <x:c r="C66" s="49" t="str">
        <x:v>封装基板</x:v>
      </x:c>
      <x:c r="D66" s="49" t="str">
        <x:v>件</x:v>
      </x:c>
      <x:c r="E66" s="174" t="n">
        <x:v>181638</x:v>
      </x:c>
      <x:c r="F66" s="174" t="n">
        <x:v>217966</x:v>
      </x:c>
      <x:c r="G66" s="174" t="n">
        <x:v>154392</x:v>
      </x:c>
      <x:c r="H66" s="175" t="n">
        <x:f>'01_Assumptions'!$B$8</x:f>
        <x:v>1</x:v>
      </x:c>
      <x:c r="I66" s="175" t="n">
        <x:f>E66*H66</x:f>
        <x:v>181638</x:v>
      </x:c>
      <x:c r="J66" s="49"/>
      <x:c r="K66" s="49"/>
      <x:c r="L66" s="49"/>
      <x:c r="M66" s="49"/>
      <x:c r="N66" s="49"/>
      <x:c r="O66" s="49"/>
      <x:c r="P66" s="49"/>
      <x:c r="Q66" s="49"/>
      <x:c r="R66" s="49"/>
      <x:c r="S66" s="49"/>
      <x:c r="T66" s="49"/>
      <x:c r="U66" s="49"/>
      <x:c r="V66" s="49"/>
      <x:c r="W66" s="49"/>
      <x:c r="X66" s="49"/>
      <x:c r="Y66" s="49"/>
      <x:c r="Z66" s="49"/>
      <x:c r="AA66" s="49"/>
      <x:c r="AB66" s="49"/>
      <x:c r="AC66" s="49"/>
      <x:c r="AD66" s="49"/>
      <x:c r="AE66" s="49"/>
      <x:c r="AF66" s="49"/>
      <x:c r="AG66" s="49"/>
      <x:c r="AH66" s="49"/>
      <x:c r="AI66" s="49"/>
      <x:c r="AJ66" s="49"/>
      <x:c r="AK66" s="49"/>
      <x:c r="AL66" s="49"/>
      <x:c r="AM66" s="49"/>
      <x:c r="AN66" s="49"/>
      <x:c r="AO66" s="49"/>
      <x:c r="AP66" s="49"/>
      <x:c r="AQ66" s="49"/>
      <x:c r="AR66" s="49"/>
      <x:c r="AS66" s="49"/>
      <x:c r="AT66" s="49"/>
      <x:c r="AU66" s="49"/>
      <x:c r="AV66" s="49"/>
      <x:c r="AW66" s="49"/>
      <x:c r="AX66" s="49"/>
      <x:c r="AY66" s="49"/>
      <x:c r="AZ66" s="49"/>
    </x:row>
    <x:row r="67">
      <x:c r="A67" s="49" t="str">
        <x:v>2026-02</x:v>
      </x:c>
      <x:c r="B67" s="49" t="str">
        <x:v>M006</x:v>
      </x:c>
      <x:c r="C67" s="49" t="str">
        <x:v>封装基板</x:v>
      </x:c>
      <x:c r="D67" s="49" t="str">
        <x:v>件</x:v>
      </x:c>
      <x:c r="E67" s="174" t="n">
        <x:v>185880</x:v>
      </x:c>
      <x:c r="F67" s="174" t="n">
        <x:v>223056</x:v>
      </x:c>
      <x:c r="G67" s="174" t="n">
        <x:v>157998</x:v>
      </x:c>
      <x:c r="H67" s="175" t="n">
        <x:f>'01_Assumptions'!$B$8</x:f>
        <x:v>1</x:v>
      </x:c>
      <x:c r="I67" s="175" t="n">
        <x:f>E67*H67</x:f>
        <x:v>185880</x:v>
      </x:c>
      <x:c r="J67" s="49"/>
      <x:c r="K67" s="49"/>
      <x:c r="L67" s="49"/>
      <x:c r="M67" s="49"/>
      <x:c r="N67" s="49"/>
      <x:c r="O67" s="49"/>
      <x:c r="P67" s="49"/>
      <x:c r="Q67" s="49"/>
      <x:c r="R67" s="49"/>
      <x:c r="S67" s="49"/>
      <x:c r="T67" s="49"/>
      <x:c r="U67" s="49"/>
      <x:c r="V67" s="49"/>
      <x:c r="W67" s="49"/>
      <x:c r="X67" s="49"/>
      <x:c r="Y67" s="49"/>
      <x:c r="Z67" s="49"/>
      <x:c r="AA67" s="49"/>
      <x:c r="AB67" s="49"/>
      <x:c r="AC67" s="49"/>
      <x:c r="AD67" s="49"/>
      <x:c r="AE67" s="49"/>
      <x:c r="AF67" s="49"/>
      <x:c r="AG67" s="49"/>
      <x:c r="AH67" s="49"/>
      <x:c r="AI67" s="49"/>
      <x:c r="AJ67" s="49"/>
      <x:c r="AK67" s="49"/>
      <x:c r="AL67" s="49"/>
      <x:c r="AM67" s="49"/>
      <x:c r="AN67" s="49"/>
      <x:c r="AO67" s="49"/>
      <x:c r="AP67" s="49"/>
      <x:c r="AQ67" s="49"/>
      <x:c r="AR67" s="49"/>
      <x:c r="AS67" s="49"/>
      <x:c r="AT67" s="49"/>
      <x:c r="AU67" s="49"/>
      <x:c r="AV67" s="49"/>
      <x:c r="AW67" s="49"/>
      <x:c r="AX67" s="49"/>
      <x:c r="AY67" s="49"/>
      <x:c r="AZ67" s="49"/>
    </x:row>
    <x:row r="68">
      <x:c r="A68" s="49" t="str">
        <x:v>2026-03</x:v>
      </x:c>
      <x:c r="B68" s="49" t="str">
        <x:v>M006</x:v>
      </x:c>
      <x:c r="C68" s="49" t="str">
        <x:v>封装基板</x:v>
      </x:c>
      <x:c r="D68" s="49" t="str">
        <x:v>件</x:v>
      </x:c>
      <x:c r="E68" s="174" t="n">
        <x:v>203473</x:v>
      </x:c>
      <x:c r="F68" s="174" t="n">
        <x:v>244168</x:v>
      </x:c>
      <x:c r="G68" s="174" t="n">
        <x:v>172952</x:v>
      </x:c>
      <x:c r="H68" s="175" t="n">
        <x:f>'01_Assumptions'!$B$8</x:f>
        <x:v>1</x:v>
      </x:c>
      <x:c r="I68" s="175" t="n">
        <x:f>E68*H68</x:f>
        <x:v>203473</x:v>
      </x:c>
      <x:c r="J68" s="49"/>
      <x:c r="K68" s="49"/>
      <x:c r="L68" s="49"/>
      <x:c r="M68" s="49"/>
      <x:c r="N68" s="49"/>
      <x:c r="O68" s="49"/>
      <x:c r="P68" s="49"/>
      <x:c r="Q68" s="49"/>
      <x:c r="R68" s="49"/>
      <x:c r="S68" s="49"/>
      <x:c r="T68" s="49"/>
      <x:c r="U68" s="49"/>
      <x:c r="V68" s="49"/>
      <x:c r="W68" s="49"/>
      <x:c r="X68" s="49"/>
      <x:c r="Y68" s="49"/>
      <x:c r="Z68" s="49"/>
      <x:c r="AA68" s="49"/>
      <x:c r="AB68" s="49"/>
      <x:c r="AC68" s="49"/>
      <x:c r="AD68" s="49"/>
      <x:c r="AE68" s="49"/>
      <x:c r="AF68" s="49"/>
      <x:c r="AG68" s="49"/>
      <x:c r="AH68" s="49"/>
      <x:c r="AI68" s="49"/>
      <x:c r="AJ68" s="49"/>
      <x:c r="AK68" s="49"/>
      <x:c r="AL68" s="49"/>
      <x:c r="AM68" s="49"/>
      <x:c r="AN68" s="49"/>
      <x:c r="AO68" s="49"/>
      <x:c r="AP68" s="49"/>
      <x:c r="AQ68" s="49"/>
      <x:c r="AR68" s="49"/>
      <x:c r="AS68" s="49"/>
      <x:c r="AT68" s="49"/>
      <x:c r="AU68" s="49"/>
      <x:c r="AV68" s="49"/>
      <x:c r="AW68" s="49"/>
      <x:c r="AX68" s="49"/>
      <x:c r="AY68" s="49"/>
      <x:c r="AZ68" s="49"/>
    </x:row>
    <x:row r="69">
      <x:c r="A69" s="49" t="str">
        <x:v>2026-04</x:v>
      </x:c>
      <x:c r="B69" s="49" t="str">
        <x:v>M006</x:v>
      </x:c>
      <x:c r="C69" s="49" t="str">
        <x:v>封装基板</x:v>
      </x:c>
      <x:c r="D69" s="49" t="str">
        <x:v>件</x:v>
      </x:c>
      <x:c r="E69" s="174" t="n">
        <x:v>197860</x:v>
      </x:c>
      <x:c r="F69" s="174" t="n">
        <x:v>237432</x:v>
      </x:c>
      <x:c r="G69" s="174" t="n">
        <x:v>168181</x:v>
      </x:c>
      <x:c r="H69" s="175" t="n">
        <x:f>'01_Assumptions'!$B$8</x:f>
        <x:v>1</x:v>
      </x:c>
      <x:c r="I69" s="175" t="n">
        <x:f>E69*H69</x:f>
        <x:v>197860</x:v>
      </x:c>
      <x:c r="J69" s="49"/>
      <x:c r="K69" s="49"/>
      <x:c r="L69" s="49"/>
      <x:c r="M69" s="49"/>
      <x:c r="N69" s="49"/>
      <x:c r="O69" s="49"/>
      <x:c r="P69" s="49"/>
      <x:c r="Q69" s="49"/>
      <x:c r="R69" s="49"/>
      <x:c r="S69" s="49"/>
      <x:c r="T69" s="49"/>
      <x:c r="U69" s="49"/>
      <x:c r="V69" s="49"/>
      <x:c r="W69" s="49"/>
      <x:c r="X69" s="49"/>
      <x:c r="Y69" s="49"/>
      <x:c r="Z69" s="49"/>
      <x:c r="AA69" s="49"/>
      <x:c r="AB69" s="49"/>
      <x:c r="AC69" s="49"/>
      <x:c r="AD69" s="49"/>
      <x:c r="AE69" s="49"/>
      <x:c r="AF69" s="49"/>
      <x:c r="AG69" s="49"/>
      <x:c r="AH69" s="49"/>
      <x:c r="AI69" s="49"/>
      <x:c r="AJ69" s="49"/>
      <x:c r="AK69" s="49"/>
      <x:c r="AL69" s="49"/>
      <x:c r="AM69" s="49"/>
      <x:c r="AN69" s="49"/>
      <x:c r="AO69" s="49"/>
      <x:c r="AP69" s="49"/>
      <x:c r="AQ69" s="49"/>
      <x:c r="AR69" s="49"/>
      <x:c r="AS69" s="49"/>
      <x:c r="AT69" s="49"/>
      <x:c r="AU69" s="49"/>
      <x:c r="AV69" s="49"/>
      <x:c r="AW69" s="49"/>
      <x:c r="AX69" s="49"/>
      <x:c r="AY69" s="49"/>
      <x:c r="AZ69" s="49"/>
    </x:row>
    <x:row r="70">
      <x:c r="A70" s="49" t="str">
        <x:v>2026-05</x:v>
      </x:c>
      <x:c r="B70" s="49" t="str">
        <x:v>M006</x:v>
      </x:c>
      <x:c r="C70" s="49" t="str">
        <x:v>封装基板</x:v>
      </x:c>
      <x:c r="D70" s="49" t="str">
        <x:v>件</x:v>
      </x:c>
      <x:c r="E70" s="174" t="n">
        <x:v>194066</x:v>
      </x:c>
      <x:c r="F70" s="174" t="n">
        <x:v>232879</x:v>
      </x:c>
      <x:c r="G70" s="174" t="n">
        <x:v>164956</x:v>
      </x:c>
      <x:c r="H70" s="175" t="n">
        <x:f>'01_Assumptions'!$B$8</x:f>
        <x:v>1</x:v>
      </x:c>
      <x:c r="I70" s="175" t="n">
        <x:f>E70*H70</x:f>
        <x:v>194066</x:v>
      </x:c>
      <x:c r="J70" s="49"/>
      <x:c r="K70" s="49"/>
      <x:c r="L70" s="49"/>
      <x:c r="M70" s="49"/>
      <x:c r="N70" s="49"/>
      <x:c r="O70" s="49"/>
      <x:c r="P70" s="49"/>
      <x:c r="Q70" s="49"/>
      <x:c r="R70" s="49"/>
      <x:c r="S70" s="49"/>
      <x:c r="T70" s="49"/>
      <x:c r="U70" s="49"/>
      <x:c r="V70" s="49"/>
      <x:c r="W70" s="49"/>
      <x:c r="X70" s="49"/>
      <x:c r="Y70" s="49"/>
      <x:c r="Z70" s="49"/>
      <x:c r="AA70" s="49"/>
      <x:c r="AB70" s="49"/>
      <x:c r="AC70" s="49"/>
      <x:c r="AD70" s="49"/>
      <x:c r="AE70" s="49"/>
      <x:c r="AF70" s="49"/>
      <x:c r="AG70" s="49"/>
      <x:c r="AH70" s="49"/>
      <x:c r="AI70" s="49"/>
      <x:c r="AJ70" s="49"/>
      <x:c r="AK70" s="49"/>
      <x:c r="AL70" s="49"/>
      <x:c r="AM70" s="49"/>
      <x:c r="AN70" s="49"/>
      <x:c r="AO70" s="49"/>
      <x:c r="AP70" s="49"/>
      <x:c r="AQ70" s="49"/>
      <x:c r="AR70" s="49"/>
      <x:c r="AS70" s="49"/>
      <x:c r="AT70" s="49"/>
      <x:c r="AU70" s="49"/>
      <x:c r="AV70" s="49"/>
      <x:c r="AW70" s="49"/>
      <x:c r="AX70" s="49"/>
      <x:c r="AY70" s="49"/>
      <x:c r="AZ70" s="49"/>
    </x:row>
    <x:row r="71">
      <x:c r="A71" s="49" t="str">
        <x:v>2026-06</x:v>
      </x:c>
      <x:c r="B71" s="49" t="str">
        <x:v>M006</x:v>
      </x:c>
      <x:c r="C71" s="49" t="str">
        <x:v>封装基板</x:v>
      </x:c>
      <x:c r="D71" s="49" t="str">
        <x:v>件</x:v>
      </x:c>
      <x:c r="E71" s="174" t="n">
        <x:v>185853</x:v>
      </x:c>
      <x:c r="F71" s="174" t="n">
        <x:v>223024</x:v>
      </x:c>
      <x:c r="G71" s="174" t="n">
        <x:v>157975</x:v>
      </x:c>
      <x:c r="H71" s="175" t="n">
        <x:f>'01_Assumptions'!$B$8</x:f>
        <x:v>1</x:v>
      </x:c>
      <x:c r="I71" s="175" t="n">
        <x:f>E71*H71</x:f>
        <x:v>185853</x:v>
      </x:c>
      <x:c r="J71" s="49"/>
      <x:c r="K71" s="49"/>
      <x:c r="L71" s="49"/>
      <x:c r="M71" s="49"/>
      <x:c r="N71" s="49"/>
      <x:c r="O71" s="49"/>
      <x:c r="P71" s="49"/>
      <x:c r="Q71" s="49"/>
      <x:c r="R71" s="49"/>
      <x:c r="S71" s="49"/>
      <x:c r="T71" s="49"/>
      <x:c r="U71" s="49"/>
      <x:c r="V71" s="49"/>
      <x:c r="W71" s="49"/>
      <x:c r="X71" s="49"/>
      <x:c r="Y71" s="49"/>
      <x:c r="Z71" s="49"/>
      <x:c r="AA71" s="49"/>
      <x:c r="AB71" s="49"/>
      <x:c r="AC71" s="49"/>
      <x:c r="AD71" s="49"/>
      <x:c r="AE71" s="49"/>
      <x:c r="AF71" s="49"/>
      <x:c r="AG71" s="49"/>
      <x:c r="AH71" s="49"/>
      <x:c r="AI71" s="49"/>
      <x:c r="AJ71" s="49"/>
      <x:c r="AK71" s="49"/>
      <x:c r="AL71" s="49"/>
      <x:c r="AM71" s="49"/>
      <x:c r="AN71" s="49"/>
      <x:c r="AO71" s="49"/>
      <x:c r="AP71" s="49"/>
      <x:c r="AQ71" s="49"/>
      <x:c r="AR71" s="49"/>
      <x:c r="AS71" s="49"/>
      <x:c r="AT71" s="49"/>
      <x:c r="AU71" s="49"/>
      <x:c r="AV71" s="49"/>
      <x:c r="AW71" s="49"/>
      <x:c r="AX71" s="49"/>
      <x:c r="AY71" s="49"/>
      <x:c r="AZ71" s="49"/>
    </x:row>
    <x:row r="72">
      <x:c r="A72" s="49" t="str">
        <x:v>2026-07</x:v>
      </x:c>
      <x:c r="B72" s="49" t="str">
        <x:v>M006</x:v>
      </x:c>
      <x:c r="C72" s="49" t="str">
        <x:v>封装基板</x:v>
      </x:c>
      <x:c r="D72" s="49" t="str">
        <x:v>件</x:v>
      </x:c>
      <x:c r="E72" s="174" t="n">
        <x:v>189011</x:v>
      </x:c>
      <x:c r="F72" s="174" t="n">
        <x:v>226813</x:v>
      </x:c>
      <x:c r="G72" s="174" t="n">
        <x:v>160659</x:v>
      </x:c>
      <x:c r="H72" s="175" t="n">
        <x:f>'01_Assumptions'!$B$8</x:f>
        <x:v>1</x:v>
      </x:c>
      <x:c r="I72" s="175" t="n">
        <x:f>E72*H72</x:f>
        <x:v>189011</x:v>
      </x:c>
      <x:c r="J72" s="49"/>
      <x:c r="K72" s="49"/>
      <x:c r="L72" s="49"/>
      <x:c r="M72" s="49"/>
      <x:c r="N72" s="49"/>
      <x:c r="O72" s="49"/>
      <x:c r="P72" s="49"/>
      <x:c r="Q72" s="49"/>
      <x:c r="R72" s="49"/>
      <x:c r="S72" s="49"/>
      <x:c r="T72" s="49"/>
      <x:c r="U72" s="49"/>
      <x:c r="V72" s="49"/>
      <x:c r="W72" s="49"/>
      <x:c r="X72" s="49"/>
      <x:c r="Y72" s="49"/>
      <x:c r="Z72" s="49"/>
      <x:c r="AA72" s="49"/>
      <x:c r="AB72" s="49"/>
      <x:c r="AC72" s="49"/>
      <x:c r="AD72" s="49"/>
      <x:c r="AE72" s="49"/>
      <x:c r="AF72" s="49"/>
      <x:c r="AG72" s="49"/>
      <x:c r="AH72" s="49"/>
      <x:c r="AI72" s="49"/>
      <x:c r="AJ72" s="49"/>
      <x:c r="AK72" s="49"/>
      <x:c r="AL72" s="49"/>
      <x:c r="AM72" s="49"/>
      <x:c r="AN72" s="49"/>
      <x:c r="AO72" s="49"/>
      <x:c r="AP72" s="49"/>
      <x:c r="AQ72" s="49"/>
      <x:c r="AR72" s="49"/>
      <x:c r="AS72" s="49"/>
      <x:c r="AT72" s="49"/>
      <x:c r="AU72" s="49"/>
      <x:c r="AV72" s="49"/>
      <x:c r="AW72" s="49"/>
      <x:c r="AX72" s="49"/>
      <x:c r="AY72" s="49"/>
      <x:c r="AZ72" s="49"/>
    </x:row>
    <x:row r="73">
      <x:c r="A73" s="49" t="str">
        <x:v>2026-08</x:v>
      </x:c>
      <x:c r="B73" s="49" t="str">
        <x:v>M006</x:v>
      </x:c>
      <x:c r="C73" s="49" t="str">
        <x:v>封装基板</x:v>
      </x:c>
      <x:c r="D73" s="49" t="str">
        <x:v>件</x:v>
      </x:c>
      <x:c r="E73" s="174" t="n">
        <x:v>180252</x:v>
      </x:c>
      <x:c r="F73" s="174" t="n">
        <x:v>216302</x:v>
      </x:c>
      <x:c r="G73" s="174" t="n">
        <x:v>153214</x:v>
      </x:c>
      <x:c r="H73" s="175" t="n">
        <x:f>'01_Assumptions'!$B$8</x:f>
        <x:v>1</x:v>
      </x:c>
      <x:c r="I73" s="175" t="n">
        <x:f>E73*H73</x:f>
        <x:v>180252</x:v>
      </x:c>
      <x:c r="J73" s="49"/>
      <x:c r="K73" s="49"/>
      <x:c r="L73" s="49"/>
      <x:c r="M73" s="49"/>
      <x:c r="N73" s="49"/>
      <x:c r="O73" s="49"/>
      <x:c r="P73" s="49"/>
      <x:c r="Q73" s="49"/>
      <x:c r="R73" s="49"/>
      <x:c r="S73" s="49"/>
      <x:c r="T73" s="49"/>
      <x:c r="U73" s="49"/>
      <x:c r="V73" s="49"/>
      <x:c r="W73" s="49"/>
      <x:c r="X73" s="49"/>
      <x:c r="Y73" s="49"/>
      <x:c r="Z73" s="49"/>
      <x:c r="AA73" s="49"/>
      <x:c r="AB73" s="49"/>
      <x:c r="AC73" s="49"/>
      <x:c r="AD73" s="49"/>
      <x:c r="AE73" s="49"/>
      <x:c r="AF73" s="49"/>
      <x:c r="AG73" s="49"/>
      <x:c r="AH73" s="49"/>
      <x:c r="AI73" s="49"/>
      <x:c r="AJ73" s="49"/>
      <x:c r="AK73" s="49"/>
      <x:c r="AL73" s="49"/>
      <x:c r="AM73" s="49"/>
      <x:c r="AN73" s="49"/>
      <x:c r="AO73" s="49"/>
      <x:c r="AP73" s="49"/>
      <x:c r="AQ73" s="49"/>
      <x:c r="AR73" s="49"/>
      <x:c r="AS73" s="49"/>
      <x:c r="AT73" s="49"/>
      <x:c r="AU73" s="49"/>
      <x:c r="AV73" s="49"/>
      <x:c r="AW73" s="49"/>
      <x:c r="AX73" s="49"/>
      <x:c r="AY73" s="49"/>
      <x:c r="AZ73" s="49"/>
    </x:row>
    <x:row r="74">
      <x:c r="A74" s="49" t="str">
        <x:v>2026-09</x:v>
      </x:c>
      <x:c r="B74" s="49" t="str">
        <x:v>M006</x:v>
      </x:c>
      <x:c r="C74" s="49" t="str">
        <x:v>封装基板</x:v>
      </x:c>
      <x:c r="D74" s="49" t="str">
        <x:v>件</x:v>
      </x:c>
      <x:c r="E74" s="174" t="n">
        <x:v>174311</x:v>
      </x:c>
      <x:c r="F74" s="174" t="n">
        <x:v>209173</x:v>
      </x:c>
      <x:c r="G74" s="174" t="n">
        <x:v>148164</x:v>
      </x:c>
      <x:c r="H74" s="175" t="n">
        <x:f>'01_Assumptions'!$B$8</x:f>
        <x:v>1</x:v>
      </x:c>
      <x:c r="I74" s="175" t="n">
        <x:f>E74*H74</x:f>
        <x:v>174311</x:v>
      </x:c>
      <x:c r="J74" s="49"/>
      <x:c r="K74" s="49"/>
      <x:c r="L74" s="49"/>
      <x:c r="M74" s="49"/>
      <x:c r="N74" s="49"/>
      <x:c r="O74" s="49"/>
      <x:c r="P74" s="49"/>
      <x:c r="Q74" s="49"/>
      <x:c r="R74" s="49"/>
      <x:c r="S74" s="49"/>
      <x:c r="T74" s="49"/>
      <x:c r="U74" s="49"/>
      <x:c r="V74" s="49"/>
      <x:c r="W74" s="49"/>
      <x:c r="X74" s="49"/>
      <x:c r="Y74" s="49"/>
      <x:c r="Z74" s="49"/>
      <x:c r="AA74" s="49"/>
      <x:c r="AB74" s="49"/>
      <x:c r="AC74" s="49"/>
      <x:c r="AD74" s="49"/>
      <x:c r="AE74" s="49"/>
      <x:c r="AF74" s="49"/>
      <x:c r="AG74" s="49"/>
      <x:c r="AH74" s="49"/>
      <x:c r="AI74" s="49"/>
      <x:c r="AJ74" s="49"/>
      <x:c r="AK74" s="49"/>
      <x:c r="AL74" s="49"/>
      <x:c r="AM74" s="49"/>
      <x:c r="AN74" s="49"/>
      <x:c r="AO74" s="49"/>
      <x:c r="AP74" s="49"/>
      <x:c r="AQ74" s="49"/>
      <x:c r="AR74" s="49"/>
      <x:c r="AS74" s="49"/>
      <x:c r="AT74" s="49"/>
      <x:c r="AU74" s="49"/>
      <x:c r="AV74" s="49"/>
      <x:c r="AW74" s="49"/>
      <x:c r="AX74" s="49"/>
      <x:c r="AY74" s="49"/>
      <x:c r="AZ74" s="49"/>
    </x:row>
    <x:row r="75">
      <x:c r="A75" s="49" t="str">
        <x:v>2026-10</x:v>
      </x:c>
      <x:c r="B75" s="49" t="str">
        <x:v>M006</x:v>
      </x:c>
      <x:c r="C75" s="49" t="str">
        <x:v>封装基板</x:v>
      </x:c>
      <x:c r="D75" s="49" t="str">
        <x:v>件</x:v>
      </x:c>
      <x:c r="E75" s="174" t="n">
        <x:v>177214</x:v>
      </x:c>
      <x:c r="F75" s="174" t="n">
        <x:v>212657</x:v>
      </x:c>
      <x:c r="G75" s="174" t="n">
        <x:v>150632</x:v>
      </x:c>
      <x:c r="H75" s="175" t="n">
        <x:f>'01_Assumptions'!$B$8</x:f>
        <x:v>1</x:v>
      </x:c>
      <x:c r="I75" s="175" t="n">
        <x:f>E75*H75</x:f>
        <x:v>177214</x:v>
      </x:c>
      <x:c r="J75" s="49"/>
      <x:c r="K75" s="49"/>
      <x:c r="L75" s="49"/>
      <x:c r="M75" s="49"/>
      <x:c r="N75" s="49"/>
      <x:c r="O75" s="49"/>
      <x:c r="P75" s="49"/>
      <x:c r="Q75" s="49"/>
      <x:c r="R75" s="49"/>
      <x:c r="S75" s="49"/>
      <x:c r="T75" s="49"/>
      <x:c r="U75" s="49"/>
      <x:c r="V75" s="49"/>
      <x:c r="W75" s="49"/>
      <x:c r="X75" s="49"/>
      <x:c r="Y75" s="49"/>
      <x:c r="Z75" s="49"/>
      <x:c r="AA75" s="49"/>
      <x:c r="AB75" s="49"/>
      <x:c r="AC75" s="49"/>
      <x:c r="AD75" s="49"/>
      <x:c r="AE75" s="49"/>
      <x:c r="AF75" s="49"/>
      <x:c r="AG75" s="49"/>
      <x:c r="AH75" s="49"/>
      <x:c r="AI75" s="49"/>
      <x:c r="AJ75" s="49"/>
      <x:c r="AK75" s="49"/>
      <x:c r="AL75" s="49"/>
      <x:c r="AM75" s="49"/>
      <x:c r="AN75" s="49"/>
      <x:c r="AO75" s="49"/>
      <x:c r="AP75" s="49"/>
      <x:c r="AQ75" s="49"/>
      <x:c r="AR75" s="49"/>
      <x:c r="AS75" s="49"/>
      <x:c r="AT75" s="49"/>
      <x:c r="AU75" s="49"/>
      <x:c r="AV75" s="49"/>
      <x:c r="AW75" s="49"/>
      <x:c r="AX75" s="49"/>
      <x:c r="AY75" s="49"/>
      <x:c r="AZ75" s="49"/>
    </x:row>
    <x:row r="76">
      <x:c r="A76" s="49" t="str">
        <x:v>2026-11</x:v>
      </x:c>
      <x:c r="B76" s="49" t="str">
        <x:v>M006</x:v>
      </x:c>
      <x:c r="C76" s="49" t="str">
        <x:v>封装基板</x:v>
      </x:c>
      <x:c r="D76" s="49" t="str">
        <x:v>件</x:v>
      </x:c>
      <x:c r="E76" s="174" t="n">
        <x:v>171397</x:v>
      </x:c>
      <x:c r="F76" s="174" t="n">
        <x:v>205676</x:v>
      </x:c>
      <x:c r="G76" s="174" t="n">
        <x:v>145687</x:v>
      </x:c>
      <x:c r="H76" s="175" t="n">
        <x:f>'01_Assumptions'!$B$8</x:f>
        <x:v>1</x:v>
      </x:c>
      <x:c r="I76" s="175" t="n">
        <x:f>E76*H76</x:f>
        <x:v>171397</x:v>
      </x:c>
      <x:c r="J76" s="49"/>
      <x:c r="K76" s="49"/>
      <x:c r="L76" s="49"/>
      <x:c r="M76" s="49"/>
      <x:c r="N76" s="49"/>
      <x:c r="O76" s="49"/>
      <x:c r="P76" s="49"/>
      <x:c r="Q76" s="49"/>
      <x:c r="R76" s="49"/>
      <x:c r="S76" s="49"/>
      <x:c r="T76" s="49"/>
      <x:c r="U76" s="49"/>
      <x:c r="V76" s="49"/>
      <x:c r="W76" s="49"/>
      <x:c r="X76" s="49"/>
      <x:c r="Y76" s="49"/>
      <x:c r="Z76" s="49"/>
      <x:c r="AA76" s="49"/>
      <x:c r="AB76" s="49"/>
      <x:c r="AC76" s="49"/>
      <x:c r="AD76" s="49"/>
      <x:c r="AE76" s="49"/>
      <x:c r="AF76" s="49"/>
      <x:c r="AG76" s="49"/>
      <x:c r="AH76" s="49"/>
      <x:c r="AI76" s="49"/>
      <x:c r="AJ76" s="49"/>
      <x:c r="AK76" s="49"/>
      <x:c r="AL76" s="49"/>
      <x:c r="AM76" s="49"/>
      <x:c r="AN76" s="49"/>
      <x:c r="AO76" s="49"/>
      <x:c r="AP76" s="49"/>
      <x:c r="AQ76" s="49"/>
      <x:c r="AR76" s="49"/>
      <x:c r="AS76" s="49"/>
      <x:c r="AT76" s="49"/>
      <x:c r="AU76" s="49"/>
      <x:c r="AV76" s="49"/>
      <x:c r="AW76" s="49"/>
      <x:c r="AX76" s="49"/>
      <x:c r="AY76" s="49"/>
      <x:c r="AZ76" s="49"/>
    </x:row>
    <x:row r="77">
      <x:c r="A77" s="49" t="str">
        <x:v>2026-12</x:v>
      </x:c>
      <x:c r="B77" s="49" t="str">
        <x:v>M006</x:v>
      </x:c>
      <x:c r="C77" s="49" t="str">
        <x:v>封装基板</x:v>
      </x:c>
      <x:c r="D77" s="49" t="str">
        <x:v>件</x:v>
      </x:c>
      <x:c r="E77" s="174" t="n">
        <x:v>179466</x:v>
      </x:c>
      <x:c r="F77" s="174" t="n">
        <x:v>215359</x:v>
      </x:c>
      <x:c r="G77" s="174" t="n">
        <x:v>152546</x:v>
      </x:c>
      <x:c r="H77" s="175" t="n">
        <x:f>'01_Assumptions'!$B$8</x:f>
        <x:v>1</x:v>
      </x:c>
      <x:c r="I77" s="175" t="n">
        <x:f>E77*H77</x:f>
        <x:v>179466</x:v>
      </x:c>
      <x:c r="J77" s="49"/>
      <x:c r="K77" s="49"/>
      <x:c r="L77" s="49"/>
      <x:c r="M77" s="49"/>
      <x:c r="N77" s="49"/>
      <x:c r="O77" s="49"/>
      <x:c r="P77" s="49"/>
      <x:c r="Q77" s="49"/>
      <x:c r="R77" s="49"/>
      <x:c r="S77" s="49"/>
      <x:c r="T77" s="49"/>
      <x:c r="U77" s="49"/>
      <x:c r="V77" s="49"/>
      <x:c r="W77" s="49"/>
      <x:c r="X77" s="49"/>
      <x:c r="Y77" s="49"/>
      <x:c r="Z77" s="49"/>
      <x:c r="AA77" s="49"/>
      <x:c r="AB77" s="49"/>
      <x:c r="AC77" s="49"/>
      <x:c r="AD77" s="49"/>
      <x:c r="AE77" s="49"/>
      <x:c r="AF77" s="49"/>
      <x:c r="AG77" s="49"/>
      <x:c r="AH77" s="49"/>
      <x:c r="AI77" s="49"/>
      <x:c r="AJ77" s="49"/>
      <x:c r="AK77" s="49"/>
      <x:c r="AL77" s="49"/>
      <x:c r="AM77" s="49"/>
      <x:c r="AN77" s="49"/>
      <x:c r="AO77" s="49"/>
      <x:c r="AP77" s="49"/>
      <x:c r="AQ77" s="49"/>
      <x:c r="AR77" s="49"/>
      <x:c r="AS77" s="49"/>
      <x:c r="AT77" s="49"/>
      <x:c r="AU77" s="49"/>
      <x:c r="AV77" s="49"/>
      <x:c r="AW77" s="49"/>
      <x:c r="AX77" s="49"/>
      <x:c r="AY77" s="49"/>
      <x:c r="AZ77" s="49"/>
    </x:row>
    <x:row r="78">
      <x:c r="A78" s="49" t="str">
        <x:v>2026-01</x:v>
      </x:c>
      <x:c r="B78" s="49" t="str">
        <x:v>M007</x:v>
      </x:c>
      <x:c r="C78" s="49" t="str">
        <x:v>引线框架</x:v>
      </x:c>
      <x:c r="D78" s="49" t="str">
        <x:v>千件</x:v>
      </x:c>
      <x:c r="E78" s="174" t="n">
        <x:v>220</x:v>
      </x:c>
      <x:c r="F78" s="174" t="n">
        <x:v>264</x:v>
      </x:c>
      <x:c r="G78" s="174" t="n">
        <x:v>187</x:v>
      </x:c>
      <x:c r="H78" s="175" t="n">
        <x:f>'01_Assumptions'!$B$8</x:f>
        <x:v>1</x:v>
      </x:c>
      <x:c r="I78" s="175" t="n">
        <x:f>E78*H78</x:f>
        <x:v>220</x:v>
      </x:c>
      <x:c r="J78" s="49"/>
      <x:c r="K78" s="49"/>
      <x:c r="L78" s="49"/>
      <x:c r="M78" s="49"/>
      <x:c r="N78" s="49"/>
      <x:c r="O78" s="49"/>
      <x:c r="P78" s="49"/>
      <x:c r="Q78" s="49"/>
      <x:c r="R78" s="49"/>
      <x:c r="S78" s="49"/>
      <x:c r="T78" s="49"/>
      <x:c r="U78" s="49"/>
      <x:c r="V78" s="49"/>
      <x:c r="W78" s="49"/>
      <x:c r="X78" s="49"/>
      <x:c r="Y78" s="49"/>
      <x:c r="Z78" s="49"/>
      <x:c r="AA78" s="49"/>
      <x:c r="AB78" s="49"/>
      <x:c r="AC78" s="49"/>
      <x:c r="AD78" s="49"/>
      <x:c r="AE78" s="49"/>
      <x:c r="AF78" s="49"/>
      <x:c r="AG78" s="49"/>
      <x:c r="AH78" s="49"/>
      <x:c r="AI78" s="49"/>
      <x:c r="AJ78" s="49"/>
      <x:c r="AK78" s="49"/>
      <x:c r="AL78" s="49"/>
      <x:c r="AM78" s="49"/>
      <x:c r="AN78" s="49"/>
      <x:c r="AO78" s="49"/>
      <x:c r="AP78" s="49"/>
      <x:c r="AQ78" s="49"/>
      <x:c r="AR78" s="49"/>
      <x:c r="AS78" s="49"/>
      <x:c r="AT78" s="49"/>
      <x:c r="AU78" s="49"/>
      <x:c r="AV78" s="49"/>
      <x:c r="AW78" s="49"/>
      <x:c r="AX78" s="49"/>
      <x:c r="AY78" s="49"/>
      <x:c r="AZ78" s="49"/>
    </x:row>
    <x:row r="79">
      <x:c r="A79" s="49" t="str">
        <x:v>2026-02</x:v>
      </x:c>
      <x:c r="B79" s="49" t="str">
        <x:v>M007</x:v>
      </x:c>
      <x:c r="C79" s="49" t="str">
        <x:v>引线框架</x:v>
      </x:c>
      <x:c r="D79" s="49" t="str">
        <x:v>千件</x:v>
      </x:c>
      <x:c r="E79" s="174" t="n">
        <x:v>210</x:v>
      </x:c>
      <x:c r="F79" s="174" t="n">
        <x:v>252</x:v>
      </x:c>
      <x:c r="G79" s="174" t="n">
        <x:v>178</x:v>
      </x:c>
      <x:c r="H79" s="175" t="n">
        <x:f>'01_Assumptions'!$B$8</x:f>
        <x:v>1</x:v>
      </x:c>
      <x:c r="I79" s="175" t="n">
        <x:f>E79*H79</x:f>
        <x:v>210</x:v>
      </x:c>
      <x:c r="J79" s="49"/>
      <x:c r="K79" s="49"/>
      <x:c r="L79" s="49"/>
      <x:c r="M79" s="49"/>
      <x:c r="N79" s="49"/>
      <x:c r="O79" s="49"/>
      <x:c r="P79" s="49"/>
      <x:c r="Q79" s="49"/>
      <x:c r="R79" s="49"/>
      <x:c r="S79" s="49"/>
      <x:c r="T79" s="49"/>
      <x:c r="U79" s="49"/>
      <x:c r="V79" s="49"/>
      <x:c r="W79" s="49"/>
      <x:c r="X79" s="49"/>
      <x:c r="Y79" s="49"/>
      <x:c r="Z79" s="49"/>
      <x:c r="AA79" s="49"/>
      <x:c r="AB79" s="49"/>
      <x:c r="AC79" s="49"/>
      <x:c r="AD79" s="49"/>
      <x:c r="AE79" s="49"/>
      <x:c r="AF79" s="49"/>
      <x:c r="AG79" s="49"/>
      <x:c r="AH79" s="49"/>
      <x:c r="AI79" s="49"/>
      <x:c r="AJ79" s="49"/>
      <x:c r="AK79" s="49"/>
      <x:c r="AL79" s="49"/>
      <x:c r="AM79" s="49"/>
      <x:c r="AN79" s="49"/>
      <x:c r="AO79" s="49"/>
      <x:c r="AP79" s="49"/>
      <x:c r="AQ79" s="49"/>
      <x:c r="AR79" s="49"/>
      <x:c r="AS79" s="49"/>
      <x:c r="AT79" s="49"/>
      <x:c r="AU79" s="49"/>
      <x:c r="AV79" s="49"/>
      <x:c r="AW79" s="49"/>
      <x:c r="AX79" s="49"/>
      <x:c r="AY79" s="49"/>
      <x:c r="AZ79" s="49"/>
    </x:row>
    <x:row r="80">
      <x:c r="A80" s="49" t="str">
        <x:v>2026-03</x:v>
      </x:c>
      <x:c r="B80" s="49" t="str">
        <x:v>M007</x:v>
      </x:c>
      <x:c r="C80" s="49" t="str">
        <x:v>引线框架</x:v>
      </x:c>
      <x:c r="D80" s="49" t="str">
        <x:v>千件</x:v>
      </x:c>
      <x:c r="E80" s="174" t="n">
        <x:v>220</x:v>
      </x:c>
      <x:c r="F80" s="174" t="n">
        <x:v>264</x:v>
      </x:c>
      <x:c r="G80" s="174" t="n">
        <x:v>187</x:v>
      </x:c>
      <x:c r="H80" s="175" t="n">
        <x:f>'01_Assumptions'!$B$8</x:f>
        <x:v>1</x:v>
      </x:c>
      <x:c r="I80" s="175" t="n">
        <x:f>E80*H80</x:f>
        <x:v>220</x:v>
      </x:c>
      <x:c r="J80" s="49"/>
      <x:c r="K80" s="49"/>
      <x:c r="L80" s="49"/>
      <x:c r="M80" s="49"/>
      <x:c r="N80" s="49"/>
      <x:c r="O80" s="49"/>
      <x:c r="P80" s="49"/>
      <x:c r="Q80" s="49"/>
      <x:c r="R80" s="49"/>
      <x:c r="S80" s="49"/>
      <x:c r="T80" s="49"/>
      <x:c r="U80" s="49"/>
      <x:c r="V80" s="49"/>
      <x:c r="W80" s="49"/>
      <x:c r="X80" s="49"/>
      <x:c r="Y80" s="49"/>
      <x:c r="Z80" s="49"/>
      <x:c r="AA80" s="49"/>
      <x:c r="AB80" s="49"/>
      <x:c r="AC80" s="49"/>
      <x:c r="AD80" s="49"/>
      <x:c r="AE80" s="49"/>
      <x:c r="AF80" s="49"/>
      <x:c r="AG80" s="49"/>
      <x:c r="AH80" s="49"/>
      <x:c r="AI80" s="49"/>
      <x:c r="AJ80" s="49"/>
      <x:c r="AK80" s="49"/>
      <x:c r="AL80" s="49"/>
      <x:c r="AM80" s="49"/>
      <x:c r="AN80" s="49"/>
      <x:c r="AO80" s="49"/>
      <x:c r="AP80" s="49"/>
      <x:c r="AQ80" s="49"/>
      <x:c r="AR80" s="49"/>
      <x:c r="AS80" s="49"/>
      <x:c r="AT80" s="49"/>
      <x:c r="AU80" s="49"/>
      <x:c r="AV80" s="49"/>
      <x:c r="AW80" s="49"/>
      <x:c r="AX80" s="49"/>
      <x:c r="AY80" s="49"/>
      <x:c r="AZ80" s="49"/>
    </x:row>
    <x:row r="81">
      <x:c r="A81" s="49" t="str">
        <x:v>2026-04</x:v>
      </x:c>
      <x:c r="B81" s="49" t="str">
        <x:v>M007</x:v>
      </x:c>
      <x:c r="C81" s="49" t="str">
        <x:v>引线框架</x:v>
      </x:c>
      <x:c r="D81" s="49" t="str">
        <x:v>千件</x:v>
      </x:c>
      <x:c r="E81" s="174" t="n">
        <x:v>238</x:v>
      </x:c>
      <x:c r="F81" s="174" t="n">
        <x:v>286</x:v>
      </x:c>
      <x:c r="G81" s="174" t="n">
        <x:v>202</x:v>
      </x:c>
      <x:c r="H81" s="175" t="n">
        <x:f>'01_Assumptions'!$B$8</x:f>
        <x:v>1</x:v>
      </x:c>
      <x:c r="I81" s="175" t="n">
        <x:f>E81*H81</x:f>
        <x:v>238</x:v>
      </x:c>
      <x:c r="J81" s="49"/>
      <x:c r="K81" s="49"/>
      <x:c r="L81" s="49"/>
      <x:c r="M81" s="49"/>
      <x:c r="N81" s="49"/>
      <x:c r="O81" s="49"/>
      <x:c r="P81" s="49"/>
      <x:c r="Q81" s="49"/>
      <x:c r="R81" s="49"/>
      <x:c r="S81" s="49"/>
      <x:c r="T81" s="49"/>
      <x:c r="U81" s="49"/>
      <x:c r="V81" s="49"/>
      <x:c r="W81" s="49"/>
      <x:c r="X81" s="49"/>
      <x:c r="Y81" s="49"/>
      <x:c r="Z81" s="49"/>
      <x:c r="AA81" s="49"/>
      <x:c r="AB81" s="49"/>
      <x:c r="AC81" s="49"/>
      <x:c r="AD81" s="49"/>
      <x:c r="AE81" s="49"/>
      <x:c r="AF81" s="49"/>
      <x:c r="AG81" s="49"/>
      <x:c r="AH81" s="49"/>
      <x:c r="AI81" s="49"/>
      <x:c r="AJ81" s="49"/>
      <x:c r="AK81" s="49"/>
      <x:c r="AL81" s="49"/>
      <x:c r="AM81" s="49"/>
      <x:c r="AN81" s="49"/>
      <x:c r="AO81" s="49"/>
      <x:c r="AP81" s="49"/>
      <x:c r="AQ81" s="49"/>
      <x:c r="AR81" s="49"/>
      <x:c r="AS81" s="49"/>
      <x:c r="AT81" s="49"/>
      <x:c r="AU81" s="49"/>
      <x:c r="AV81" s="49"/>
      <x:c r="AW81" s="49"/>
      <x:c r="AX81" s="49"/>
      <x:c r="AY81" s="49"/>
      <x:c r="AZ81" s="49"/>
    </x:row>
    <x:row r="82">
      <x:c r="A82" s="49" t="str">
        <x:v>2026-05</x:v>
      </x:c>
      <x:c r="B82" s="49" t="str">
        <x:v>M007</x:v>
      </x:c>
      <x:c r="C82" s="49" t="str">
        <x:v>引线框架</x:v>
      </x:c>
      <x:c r="D82" s="49" t="str">
        <x:v>千件</x:v>
      </x:c>
      <x:c r="E82" s="174" t="n">
        <x:v>227</x:v>
      </x:c>
      <x:c r="F82" s="174" t="n">
        <x:v>272</x:v>
      </x:c>
      <x:c r="G82" s="174" t="n">
        <x:v>193</x:v>
      </x:c>
      <x:c r="H82" s="175" t="n">
        <x:f>'01_Assumptions'!$B$8</x:f>
        <x:v>1</x:v>
      </x:c>
      <x:c r="I82" s="175" t="n">
        <x:f>E82*H82</x:f>
        <x:v>227</x:v>
      </x:c>
      <x:c r="J82" s="49"/>
      <x:c r="K82" s="49"/>
      <x:c r="L82" s="49"/>
      <x:c r="M82" s="49"/>
      <x:c r="N82" s="49"/>
      <x:c r="O82" s="49"/>
      <x:c r="P82" s="49"/>
      <x:c r="Q82" s="49"/>
      <x:c r="R82" s="49"/>
      <x:c r="S82" s="49"/>
      <x:c r="T82" s="49"/>
      <x:c r="U82" s="49"/>
      <x:c r="V82" s="49"/>
      <x:c r="W82" s="49"/>
      <x:c r="X82" s="49"/>
      <x:c r="Y82" s="49"/>
      <x:c r="Z82" s="49"/>
      <x:c r="AA82" s="49"/>
      <x:c r="AB82" s="49"/>
      <x:c r="AC82" s="49"/>
      <x:c r="AD82" s="49"/>
      <x:c r="AE82" s="49"/>
      <x:c r="AF82" s="49"/>
      <x:c r="AG82" s="49"/>
      <x:c r="AH82" s="49"/>
      <x:c r="AI82" s="49"/>
      <x:c r="AJ82" s="49"/>
      <x:c r="AK82" s="49"/>
      <x:c r="AL82" s="49"/>
      <x:c r="AM82" s="49"/>
      <x:c r="AN82" s="49"/>
      <x:c r="AO82" s="49"/>
      <x:c r="AP82" s="49"/>
      <x:c r="AQ82" s="49"/>
      <x:c r="AR82" s="49"/>
      <x:c r="AS82" s="49"/>
      <x:c r="AT82" s="49"/>
      <x:c r="AU82" s="49"/>
      <x:c r="AV82" s="49"/>
      <x:c r="AW82" s="49"/>
      <x:c r="AX82" s="49"/>
      <x:c r="AY82" s="49"/>
      <x:c r="AZ82" s="49"/>
    </x:row>
    <x:row r="83">
      <x:c r="A83" s="49" t="str">
        <x:v>2026-06</x:v>
      </x:c>
      <x:c r="B83" s="49" t="str">
        <x:v>M007</x:v>
      </x:c>
      <x:c r="C83" s="49" t="str">
        <x:v>引线框架</x:v>
      </x:c>
      <x:c r="D83" s="49" t="str">
        <x:v>千件</x:v>
      </x:c>
      <x:c r="E83" s="174" t="n">
        <x:v>219</x:v>
      </x:c>
      <x:c r="F83" s="174" t="n">
        <x:v>263</x:v>
      </x:c>
      <x:c r="G83" s="174" t="n">
        <x:v>186</x:v>
      </x:c>
      <x:c r="H83" s="175" t="n">
        <x:f>'01_Assumptions'!$B$8</x:f>
        <x:v>1</x:v>
      </x:c>
      <x:c r="I83" s="175" t="n">
        <x:f>E83*H83</x:f>
        <x:v>219</x:v>
      </x:c>
      <x:c r="J83" s="49"/>
      <x:c r="K83" s="49"/>
      <x:c r="L83" s="49"/>
      <x:c r="M83" s="49"/>
      <x:c r="N83" s="49"/>
      <x:c r="O83" s="49"/>
      <x:c r="P83" s="49"/>
      <x:c r="Q83" s="49"/>
      <x:c r="R83" s="49"/>
      <x:c r="S83" s="49"/>
      <x:c r="T83" s="49"/>
      <x:c r="U83" s="49"/>
      <x:c r="V83" s="49"/>
      <x:c r="W83" s="49"/>
      <x:c r="X83" s="49"/>
      <x:c r="Y83" s="49"/>
      <x:c r="Z83" s="49"/>
      <x:c r="AA83" s="49"/>
      <x:c r="AB83" s="49"/>
      <x:c r="AC83" s="49"/>
      <x:c r="AD83" s="49"/>
      <x:c r="AE83" s="49"/>
      <x:c r="AF83" s="49"/>
      <x:c r="AG83" s="49"/>
      <x:c r="AH83" s="49"/>
      <x:c r="AI83" s="49"/>
      <x:c r="AJ83" s="49"/>
      <x:c r="AK83" s="49"/>
      <x:c r="AL83" s="49"/>
      <x:c r="AM83" s="49"/>
      <x:c r="AN83" s="49"/>
      <x:c r="AO83" s="49"/>
      <x:c r="AP83" s="49"/>
      <x:c r="AQ83" s="49"/>
      <x:c r="AR83" s="49"/>
      <x:c r="AS83" s="49"/>
      <x:c r="AT83" s="49"/>
      <x:c r="AU83" s="49"/>
      <x:c r="AV83" s="49"/>
      <x:c r="AW83" s="49"/>
      <x:c r="AX83" s="49"/>
      <x:c r="AY83" s="49"/>
      <x:c r="AZ83" s="49"/>
    </x:row>
    <x:row r="84">
      <x:c r="A84" s="49" t="str">
        <x:v>2026-07</x:v>
      </x:c>
      <x:c r="B84" s="49" t="str">
        <x:v>M007</x:v>
      </x:c>
      <x:c r="C84" s="49" t="str">
        <x:v>引线框架</x:v>
      </x:c>
      <x:c r="D84" s="49" t="str">
        <x:v>千件</x:v>
      </x:c>
      <x:c r="E84" s="174" t="n">
        <x:v>203</x:v>
      </x:c>
      <x:c r="F84" s="174" t="n">
        <x:v>244</x:v>
      </x:c>
      <x:c r="G84" s="174" t="n">
        <x:v>173</x:v>
      </x:c>
      <x:c r="H84" s="175" t="n">
        <x:f>'01_Assumptions'!$B$8</x:f>
        <x:v>1</x:v>
      </x:c>
      <x:c r="I84" s="175" t="n">
        <x:f>E84*H84</x:f>
        <x:v>203</x:v>
      </x:c>
      <x:c r="J84" s="49"/>
      <x:c r="K84" s="49"/>
      <x:c r="L84" s="49"/>
      <x:c r="M84" s="49"/>
      <x:c r="N84" s="49"/>
      <x:c r="O84" s="49"/>
      <x:c r="P84" s="49"/>
      <x:c r="Q84" s="49"/>
      <x:c r="R84" s="49"/>
      <x:c r="S84" s="49"/>
      <x:c r="T84" s="49"/>
      <x:c r="U84" s="49"/>
      <x:c r="V84" s="49"/>
      <x:c r="W84" s="49"/>
      <x:c r="X84" s="49"/>
      <x:c r="Y84" s="49"/>
      <x:c r="Z84" s="49"/>
      <x:c r="AA84" s="49"/>
      <x:c r="AB84" s="49"/>
      <x:c r="AC84" s="49"/>
      <x:c r="AD84" s="49"/>
      <x:c r="AE84" s="49"/>
      <x:c r="AF84" s="49"/>
      <x:c r="AG84" s="49"/>
      <x:c r="AH84" s="49"/>
      <x:c r="AI84" s="49"/>
      <x:c r="AJ84" s="49"/>
      <x:c r="AK84" s="49"/>
      <x:c r="AL84" s="49"/>
      <x:c r="AM84" s="49"/>
      <x:c r="AN84" s="49"/>
      <x:c r="AO84" s="49"/>
      <x:c r="AP84" s="49"/>
      <x:c r="AQ84" s="49"/>
      <x:c r="AR84" s="49"/>
      <x:c r="AS84" s="49"/>
      <x:c r="AT84" s="49"/>
      <x:c r="AU84" s="49"/>
      <x:c r="AV84" s="49"/>
      <x:c r="AW84" s="49"/>
      <x:c r="AX84" s="49"/>
      <x:c r="AY84" s="49"/>
      <x:c r="AZ84" s="49"/>
    </x:row>
    <x:row r="85">
      <x:c r="A85" s="49" t="str">
        <x:v>2026-08</x:v>
      </x:c>
      <x:c r="B85" s="49" t="str">
        <x:v>M007</x:v>
      </x:c>
      <x:c r="C85" s="49" t="str">
        <x:v>引线框架</x:v>
      </x:c>
      <x:c r="D85" s="49" t="str">
        <x:v>千件</x:v>
      </x:c>
      <x:c r="E85" s="174" t="n">
        <x:v>206</x:v>
      </x:c>
      <x:c r="F85" s="174" t="n">
        <x:v>247</x:v>
      </x:c>
      <x:c r="G85" s="174" t="n">
        <x:v>175</x:v>
      </x:c>
      <x:c r="H85" s="175" t="n">
        <x:f>'01_Assumptions'!$B$8</x:f>
        <x:v>1</x:v>
      </x:c>
      <x:c r="I85" s="175" t="n">
        <x:f>E85*H85</x:f>
        <x:v>206</x:v>
      </x:c>
      <x:c r="J85" s="49"/>
      <x:c r="K85" s="49"/>
      <x:c r="L85" s="49"/>
      <x:c r="M85" s="49"/>
      <x:c r="N85" s="49"/>
      <x:c r="O85" s="49"/>
      <x:c r="P85" s="49"/>
      <x:c r="Q85" s="49"/>
      <x:c r="R85" s="49"/>
      <x:c r="S85" s="49"/>
      <x:c r="T85" s="49"/>
      <x:c r="U85" s="49"/>
      <x:c r="V85" s="49"/>
      <x:c r="W85" s="49"/>
      <x:c r="X85" s="49"/>
      <x:c r="Y85" s="49"/>
      <x:c r="Z85" s="49"/>
      <x:c r="AA85" s="49"/>
      <x:c r="AB85" s="49"/>
      <x:c r="AC85" s="49"/>
      <x:c r="AD85" s="49"/>
      <x:c r="AE85" s="49"/>
      <x:c r="AF85" s="49"/>
      <x:c r="AG85" s="49"/>
      <x:c r="AH85" s="49"/>
      <x:c r="AI85" s="49"/>
      <x:c r="AJ85" s="49"/>
      <x:c r="AK85" s="49"/>
      <x:c r="AL85" s="49"/>
      <x:c r="AM85" s="49"/>
      <x:c r="AN85" s="49"/>
      <x:c r="AO85" s="49"/>
      <x:c r="AP85" s="49"/>
      <x:c r="AQ85" s="49"/>
      <x:c r="AR85" s="49"/>
      <x:c r="AS85" s="49"/>
      <x:c r="AT85" s="49"/>
      <x:c r="AU85" s="49"/>
      <x:c r="AV85" s="49"/>
      <x:c r="AW85" s="49"/>
      <x:c r="AX85" s="49"/>
      <x:c r="AY85" s="49"/>
      <x:c r="AZ85" s="49"/>
    </x:row>
    <x:row r="86">
      <x:c r="A86" s="49" t="str">
        <x:v>2026-09</x:v>
      </x:c>
      <x:c r="B86" s="49" t="str">
        <x:v>M007</x:v>
      </x:c>
      <x:c r="C86" s="49" t="str">
        <x:v>引线框架</x:v>
      </x:c>
      <x:c r="D86" s="49" t="str">
        <x:v>千件</x:v>
      </x:c>
      <x:c r="E86" s="174" t="n">
        <x:v>202</x:v>
      </x:c>
      <x:c r="F86" s="174" t="n">
        <x:v>242</x:v>
      </x:c>
      <x:c r="G86" s="174" t="n">
        <x:v>172</x:v>
      </x:c>
      <x:c r="H86" s="175" t="n">
        <x:f>'01_Assumptions'!$B$8</x:f>
        <x:v>1</x:v>
      </x:c>
      <x:c r="I86" s="175" t="n">
        <x:f>E86*H86</x:f>
        <x:v>202</x:v>
      </x:c>
      <x:c r="J86" s="49"/>
      <x:c r="K86" s="49"/>
      <x:c r="L86" s="49"/>
      <x:c r="M86" s="49"/>
      <x:c r="N86" s="49"/>
      <x:c r="O86" s="49"/>
      <x:c r="P86" s="49"/>
      <x:c r="Q86" s="49"/>
      <x:c r="R86" s="49"/>
      <x:c r="S86" s="49"/>
      <x:c r="T86" s="49"/>
      <x:c r="U86" s="49"/>
      <x:c r="V86" s="49"/>
      <x:c r="W86" s="49"/>
      <x:c r="X86" s="49"/>
      <x:c r="Y86" s="49"/>
      <x:c r="Z86" s="49"/>
      <x:c r="AA86" s="49"/>
      <x:c r="AB86" s="49"/>
      <x:c r="AC86" s="49"/>
      <x:c r="AD86" s="49"/>
      <x:c r="AE86" s="49"/>
      <x:c r="AF86" s="49"/>
      <x:c r="AG86" s="49"/>
      <x:c r="AH86" s="49"/>
      <x:c r="AI86" s="49"/>
      <x:c r="AJ86" s="49"/>
      <x:c r="AK86" s="49"/>
      <x:c r="AL86" s="49"/>
      <x:c r="AM86" s="49"/>
      <x:c r="AN86" s="49"/>
      <x:c r="AO86" s="49"/>
      <x:c r="AP86" s="49"/>
      <x:c r="AQ86" s="49"/>
      <x:c r="AR86" s="49"/>
      <x:c r="AS86" s="49"/>
      <x:c r="AT86" s="49"/>
      <x:c r="AU86" s="49"/>
      <x:c r="AV86" s="49"/>
      <x:c r="AW86" s="49"/>
      <x:c r="AX86" s="49"/>
      <x:c r="AY86" s="49"/>
      <x:c r="AZ86" s="49"/>
    </x:row>
    <x:row r="87">
      <x:c r="A87" s="49" t="str">
        <x:v>2026-10</x:v>
      </x:c>
      <x:c r="B87" s="49" t="str">
        <x:v>M007</x:v>
      </x:c>
      <x:c r="C87" s="49" t="str">
        <x:v>引线框架</x:v>
      </x:c>
      <x:c r="D87" s="49" t="str">
        <x:v>千件</x:v>
      </x:c>
      <x:c r="E87" s="174" t="n">
        <x:v>183</x:v>
      </x:c>
      <x:c r="F87" s="174" t="n">
        <x:v>220</x:v>
      </x:c>
      <x:c r="G87" s="174" t="n">
        <x:v>156</x:v>
      </x:c>
      <x:c r="H87" s="175" t="n">
        <x:f>'01_Assumptions'!$B$8</x:f>
        <x:v>1</x:v>
      </x:c>
      <x:c r="I87" s="175" t="n">
        <x:f>E87*H87</x:f>
        <x:v>183</x:v>
      </x:c>
      <x:c r="J87" s="49"/>
      <x:c r="K87" s="49"/>
      <x:c r="L87" s="49"/>
      <x:c r="M87" s="49"/>
      <x:c r="N87" s="49"/>
      <x:c r="O87" s="49"/>
      <x:c r="P87" s="49"/>
      <x:c r="Q87" s="49"/>
      <x:c r="R87" s="49"/>
      <x:c r="S87" s="49"/>
      <x:c r="T87" s="49"/>
      <x:c r="U87" s="49"/>
      <x:c r="V87" s="49"/>
      <x:c r="W87" s="49"/>
      <x:c r="X87" s="49"/>
      <x:c r="Y87" s="49"/>
      <x:c r="Z87" s="49"/>
      <x:c r="AA87" s="49"/>
      <x:c r="AB87" s="49"/>
      <x:c r="AC87" s="49"/>
      <x:c r="AD87" s="49"/>
      <x:c r="AE87" s="49"/>
      <x:c r="AF87" s="49"/>
      <x:c r="AG87" s="49"/>
      <x:c r="AH87" s="49"/>
      <x:c r="AI87" s="49"/>
      <x:c r="AJ87" s="49"/>
      <x:c r="AK87" s="49"/>
      <x:c r="AL87" s="49"/>
      <x:c r="AM87" s="49"/>
      <x:c r="AN87" s="49"/>
      <x:c r="AO87" s="49"/>
      <x:c r="AP87" s="49"/>
      <x:c r="AQ87" s="49"/>
      <x:c r="AR87" s="49"/>
      <x:c r="AS87" s="49"/>
      <x:c r="AT87" s="49"/>
      <x:c r="AU87" s="49"/>
      <x:c r="AV87" s="49"/>
      <x:c r="AW87" s="49"/>
      <x:c r="AX87" s="49"/>
      <x:c r="AY87" s="49"/>
      <x:c r="AZ87" s="49"/>
    </x:row>
    <x:row r="88">
      <x:c r="A88" s="49" t="str">
        <x:v>2026-11</x:v>
      </x:c>
      <x:c r="B88" s="49" t="str">
        <x:v>M007</x:v>
      </x:c>
      <x:c r="C88" s="49" t="str">
        <x:v>引线框架</x:v>
      </x:c>
      <x:c r="D88" s="49" t="str">
        <x:v>千件</x:v>
      </x:c>
      <x:c r="E88" s="174" t="n">
        <x:v>187</x:v>
      </x:c>
      <x:c r="F88" s="174" t="n">
        <x:v>224</x:v>
      </x:c>
      <x:c r="G88" s="174" t="n">
        <x:v>159</x:v>
      </x:c>
      <x:c r="H88" s="175" t="n">
        <x:f>'01_Assumptions'!$B$8</x:f>
        <x:v>1</x:v>
      </x:c>
      <x:c r="I88" s="175" t="n">
        <x:f>E88*H88</x:f>
        <x:v>187</x:v>
      </x:c>
      <x:c r="J88" s="49"/>
      <x:c r="K88" s="49"/>
      <x:c r="L88" s="49"/>
      <x:c r="M88" s="49"/>
      <x:c r="N88" s="49"/>
      <x:c r="O88" s="49"/>
      <x:c r="P88" s="49"/>
      <x:c r="Q88" s="49"/>
      <x:c r="R88" s="49"/>
      <x:c r="S88" s="49"/>
      <x:c r="T88" s="49"/>
      <x:c r="U88" s="49"/>
      <x:c r="V88" s="49"/>
      <x:c r="W88" s="49"/>
      <x:c r="X88" s="49"/>
      <x:c r="Y88" s="49"/>
      <x:c r="Z88" s="49"/>
      <x:c r="AA88" s="49"/>
      <x:c r="AB88" s="49"/>
      <x:c r="AC88" s="49"/>
      <x:c r="AD88" s="49"/>
      <x:c r="AE88" s="49"/>
      <x:c r="AF88" s="49"/>
      <x:c r="AG88" s="49"/>
      <x:c r="AH88" s="49"/>
      <x:c r="AI88" s="49"/>
      <x:c r="AJ88" s="49"/>
      <x:c r="AK88" s="49"/>
      <x:c r="AL88" s="49"/>
      <x:c r="AM88" s="49"/>
      <x:c r="AN88" s="49"/>
      <x:c r="AO88" s="49"/>
      <x:c r="AP88" s="49"/>
      <x:c r="AQ88" s="49"/>
      <x:c r="AR88" s="49"/>
      <x:c r="AS88" s="49"/>
      <x:c r="AT88" s="49"/>
      <x:c r="AU88" s="49"/>
      <x:c r="AV88" s="49"/>
      <x:c r="AW88" s="49"/>
      <x:c r="AX88" s="49"/>
      <x:c r="AY88" s="49"/>
      <x:c r="AZ88" s="49"/>
    </x:row>
    <x:row r="89">
      <x:c r="A89" s="49" t="str">
        <x:v>2026-12</x:v>
      </x:c>
      <x:c r="B89" s="49" t="str">
        <x:v>M007</x:v>
      </x:c>
      <x:c r="C89" s="49" t="str">
        <x:v>引线框架</x:v>
      </x:c>
      <x:c r="D89" s="49" t="str">
        <x:v>千件</x:v>
      </x:c>
      <x:c r="E89" s="174" t="n">
        <x:v>206</x:v>
      </x:c>
      <x:c r="F89" s="174" t="n">
        <x:v>247</x:v>
      </x:c>
      <x:c r="G89" s="174" t="n">
        <x:v>175</x:v>
      </x:c>
      <x:c r="H89" s="175" t="n">
        <x:f>'01_Assumptions'!$B$8</x:f>
        <x:v>1</x:v>
      </x:c>
      <x:c r="I89" s="175" t="n">
        <x:f>E89*H89</x:f>
        <x:v>206</x:v>
      </x:c>
      <x:c r="J89" s="49"/>
      <x:c r="K89" s="49"/>
      <x:c r="L89" s="49"/>
      <x:c r="M89" s="49"/>
      <x:c r="N89" s="49"/>
      <x:c r="O89" s="49"/>
      <x:c r="P89" s="49"/>
      <x:c r="Q89" s="49"/>
      <x:c r="R89" s="49"/>
      <x:c r="S89" s="49"/>
      <x:c r="T89" s="49"/>
      <x:c r="U89" s="49"/>
      <x:c r="V89" s="49"/>
      <x:c r="W89" s="49"/>
      <x:c r="X89" s="49"/>
      <x:c r="Y89" s="49"/>
      <x:c r="Z89" s="49"/>
      <x:c r="AA89" s="49"/>
      <x:c r="AB89" s="49"/>
      <x:c r="AC89" s="49"/>
      <x:c r="AD89" s="49"/>
      <x:c r="AE89" s="49"/>
      <x:c r="AF89" s="49"/>
      <x:c r="AG89" s="49"/>
      <x:c r="AH89" s="49"/>
      <x:c r="AI89" s="49"/>
      <x:c r="AJ89" s="49"/>
      <x:c r="AK89" s="49"/>
      <x:c r="AL89" s="49"/>
      <x:c r="AM89" s="49"/>
      <x:c r="AN89" s="49"/>
      <x:c r="AO89" s="49"/>
      <x:c r="AP89" s="49"/>
      <x:c r="AQ89" s="49"/>
      <x:c r="AR89" s="49"/>
      <x:c r="AS89" s="49"/>
      <x:c r="AT89" s="49"/>
      <x:c r="AU89" s="49"/>
      <x:c r="AV89" s="49"/>
      <x:c r="AW89" s="49"/>
      <x:c r="AX89" s="49"/>
      <x:c r="AY89" s="49"/>
      <x:c r="AZ89" s="49"/>
    </x:row>
    <x:row r="90">
      <x:c r="A90" s="49" t="str">
        <x:v>2026-01</x:v>
      </x:c>
      <x:c r="B90" s="49" t="str">
        <x:v>M008</x:v>
      </x:c>
      <x:c r="C90" s="49" t="str">
        <x:v>特种化学品</x:v>
      </x:c>
      <x:c r="D90" s="49" t="str">
        <x:v>升</x:v>
      </x:c>
      <x:c r="E90" s="174" t="n">
        <x:v>5286</x:v>
      </x:c>
      <x:c r="F90" s="174" t="n">
        <x:v>6343</x:v>
      </x:c>
      <x:c r="G90" s="174" t="n">
        <x:v>4493</x:v>
      </x:c>
      <x:c r="H90" s="175" t="n">
        <x:f>'01_Assumptions'!$B$8</x:f>
        <x:v>1</x:v>
      </x:c>
      <x:c r="I90" s="175" t="n">
        <x:f>E90*H90</x:f>
        <x:v>5286</x:v>
      </x:c>
      <x:c r="J90" s="49"/>
      <x:c r="K90" s="49"/>
      <x:c r="L90" s="49"/>
      <x:c r="M90" s="49"/>
      <x:c r="N90" s="49"/>
      <x:c r="O90" s="49"/>
      <x:c r="P90" s="49"/>
      <x:c r="Q90" s="49"/>
      <x:c r="R90" s="49"/>
      <x:c r="S90" s="49"/>
      <x:c r="T90" s="49"/>
      <x:c r="U90" s="49"/>
      <x:c r="V90" s="49"/>
      <x:c r="W90" s="49"/>
      <x:c r="X90" s="49"/>
      <x:c r="Y90" s="49"/>
      <x:c r="Z90" s="49"/>
      <x:c r="AA90" s="49"/>
      <x:c r="AB90" s="49"/>
      <x:c r="AC90" s="49"/>
      <x:c r="AD90" s="49"/>
      <x:c r="AE90" s="49"/>
      <x:c r="AF90" s="49"/>
      <x:c r="AG90" s="49"/>
      <x:c r="AH90" s="49"/>
      <x:c r="AI90" s="49"/>
      <x:c r="AJ90" s="49"/>
      <x:c r="AK90" s="49"/>
      <x:c r="AL90" s="49"/>
      <x:c r="AM90" s="49"/>
      <x:c r="AN90" s="49"/>
      <x:c r="AO90" s="49"/>
      <x:c r="AP90" s="49"/>
      <x:c r="AQ90" s="49"/>
      <x:c r="AR90" s="49"/>
      <x:c r="AS90" s="49"/>
      <x:c r="AT90" s="49"/>
      <x:c r="AU90" s="49"/>
      <x:c r="AV90" s="49"/>
      <x:c r="AW90" s="49"/>
      <x:c r="AX90" s="49"/>
      <x:c r="AY90" s="49"/>
      <x:c r="AZ90" s="49"/>
    </x:row>
    <x:row r="91">
      <x:c r="A91" s="49" t="str">
        <x:v>2026-02</x:v>
      </x:c>
      <x:c r="B91" s="49" t="str">
        <x:v>M008</x:v>
      </x:c>
      <x:c r="C91" s="49" t="str">
        <x:v>特种化学品</x:v>
      </x:c>
      <x:c r="D91" s="49" t="str">
        <x:v>升</x:v>
      </x:c>
      <x:c r="E91" s="174" t="n">
        <x:v>5539</x:v>
      </x:c>
      <x:c r="F91" s="174" t="n">
        <x:v>6647</x:v>
      </x:c>
      <x:c r="G91" s="174" t="n">
        <x:v>4708</x:v>
      </x:c>
      <x:c r="H91" s="175" t="n">
        <x:f>'01_Assumptions'!$B$8</x:f>
        <x:v>1</x:v>
      </x:c>
      <x:c r="I91" s="175" t="n">
        <x:f>E91*H91</x:f>
        <x:v>5539</x:v>
      </x:c>
      <x:c r="J91" s="49"/>
      <x:c r="K91" s="49"/>
      <x:c r="L91" s="49"/>
      <x:c r="M91" s="49"/>
      <x:c r="N91" s="49"/>
      <x:c r="O91" s="49"/>
      <x:c r="P91" s="49"/>
      <x:c r="Q91" s="49"/>
      <x:c r="R91" s="49"/>
      <x:c r="S91" s="49"/>
      <x:c r="T91" s="49"/>
      <x:c r="U91" s="49"/>
      <x:c r="V91" s="49"/>
      <x:c r="W91" s="49"/>
      <x:c r="X91" s="49"/>
      <x:c r="Y91" s="49"/>
      <x:c r="Z91" s="49"/>
      <x:c r="AA91" s="49"/>
      <x:c r="AB91" s="49"/>
      <x:c r="AC91" s="49"/>
      <x:c r="AD91" s="49"/>
      <x:c r="AE91" s="49"/>
      <x:c r="AF91" s="49"/>
      <x:c r="AG91" s="49"/>
      <x:c r="AH91" s="49"/>
      <x:c r="AI91" s="49"/>
      <x:c r="AJ91" s="49"/>
      <x:c r="AK91" s="49"/>
      <x:c r="AL91" s="49"/>
      <x:c r="AM91" s="49"/>
      <x:c r="AN91" s="49"/>
      <x:c r="AO91" s="49"/>
      <x:c r="AP91" s="49"/>
      <x:c r="AQ91" s="49"/>
      <x:c r="AR91" s="49"/>
      <x:c r="AS91" s="49"/>
      <x:c r="AT91" s="49"/>
      <x:c r="AU91" s="49"/>
      <x:c r="AV91" s="49"/>
      <x:c r="AW91" s="49"/>
      <x:c r="AX91" s="49"/>
      <x:c r="AY91" s="49"/>
      <x:c r="AZ91" s="49"/>
    </x:row>
    <x:row r="92">
      <x:c r="A92" s="49" t="str">
        <x:v>2026-03</x:v>
      </x:c>
      <x:c r="B92" s="49" t="str">
        <x:v>M008</x:v>
      </x:c>
      <x:c r="C92" s="49" t="str">
        <x:v>特种化学品</x:v>
      </x:c>
      <x:c r="D92" s="49" t="str">
        <x:v>升</x:v>
      </x:c>
      <x:c r="E92" s="174" t="n">
        <x:v>5508</x:v>
      </x:c>
      <x:c r="F92" s="174" t="n">
        <x:v>6610</x:v>
      </x:c>
      <x:c r="G92" s="174" t="n">
        <x:v>4682</x:v>
      </x:c>
      <x:c r="H92" s="175" t="n">
        <x:f>'01_Assumptions'!$B$8</x:f>
        <x:v>1</x:v>
      </x:c>
      <x:c r="I92" s="175" t="n">
        <x:f>E92*H92</x:f>
        <x:v>5508</x:v>
      </x:c>
      <x:c r="J92" s="49"/>
      <x:c r="K92" s="49"/>
      <x:c r="L92" s="49"/>
      <x:c r="M92" s="49"/>
      <x:c r="N92" s="49"/>
      <x:c r="O92" s="49"/>
      <x:c r="P92" s="49"/>
      <x:c r="Q92" s="49"/>
      <x:c r="R92" s="49"/>
      <x:c r="S92" s="49"/>
      <x:c r="T92" s="49"/>
      <x:c r="U92" s="49"/>
      <x:c r="V92" s="49"/>
      <x:c r="W92" s="49"/>
      <x:c r="X92" s="49"/>
      <x:c r="Y92" s="49"/>
      <x:c r="Z92" s="49"/>
      <x:c r="AA92" s="49"/>
      <x:c r="AB92" s="49"/>
      <x:c r="AC92" s="49"/>
      <x:c r="AD92" s="49"/>
      <x:c r="AE92" s="49"/>
      <x:c r="AF92" s="49"/>
      <x:c r="AG92" s="49"/>
      <x:c r="AH92" s="49"/>
      <x:c r="AI92" s="49"/>
      <x:c r="AJ92" s="49"/>
      <x:c r="AK92" s="49"/>
      <x:c r="AL92" s="49"/>
      <x:c r="AM92" s="49"/>
      <x:c r="AN92" s="49"/>
      <x:c r="AO92" s="49"/>
      <x:c r="AP92" s="49"/>
      <x:c r="AQ92" s="49"/>
      <x:c r="AR92" s="49"/>
      <x:c r="AS92" s="49"/>
      <x:c r="AT92" s="49"/>
      <x:c r="AU92" s="49"/>
      <x:c r="AV92" s="49"/>
      <x:c r="AW92" s="49"/>
      <x:c r="AX92" s="49"/>
      <x:c r="AY92" s="49"/>
      <x:c r="AZ92" s="49"/>
    </x:row>
    <x:row r="93">
      <x:c r="A93" s="49" t="str">
        <x:v>2026-04</x:v>
      </x:c>
      <x:c r="B93" s="49" t="str">
        <x:v>M008</x:v>
      </x:c>
      <x:c r="C93" s="49" t="str">
        <x:v>特种化学品</x:v>
      </x:c>
      <x:c r="D93" s="49" t="str">
        <x:v>升</x:v>
      </x:c>
      <x:c r="E93" s="174" t="n">
        <x:v>5796</x:v>
      </x:c>
      <x:c r="F93" s="174" t="n">
        <x:v>6955</x:v>
      </x:c>
      <x:c r="G93" s="174" t="n">
        <x:v>4927</x:v>
      </x:c>
      <x:c r="H93" s="175" t="n">
        <x:f>'01_Assumptions'!$B$8</x:f>
        <x:v>1</x:v>
      </x:c>
      <x:c r="I93" s="175" t="n">
        <x:f>E93*H93</x:f>
        <x:v>5796</x:v>
      </x:c>
      <x:c r="J93" s="49"/>
      <x:c r="K93" s="49"/>
      <x:c r="L93" s="49"/>
      <x:c r="M93" s="49"/>
      <x:c r="N93" s="49"/>
      <x:c r="O93" s="49"/>
      <x:c r="P93" s="49"/>
      <x:c r="Q93" s="49"/>
      <x:c r="R93" s="49"/>
      <x:c r="S93" s="49"/>
      <x:c r="T93" s="49"/>
      <x:c r="U93" s="49"/>
      <x:c r="V93" s="49"/>
      <x:c r="W93" s="49"/>
      <x:c r="X93" s="49"/>
      <x:c r="Y93" s="49"/>
      <x:c r="Z93" s="49"/>
      <x:c r="AA93" s="49"/>
      <x:c r="AB93" s="49"/>
      <x:c r="AC93" s="49"/>
      <x:c r="AD93" s="49"/>
      <x:c r="AE93" s="49"/>
      <x:c r="AF93" s="49"/>
      <x:c r="AG93" s="49"/>
      <x:c r="AH93" s="49"/>
      <x:c r="AI93" s="49"/>
      <x:c r="AJ93" s="49"/>
      <x:c r="AK93" s="49"/>
      <x:c r="AL93" s="49"/>
      <x:c r="AM93" s="49"/>
      <x:c r="AN93" s="49"/>
      <x:c r="AO93" s="49"/>
      <x:c r="AP93" s="49"/>
      <x:c r="AQ93" s="49"/>
      <x:c r="AR93" s="49"/>
      <x:c r="AS93" s="49"/>
      <x:c r="AT93" s="49"/>
      <x:c r="AU93" s="49"/>
      <x:c r="AV93" s="49"/>
      <x:c r="AW93" s="49"/>
      <x:c r="AX93" s="49"/>
      <x:c r="AY93" s="49"/>
      <x:c r="AZ93" s="49"/>
    </x:row>
    <x:row r="94">
      <x:c r="A94" s="49" t="str">
        <x:v>2026-05</x:v>
      </x:c>
      <x:c r="B94" s="49" t="str">
        <x:v>M008</x:v>
      </x:c>
      <x:c r="C94" s="49" t="str">
        <x:v>特种化学品</x:v>
      </x:c>
      <x:c r="D94" s="49" t="str">
        <x:v>升</x:v>
      </x:c>
      <x:c r="E94" s="174" t="n">
        <x:v>5454</x:v>
      </x:c>
      <x:c r="F94" s="174" t="n">
        <x:v>6545</x:v>
      </x:c>
      <x:c r="G94" s="174" t="n">
        <x:v>4636</x:v>
      </x:c>
      <x:c r="H94" s="175" t="n">
        <x:f>'01_Assumptions'!$B$8</x:f>
        <x:v>1</x:v>
      </x:c>
      <x:c r="I94" s="175" t="n">
        <x:f>E94*H94</x:f>
        <x:v>5454</x:v>
      </x:c>
      <x:c r="J94" s="49"/>
      <x:c r="K94" s="49"/>
      <x:c r="L94" s="49"/>
      <x:c r="M94" s="49"/>
      <x:c r="N94" s="49"/>
      <x:c r="O94" s="49"/>
      <x:c r="P94" s="49"/>
      <x:c r="Q94" s="49"/>
      <x:c r="R94" s="49"/>
      <x:c r="S94" s="49"/>
      <x:c r="T94" s="49"/>
      <x:c r="U94" s="49"/>
      <x:c r="V94" s="49"/>
      <x:c r="W94" s="49"/>
      <x:c r="X94" s="49"/>
      <x:c r="Y94" s="49"/>
      <x:c r="Z94" s="49"/>
      <x:c r="AA94" s="49"/>
      <x:c r="AB94" s="49"/>
      <x:c r="AC94" s="49"/>
      <x:c r="AD94" s="49"/>
      <x:c r="AE94" s="49"/>
      <x:c r="AF94" s="49"/>
      <x:c r="AG94" s="49"/>
      <x:c r="AH94" s="49"/>
      <x:c r="AI94" s="49"/>
      <x:c r="AJ94" s="49"/>
      <x:c r="AK94" s="49"/>
      <x:c r="AL94" s="49"/>
      <x:c r="AM94" s="49"/>
      <x:c r="AN94" s="49"/>
      <x:c r="AO94" s="49"/>
      <x:c r="AP94" s="49"/>
      <x:c r="AQ94" s="49"/>
      <x:c r="AR94" s="49"/>
      <x:c r="AS94" s="49"/>
      <x:c r="AT94" s="49"/>
      <x:c r="AU94" s="49"/>
      <x:c r="AV94" s="49"/>
      <x:c r="AW94" s="49"/>
      <x:c r="AX94" s="49"/>
      <x:c r="AY94" s="49"/>
      <x:c r="AZ94" s="49"/>
    </x:row>
    <x:row r="95">
      <x:c r="A95" s="49" t="str">
        <x:v>2026-06</x:v>
      </x:c>
      <x:c r="B95" s="49" t="str">
        <x:v>M008</x:v>
      </x:c>
      <x:c r="C95" s="49" t="str">
        <x:v>特种化学品</x:v>
      </x:c>
      <x:c r="D95" s="49" t="str">
        <x:v>升</x:v>
      </x:c>
      <x:c r="E95" s="174" t="n">
        <x:v>5583</x:v>
      </x:c>
      <x:c r="F95" s="174" t="n">
        <x:v>6700</x:v>
      </x:c>
      <x:c r="G95" s="174" t="n">
        <x:v>4746</x:v>
      </x:c>
      <x:c r="H95" s="175" t="n">
        <x:f>'01_Assumptions'!$B$8</x:f>
        <x:v>1</x:v>
      </x:c>
      <x:c r="I95" s="175" t="n">
        <x:f>E95*H95</x:f>
        <x:v>5583</x:v>
      </x:c>
      <x:c r="J95" s="49"/>
      <x:c r="K95" s="49"/>
      <x:c r="L95" s="49"/>
      <x:c r="M95" s="49"/>
      <x:c r="N95" s="49"/>
      <x:c r="O95" s="49"/>
      <x:c r="P95" s="49"/>
      <x:c r="Q95" s="49"/>
      <x:c r="R95" s="49"/>
      <x:c r="S95" s="49"/>
      <x:c r="T95" s="49"/>
      <x:c r="U95" s="49"/>
      <x:c r="V95" s="49"/>
      <x:c r="W95" s="49"/>
      <x:c r="X95" s="49"/>
      <x:c r="Y95" s="49"/>
      <x:c r="Z95" s="49"/>
      <x:c r="AA95" s="49"/>
      <x:c r="AB95" s="49"/>
      <x:c r="AC95" s="49"/>
      <x:c r="AD95" s="49"/>
      <x:c r="AE95" s="49"/>
      <x:c r="AF95" s="49"/>
      <x:c r="AG95" s="49"/>
      <x:c r="AH95" s="49"/>
      <x:c r="AI95" s="49"/>
      <x:c r="AJ95" s="49"/>
      <x:c r="AK95" s="49"/>
      <x:c r="AL95" s="49"/>
      <x:c r="AM95" s="49"/>
      <x:c r="AN95" s="49"/>
      <x:c r="AO95" s="49"/>
      <x:c r="AP95" s="49"/>
      <x:c r="AQ95" s="49"/>
      <x:c r="AR95" s="49"/>
      <x:c r="AS95" s="49"/>
      <x:c r="AT95" s="49"/>
      <x:c r="AU95" s="49"/>
      <x:c r="AV95" s="49"/>
      <x:c r="AW95" s="49"/>
      <x:c r="AX95" s="49"/>
      <x:c r="AY95" s="49"/>
      <x:c r="AZ95" s="49"/>
    </x:row>
    <x:row r="96">
      <x:c r="A96" s="49" t="str">
        <x:v>2026-07</x:v>
      </x:c>
      <x:c r="B96" s="49" t="str">
        <x:v>M008</x:v>
      </x:c>
      <x:c r="C96" s="49" t="str">
        <x:v>特种化学品</x:v>
      </x:c>
      <x:c r="D96" s="49" t="str">
        <x:v>升</x:v>
      </x:c>
      <x:c r="E96" s="174" t="n">
        <x:v>5356</x:v>
      </x:c>
      <x:c r="F96" s="174" t="n">
        <x:v>6427</x:v>
      </x:c>
      <x:c r="G96" s="174" t="n">
        <x:v>4553</x:v>
      </x:c>
      <x:c r="H96" s="175" t="n">
        <x:f>'01_Assumptions'!$B$8</x:f>
        <x:v>1</x:v>
      </x:c>
      <x:c r="I96" s="175" t="n">
        <x:f>E96*H96</x:f>
        <x:v>5356</x:v>
      </x:c>
      <x:c r="J96" s="49"/>
      <x:c r="K96" s="49"/>
      <x:c r="L96" s="49"/>
      <x:c r="M96" s="49"/>
      <x:c r="N96" s="49"/>
      <x:c r="O96" s="49"/>
      <x:c r="P96" s="49"/>
      <x:c r="Q96" s="49"/>
      <x:c r="R96" s="49"/>
      <x:c r="S96" s="49"/>
      <x:c r="T96" s="49"/>
      <x:c r="U96" s="49"/>
      <x:c r="V96" s="49"/>
      <x:c r="W96" s="49"/>
      <x:c r="X96" s="49"/>
      <x:c r="Y96" s="49"/>
      <x:c r="Z96" s="49"/>
      <x:c r="AA96" s="49"/>
      <x:c r="AB96" s="49"/>
      <x:c r="AC96" s="49"/>
      <x:c r="AD96" s="49"/>
      <x:c r="AE96" s="49"/>
      <x:c r="AF96" s="49"/>
      <x:c r="AG96" s="49"/>
      <x:c r="AH96" s="49"/>
      <x:c r="AI96" s="49"/>
      <x:c r="AJ96" s="49"/>
      <x:c r="AK96" s="49"/>
      <x:c r="AL96" s="49"/>
      <x:c r="AM96" s="49"/>
      <x:c r="AN96" s="49"/>
      <x:c r="AO96" s="49"/>
      <x:c r="AP96" s="49"/>
      <x:c r="AQ96" s="49"/>
      <x:c r="AR96" s="49"/>
      <x:c r="AS96" s="49"/>
      <x:c r="AT96" s="49"/>
      <x:c r="AU96" s="49"/>
      <x:c r="AV96" s="49"/>
      <x:c r="AW96" s="49"/>
      <x:c r="AX96" s="49"/>
      <x:c r="AY96" s="49"/>
      <x:c r="AZ96" s="49"/>
    </x:row>
    <x:row r="97">
      <x:c r="A97" s="49" t="str">
        <x:v>2026-08</x:v>
      </x:c>
      <x:c r="B97" s="49" t="str">
        <x:v>M008</x:v>
      </x:c>
      <x:c r="C97" s="49" t="str">
        <x:v>特种化学品</x:v>
      </x:c>
      <x:c r="D97" s="49" t="str">
        <x:v>升</x:v>
      </x:c>
      <x:c r="E97" s="174" t="n">
        <x:v>5476</x:v>
      </x:c>
      <x:c r="F97" s="174" t="n">
        <x:v>6571</x:v>
      </x:c>
      <x:c r="G97" s="174" t="n">
        <x:v>4655</x:v>
      </x:c>
      <x:c r="H97" s="175" t="n">
        <x:f>'01_Assumptions'!$B$8</x:f>
        <x:v>1</x:v>
      </x:c>
      <x:c r="I97" s="175" t="n">
        <x:f>E97*H97</x:f>
        <x:v>5476</x:v>
      </x:c>
      <x:c r="J97" s="49"/>
      <x:c r="K97" s="49"/>
      <x:c r="L97" s="49"/>
      <x:c r="M97" s="49"/>
      <x:c r="N97" s="49"/>
      <x:c r="O97" s="49"/>
      <x:c r="P97" s="49"/>
      <x:c r="Q97" s="49"/>
      <x:c r="R97" s="49"/>
      <x:c r="S97" s="49"/>
      <x:c r="T97" s="49"/>
      <x:c r="U97" s="49"/>
      <x:c r="V97" s="49"/>
      <x:c r="W97" s="49"/>
      <x:c r="X97" s="49"/>
      <x:c r="Y97" s="49"/>
      <x:c r="Z97" s="49"/>
      <x:c r="AA97" s="49"/>
      <x:c r="AB97" s="49"/>
      <x:c r="AC97" s="49"/>
      <x:c r="AD97" s="49"/>
      <x:c r="AE97" s="49"/>
      <x:c r="AF97" s="49"/>
      <x:c r="AG97" s="49"/>
      <x:c r="AH97" s="49"/>
      <x:c r="AI97" s="49"/>
      <x:c r="AJ97" s="49"/>
      <x:c r="AK97" s="49"/>
      <x:c r="AL97" s="49"/>
      <x:c r="AM97" s="49"/>
      <x:c r="AN97" s="49"/>
      <x:c r="AO97" s="49"/>
      <x:c r="AP97" s="49"/>
      <x:c r="AQ97" s="49"/>
      <x:c r="AR97" s="49"/>
      <x:c r="AS97" s="49"/>
      <x:c r="AT97" s="49"/>
      <x:c r="AU97" s="49"/>
      <x:c r="AV97" s="49"/>
      <x:c r="AW97" s="49"/>
      <x:c r="AX97" s="49"/>
      <x:c r="AY97" s="49"/>
      <x:c r="AZ97" s="49"/>
    </x:row>
    <x:row r="98">
      <x:c r="A98" s="49" t="str">
        <x:v>2026-09</x:v>
      </x:c>
      <x:c r="B98" s="49" t="str">
        <x:v>M008</x:v>
      </x:c>
      <x:c r="C98" s="49" t="str">
        <x:v>特种化学品</x:v>
      </x:c>
      <x:c r="D98" s="49" t="str">
        <x:v>升</x:v>
      </x:c>
      <x:c r="E98" s="174" t="n">
        <x:v>5096</x:v>
      </x:c>
      <x:c r="F98" s="174" t="n">
        <x:v>6115</x:v>
      </x:c>
      <x:c r="G98" s="174" t="n">
        <x:v>4332</x:v>
      </x:c>
      <x:c r="H98" s="175" t="n">
        <x:f>'01_Assumptions'!$B$8</x:f>
        <x:v>1</x:v>
      </x:c>
      <x:c r="I98" s="175" t="n">
        <x:f>E98*H98</x:f>
        <x:v>5096</x:v>
      </x:c>
      <x:c r="J98" s="49"/>
      <x:c r="K98" s="49"/>
      <x:c r="L98" s="49"/>
      <x:c r="M98" s="49"/>
      <x:c r="N98" s="49"/>
      <x:c r="O98" s="49"/>
      <x:c r="P98" s="49"/>
      <x:c r="Q98" s="49"/>
      <x:c r="R98" s="49"/>
      <x:c r="S98" s="49"/>
      <x:c r="T98" s="49"/>
      <x:c r="U98" s="49"/>
      <x:c r="V98" s="49"/>
      <x:c r="W98" s="49"/>
      <x:c r="X98" s="49"/>
      <x:c r="Y98" s="49"/>
      <x:c r="Z98" s="49"/>
      <x:c r="AA98" s="49"/>
      <x:c r="AB98" s="49"/>
      <x:c r="AC98" s="49"/>
      <x:c r="AD98" s="49"/>
      <x:c r="AE98" s="49"/>
      <x:c r="AF98" s="49"/>
      <x:c r="AG98" s="49"/>
      <x:c r="AH98" s="49"/>
      <x:c r="AI98" s="49"/>
      <x:c r="AJ98" s="49"/>
      <x:c r="AK98" s="49"/>
      <x:c r="AL98" s="49"/>
      <x:c r="AM98" s="49"/>
      <x:c r="AN98" s="49"/>
      <x:c r="AO98" s="49"/>
      <x:c r="AP98" s="49"/>
      <x:c r="AQ98" s="49"/>
      <x:c r="AR98" s="49"/>
      <x:c r="AS98" s="49"/>
      <x:c r="AT98" s="49"/>
      <x:c r="AU98" s="49"/>
      <x:c r="AV98" s="49"/>
      <x:c r="AW98" s="49"/>
      <x:c r="AX98" s="49"/>
      <x:c r="AY98" s="49"/>
      <x:c r="AZ98" s="49"/>
    </x:row>
    <x:row r="99">
      <x:c r="A99" s="49" t="str">
        <x:v>2026-10</x:v>
      </x:c>
      <x:c r="B99" s="49" t="str">
        <x:v>M008</x:v>
      </x:c>
      <x:c r="C99" s="49" t="str">
        <x:v>特种化学品</x:v>
      </x:c>
      <x:c r="D99" s="49" t="str">
        <x:v>升</x:v>
      </x:c>
      <x:c r="E99" s="174" t="n">
        <x:v>5091</x:v>
      </x:c>
      <x:c r="F99" s="174" t="n">
        <x:v>6109</x:v>
      </x:c>
      <x:c r="G99" s="174" t="n">
        <x:v>4327</x:v>
      </x:c>
      <x:c r="H99" s="175" t="n">
        <x:f>'01_Assumptions'!$B$8</x:f>
        <x:v>1</x:v>
      </x:c>
      <x:c r="I99" s="175" t="n">
        <x:f>E99*H99</x:f>
        <x:v>5091</x:v>
      </x:c>
      <x:c r="J99" s="49"/>
      <x:c r="K99" s="49"/>
      <x:c r="L99" s="49"/>
      <x:c r="M99" s="49"/>
      <x:c r="N99" s="49"/>
      <x:c r="O99" s="49"/>
      <x:c r="P99" s="49"/>
      <x:c r="Q99" s="49"/>
      <x:c r="R99" s="49"/>
      <x:c r="S99" s="49"/>
      <x:c r="T99" s="49"/>
      <x:c r="U99" s="49"/>
      <x:c r="V99" s="49"/>
      <x:c r="W99" s="49"/>
      <x:c r="X99" s="49"/>
      <x:c r="Y99" s="49"/>
      <x:c r="Z99" s="49"/>
      <x:c r="AA99" s="49"/>
      <x:c r="AB99" s="49"/>
      <x:c r="AC99" s="49"/>
      <x:c r="AD99" s="49"/>
      <x:c r="AE99" s="49"/>
      <x:c r="AF99" s="49"/>
      <x:c r="AG99" s="49"/>
      <x:c r="AH99" s="49"/>
      <x:c r="AI99" s="49"/>
      <x:c r="AJ99" s="49"/>
      <x:c r="AK99" s="49"/>
      <x:c r="AL99" s="49"/>
      <x:c r="AM99" s="49"/>
      <x:c r="AN99" s="49"/>
      <x:c r="AO99" s="49"/>
      <x:c r="AP99" s="49"/>
      <x:c r="AQ99" s="49"/>
      <x:c r="AR99" s="49"/>
      <x:c r="AS99" s="49"/>
      <x:c r="AT99" s="49"/>
      <x:c r="AU99" s="49"/>
      <x:c r="AV99" s="49"/>
      <x:c r="AW99" s="49"/>
      <x:c r="AX99" s="49"/>
      <x:c r="AY99" s="49"/>
      <x:c r="AZ99" s="49"/>
    </x:row>
    <x:row r="100">
      <x:c r="A100" s="49" t="str">
        <x:v>2026-11</x:v>
      </x:c>
      <x:c r="B100" s="49" t="str">
        <x:v>M008</x:v>
      </x:c>
      <x:c r="C100" s="49" t="str">
        <x:v>特种化学品</x:v>
      </x:c>
      <x:c r="D100" s="49" t="str">
        <x:v>升</x:v>
      </x:c>
      <x:c r="E100" s="174" t="n">
        <x:v>5340</x:v>
      </x:c>
      <x:c r="F100" s="174" t="n">
        <x:v>6408</x:v>
      </x:c>
      <x:c r="G100" s="174" t="n">
        <x:v>4539</x:v>
      </x:c>
      <x:c r="H100" s="175" t="n">
        <x:f>'01_Assumptions'!$B$8</x:f>
        <x:v>1</x:v>
      </x:c>
      <x:c r="I100" s="175" t="n">
        <x:f>E100*H100</x:f>
        <x:v>5340</x:v>
      </x:c>
      <x:c r="J100" s="49"/>
      <x:c r="K100" s="49"/>
      <x:c r="L100" s="49"/>
      <x:c r="M100" s="49"/>
      <x:c r="N100" s="49"/>
      <x:c r="O100" s="49"/>
      <x:c r="P100" s="49"/>
      <x:c r="Q100" s="49"/>
      <x:c r="R100" s="49"/>
      <x:c r="S100" s="49"/>
      <x:c r="T100" s="49"/>
      <x:c r="U100" s="49"/>
      <x:c r="V100" s="49"/>
      <x:c r="W100" s="49"/>
      <x:c r="X100" s="49"/>
      <x:c r="Y100" s="49"/>
      <x:c r="Z100" s="49"/>
      <x:c r="AA100" s="49"/>
      <x:c r="AB100" s="49"/>
      <x:c r="AC100" s="49"/>
      <x:c r="AD100" s="49"/>
      <x:c r="AE100" s="49"/>
      <x:c r="AF100" s="49"/>
      <x:c r="AG100" s="49"/>
      <x:c r="AH100" s="49"/>
      <x:c r="AI100" s="49"/>
      <x:c r="AJ100" s="49"/>
      <x:c r="AK100" s="49"/>
      <x:c r="AL100" s="49"/>
      <x:c r="AM100" s="49"/>
      <x:c r="AN100" s="49"/>
      <x:c r="AO100" s="49"/>
      <x:c r="AP100" s="49"/>
      <x:c r="AQ100" s="49"/>
      <x:c r="AR100" s="49"/>
      <x:c r="AS100" s="49"/>
      <x:c r="AT100" s="49"/>
      <x:c r="AU100" s="49"/>
      <x:c r="AV100" s="49"/>
      <x:c r="AW100" s="49"/>
      <x:c r="AX100" s="49"/>
      <x:c r="AY100" s="49"/>
      <x:c r="AZ100" s="49"/>
    </x:row>
    <x:row r="101">
      <x:c r="A101" s="49" t="str">
        <x:v>2026-12</x:v>
      </x:c>
      <x:c r="B101" s="49" t="str">
        <x:v>M008</x:v>
      </x:c>
      <x:c r="C101" s="49" t="str">
        <x:v>特种化学品</x:v>
      </x:c>
      <x:c r="D101" s="49" t="str">
        <x:v>升</x:v>
      </x:c>
      <x:c r="E101" s="174" t="n">
        <x:v>5272</x:v>
      </x:c>
      <x:c r="F101" s="174" t="n">
        <x:v>6326</x:v>
      </x:c>
      <x:c r="G101" s="174" t="n">
        <x:v>4481</x:v>
      </x:c>
      <x:c r="H101" s="175" t="n">
        <x:f>'01_Assumptions'!$B$8</x:f>
        <x:v>1</x:v>
      </x:c>
      <x:c r="I101" s="175" t="n">
        <x:f>E101*H101</x:f>
        <x:v>5272</x:v>
      </x:c>
      <x:c r="J101" s="49"/>
      <x:c r="K101" s="49"/>
      <x:c r="L101" s="49"/>
      <x:c r="M101" s="49"/>
      <x:c r="N101" s="49"/>
      <x:c r="O101" s="49"/>
      <x:c r="P101" s="49"/>
      <x:c r="Q101" s="49"/>
      <x:c r="R101" s="49"/>
      <x:c r="S101" s="49"/>
      <x:c r="T101" s="49"/>
      <x:c r="U101" s="49"/>
      <x:c r="V101" s="49"/>
      <x:c r="W101" s="49"/>
      <x:c r="X101" s="49"/>
      <x:c r="Y101" s="49"/>
      <x:c r="Z101" s="49"/>
      <x:c r="AA101" s="49"/>
      <x:c r="AB101" s="49"/>
      <x:c r="AC101" s="49"/>
      <x:c r="AD101" s="49"/>
      <x:c r="AE101" s="49"/>
      <x:c r="AF101" s="49"/>
      <x:c r="AG101" s="49"/>
      <x:c r="AH101" s="49"/>
      <x:c r="AI101" s="49"/>
      <x:c r="AJ101" s="49"/>
      <x:c r="AK101" s="49"/>
      <x:c r="AL101" s="49"/>
      <x:c r="AM101" s="49"/>
      <x:c r="AN101" s="49"/>
      <x:c r="AO101" s="49"/>
      <x:c r="AP101" s="49"/>
      <x:c r="AQ101" s="49"/>
      <x:c r="AR101" s="49"/>
      <x:c r="AS101" s="49"/>
      <x:c r="AT101" s="49"/>
      <x:c r="AU101" s="49"/>
      <x:c r="AV101" s="49"/>
      <x:c r="AW101" s="49"/>
      <x:c r="AX101" s="49"/>
      <x:c r="AY101" s="49"/>
      <x:c r="AZ101" s="49"/>
    </x:row>
    <x:row r="102">
      <x:c r="A102" s="49"/>
      <x:c r="B102" s="49"/>
      <x:c r="C102" s="49"/>
      <x:c r="D102" s="49"/>
      <x:c r="E102" s="49"/>
      <x:c r="F102" s="49"/>
      <x:c r="G102" s="49"/>
      <x:c r="H102" s="49"/>
      <x:c r="I102" s="49"/>
      <x:c r="J102" s="49"/>
      <x:c r="K102" s="49"/>
      <x:c r="L102" s="49"/>
      <x:c r="M102" s="49"/>
      <x:c r="N102" s="49"/>
      <x:c r="O102" s="49"/>
      <x:c r="P102" s="49"/>
      <x:c r="Q102" s="49"/>
      <x:c r="R102" s="49"/>
      <x:c r="S102" s="49"/>
      <x:c r="T102" s="49"/>
      <x:c r="U102" s="49"/>
      <x:c r="V102" s="49"/>
      <x:c r="W102" s="49"/>
      <x:c r="X102" s="49"/>
      <x:c r="Y102" s="49"/>
      <x:c r="Z102" s="49"/>
      <x:c r="AA102" s="49"/>
      <x:c r="AB102" s="49"/>
      <x:c r="AC102" s="49"/>
      <x:c r="AD102" s="49"/>
      <x:c r="AE102" s="49"/>
      <x:c r="AF102" s="49"/>
      <x:c r="AG102" s="49"/>
      <x:c r="AH102" s="49"/>
      <x:c r="AI102" s="49"/>
      <x:c r="AJ102" s="49"/>
      <x:c r="AK102" s="49"/>
      <x:c r="AL102" s="49"/>
      <x:c r="AM102" s="49"/>
      <x:c r="AN102" s="49"/>
      <x:c r="AO102" s="49"/>
      <x:c r="AP102" s="49"/>
      <x:c r="AQ102" s="49"/>
      <x:c r="AR102" s="49"/>
      <x:c r="AS102" s="49"/>
      <x:c r="AT102" s="49"/>
      <x:c r="AU102" s="49"/>
      <x:c r="AV102" s="49"/>
      <x:c r="AW102" s="49"/>
      <x:c r="AX102" s="49"/>
      <x:c r="AY102" s="49"/>
      <x:c r="AZ102" s="49"/>
    </x:row>
    <x:row r="103">
      <x:c r="A103" s="49"/>
      <x:c r="B103" s="49"/>
      <x:c r="C103" s="49"/>
      <x:c r="D103" s="49"/>
      <x:c r="E103" s="49"/>
      <x:c r="F103" s="49"/>
      <x:c r="G103" s="49"/>
      <x:c r="H103" s="49"/>
      <x:c r="I103" s="49"/>
      <x:c r="J103" s="49"/>
      <x:c r="K103" s="49"/>
      <x:c r="L103" s="49"/>
      <x:c r="M103" s="49"/>
      <x:c r="N103" s="49"/>
      <x:c r="O103" s="49"/>
      <x:c r="P103" s="49"/>
      <x:c r="Q103" s="49"/>
      <x:c r="R103" s="49"/>
      <x:c r="S103" s="49"/>
      <x:c r="T103" s="49"/>
      <x:c r="U103" s="49"/>
      <x:c r="V103" s="49"/>
      <x:c r="W103" s="49"/>
      <x:c r="X103" s="49"/>
      <x:c r="Y103" s="49"/>
      <x:c r="Z103" s="49"/>
      <x:c r="AA103" s="49"/>
      <x:c r="AB103" s="49"/>
      <x:c r="AC103" s="49"/>
      <x:c r="AD103" s="49"/>
      <x:c r="AE103" s="49"/>
      <x:c r="AF103" s="49"/>
      <x:c r="AG103" s="49"/>
      <x:c r="AH103" s="49"/>
      <x:c r="AI103" s="49"/>
      <x:c r="AJ103" s="49"/>
      <x:c r="AK103" s="49"/>
      <x:c r="AL103" s="49"/>
      <x:c r="AM103" s="49"/>
      <x:c r="AN103" s="49"/>
      <x:c r="AO103" s="49"/>
      <x:c r="AP103" s="49"/>
      <x:c r="AQ103" s="49"/>
      <x:c r="AR103" s="49"/>
      <x:c r="AS103" s="49"/>
      <x:c r="AT103" s="49"/>
      <x:c r="AU103" s="49"/>
      <x:c r="AV103" s="49"/>
      <x:c r="AW103" s="49"/>
      <x:c r="AX103" s="49"/>
      <x:c r="AY103" s="49"/>
      <x:c r="AZ103" s="49"/>
    </x:row>
    <x:row r="104">
      <x:c r="A104" s="49"/>
      <x:c r="B104" s="49"/>
      <x:c r="C104" s="49"/>
      <x:c r="D104" s="49"/>
      <x:c r="E104" s="49"/>
      <x:c r="F104" s="49"/>
      <x:c r="G104" s="49"/>
      <x:c r="H104" s="49"/>
      <x:c r="I104" s="49"/>
      <x:c r="J104" s="49"/>
      <x:c r="K104" s="49"/>
      <x:c r="L104" s="49"/>
      <x:c r="M104" s="49"/>
      <x:c r="N104" s="49"/>
      <x:c r="O104" s="49"/>
      <x:c r="P104" s="49"/>
      <x:c r="Q104" s="49"/>
      <x:c r="R104" s="49"/>
      <x:c r="S104" s="49"/>
      <x:c r="T104" s="49"/>
      <x:c r="U104" s="49"/>
      <x:c r="V104" s="49"/>
      <x:c r="W104" s="49"/>
      <x:c r="X104" s="49"/>
      <x:c r="Y104" s="49"/>
      <x:c r="Z104" s="49"/>
      <x:c r="AA104" s="49"/>
      <x:c r="AB104" s="49"/>
      <x:c r="AC104" s="49"/>
      <x:c r="AD104" s="49"/>
      <x:c r="AE104" s="49"/>
      <x:c r="AF104" s="49"/>
      <x:c r="AG104" s="49"/>
      <x:c r="AH104" s="49"/>
      <x:c r="AI104" s="49"/>
      <x:c r="AJ104" s="49"/>
      <x:c r="AK104" s="49"/>
      <x:c r="AL104" s="49"/>
      <x:c r="AM104" s="49"/>
      <x:c r="AN104" s="49"/>
      <x:c r="AO104" s="49"/>
      <x:c r="AP104" s="49"/>
      <x:c r="AQ104" s="49"/>
      <x:c r="AR104" s="49"/>
      <x:c r="AS104" s="49"/>
      <x:c r="AT104" s="49"/>
      <x:c r="AU104" s="49"/>
      <x:c r="AV104" s="49"/>
      <x:c r="AW104" s="49"/>
      <x:c r="AX104" s="49"/>
      <x:c r="AY104" s="49"/>
      <x:c r="AZ104" s="49"/>
    </x:row>
    <x:row r="105">
      <x:c r="A105" s="49"/>
      <x:c r="B105" s="49"/>
      <x:c r="C105" s="49"/>
      <x:c r="D105" s="49"/>
      <x:c r="E105" s="49"/>
      <x:c r="F105" s="49"/>
      <x:c r="G105" s="49"/>
      <x:c r="H105" s="49"/>
      <x:c r="I105" s="49"/>
      <x:c r="J105" s="49"/>
      <x:c r="K105" s="49"/>
      <x:c r="L105" s="49"/>
      <x:c r="M105" s="49"/>
      <x:c r="N105" s="49"/>
      <x:c r="O105" s="49"/>
      <x:c r="P105" s="49"/>
      <x:c r="Q105" s="49"/>
      <x:c r="R105" s="49"/>
      <x:c r="S105" s="49"/>
      <x:c r="T105" s="49"/>
      <x:c r="U105" s="49"/>
      <x:c r="V105" s="49"/>
      <x:c r="W105" s="49"/>
      <x:c r="X105" s="49"/>
      <x:c r="Y105" s="49"/>
      <x:c r="Z105" s="49"/>
      <x:c r="AA105" s="49"/>
      <x:c r="AB105" s="49"/>
      <x:c r="AC105" s="49"/>
      <x:c r="AD105" s="49"/>
      <x:c r="AE105" s="49"/>
      <x:c r="AF105" s="49"/>
      <x:c r="AG105" s="49"/>
      <x:c r="AH105" s="49"/>
      <x:c r="AI105" s="49"/>
      <x:c r="AJ105" s="49"/>
      <x:c r="AK105" s="49"/>
      <x:c r="AL105" s="49"/>
      <x:c r="AM105" s="49"/>
      <x:c r="AN105" s="49"/>
      <x:c r="AO105" s="49"/>
      <x:c r="AP105" s="49"/>
      <x:c r="AQ105" s="49"/>
      <x:c r="AR105" s="49"/>
      <x:c r="AS105" s="49"/>
      <x:c r="AT105" s="49"/>
      <x:c r="AU105" s="49"/>
      <x:c r="AV105" s="49"/>
      <x:c r="AW105" s="49"/>
      <x:c r="AX105" s="49"/>
      <x:c r="AY105" s="49"/>
      <x:c r="AZ105" s="49"/>
    </x:row>
    <x:row r="106">
      <x:c r="A106" s="49"/>
      <x:c r="B106" s="49"/>
      <x:c r="C106" s="49"/>
      <x:c r="D106" s="49"/>
      <x:c r="E106" s="49"/>
      <x:c r="F106" s="49"/>
      <x:c r="G106" s="49"/>
      <x:c r="H106" s="49"/>
      <x:c r="I106" s="49"/>
      <x:c r="J106" s="49"/>
      <x:c r="K106" s="49"/>
      <x:c r="L106" s="49"/>
      <x:c r="M106" s="49"/>
      <x:c r="N106" s="49"/>
      <x:c r="O106" s="49"/>
      <x:c r="P106" s="49"/>
      <x:c r="Q106" s="49"/>
      <x:c r="R106" s="49"/>
      <x:c r="S106" s="49"/>
      <x:c r="T106" s="49"/>
      <x:c r="U106" s="49"/>
      <x:c r="V106" s="49"/>
      <x:c r="W106" s="49"/>
      <x:c r="X106" s="49"/>
      <x:c r="Y106" s="49"/>
      <x:c r="Z106" s="49"/>
      <x:c r="AA106" s="49"/>
      <x:c r="AB106" s="49"/>
      <x:c r="AC106" s="49"/>
      <x:c r="AD106" s="49"/>
      <x:c r="AE106" s="49"/>
      <x:c r="AF106" s="49"/>
      <x:c r="AG106" s="49"/>
      <x:c r="AH106" s="49"/>
      <x:c r="AI106" s="49"/>
      <x:c r="AJ106" s="49"/>
      <x:c r="AK106" s="49"/>
      <x:c r="AL106" s="49"/>
      <x:c r="AM106" s="49"/>
      <x:c r="AN106" s="49"/>
      <x:c r="AO106" s="49"/>
      <x:c r="AP106" s="49"/>
      <x:c r="AQ106" s="49"/>
      <x:c r="AR106" s="49"/>
      <x:c r="AS106" s="49"/>
      <x:c r="AT106" s="49"/>
      <x:c r="AU106" s="49"/>
      <x:c r="AV106" s="49"/>
      <x:c r="AW106" s="49"/>
      <x:c r="AX106" s="49"/>
      <x:c r="AY106" s="49"/>
      <x:c r="AZ106" s="49"/>
    </x:row>
    <x:row r="107">
      <x:c r="A107" s="49"/>
      <x:c r="B107" s="49"/>
      <x:c r="C107" s="49"/>
      <x:c r="D107" s="49"/>
      <x:c r="E107" s="49"/>
      <x:c r="F107" s="49"/>
      <x:c r="G107" s="49"/>
      <x:c r="H107" s="49"/>
      <x:c r="I107" s="49"/>
      <x:c r="J107" s="49"/>
      <x:c r="K107" s="49"/>
      <x:c r="L107" s="49"/>
      <x:c r="M107" s="49"/>
      <x:c r="N107" s="49"/>
      <x:c r="O107" s="49"/>
      <x:c r="P107" s="49"/>
      <x:c r="Q107" s="49"/>
      <x:c r="R107" s="49"/>
      <x:c r="S107" s="49"/>
      <x:c r="T107" s="49"/>
      <x:c r="U107" s="49"/>
      <x:c r="V107" s="49"/>
      <x:c r="W107" s="49"/>
      <x:c r="X107" s="49"/>
      <x:c r="Y107" s="49"/>
      <x:c r="Z107" s="49"/>
      <x:c r="AA107" s="49"/>
      <x:c r="AB107" s="49"/>
      <x:c r="AC107" s="49"/>
      <x:c r="AD107" s="49"/>
      <x:c r="AE107" s="49"/>
      <x:c r="AF107" s="49"/>
      <x:c r="AG107" s="49"/>
      <x:c r="AH107" s="49"/>
      <x:c r="AI107" s="49"/>
      <x:c r="AJ107" s="49"/>
      <x:c r="AK107" s="49"/>
      <x:c r="AL107" s="49"/>
      <x:c r="AM107" s="49"/>
      <x:c r="AN107" s="49"/>
      <x:c r="AO107" s="49"/>
      <x:c r="AP107" s="49"/>
      <x:c r="AQ107" s="49"/>
      <x:c r="AR107" s="49"/>
      <x:c r="AS107" s="49"/>
      <x:c r="AT107" s="49"/>
      <x:c r="AU107" s="49"/>
      <x:c r="AV107" s="49"/>
      <x:c r="AW107" s="49"/>
      <x:c r="AX107" s="49"/>
      <x:c r="AY107" s="49"/>
      <x:c r="AZ107" s="49"/>
    </x:row>
    <x:row r="108">
      <x:c r="A108" s="49"/>
      <x:c r="B108" s="49"/>
      <x:c r="C108" s="49"/>
      <x:c r="D108" s="49"/>
      <x:c r="E108" s="49"/>
      <x:c r="F108" s="49"/>
      <x:c r="G108" s="49"/>
      <x:c r="H108" s="49"/>
      <x:c r="I108" s="49"/>
      <x:c r="J108" s="49"/>
      <x:c r="K108" s="49"/>
      <x:c r="L108" s="49"/>
      <x:c r="M108" s="49"/>
      <x:c r="N108" s="49"/>
      <x:c r="O108" s="49"/>
      <x:c r="P108" s="49"/>
      <x:c r="Q108" s="49"/>
      <x:c r="R108" s="49"/>
      <x:c r="S108" s="49"/>
      <x:c r="T108" s="49"/>
      <x:c r="U108" s="49"/>
      <x:c r="V108" s="49"/>
      <x:c r="W108" s="49"/>
      <x:c r="X108" s="49"/>
      <x:c r="Y108" s="49"/>
      <x:c r="Z108" s="49"/>
      <x:c r="AA108" s="49"/>
      <x:c r="AB108" s="49"/>
      <x:c r="AC108" s="49"/>
      <x:c r="AD108" s="49"/>
      <x:c r="AE108" s="49"/>
      <x:c r="AF108" s="49"/>
      <x:c r="AG108" s="49"/>
      <x:c r="AH108" s="49"/>
      <x:c r="AI108" s="49"/>
      <x:c r="AJ108" s="49"/>
      <x:c r="AK108" s="49"/>
      <x:c r="AL108" s="49"/>
      <x:c r="AM108" s="49"/>
      <x:c r="AN108" s="49"/>
      <x:c r="AO108" s="49"/>
      <x:c r="AP108" s="49"/>
      <x:c r="AQ108" s="49"/>
      <x:c r="AR108" s="49"/>
      <x:c r="AS108" s="49"/>
      <x:c r="AT108" s="49"/>
      <x:c r="AU108" s="49"/>
      <x:c r="AV108" s="49"/>
      <x:c r="AW108" s="49"/>
      <x:c r="AX108" s="49"/>
      <x:c r="AY108" s="49"/>
      <x:c r="AZ108" s="49"/>
    </x:row>
    <x:row r="109">
      <x:c r="A109" s="49"/>
      <x:c r="B109" s="49"/>
      <x:c r="C109" s="49"/>
      <x:c r="D109" s="49"/>
      <x:c r="E109" s="49"/>
      <x:c r="F109" s="49"/>
      <x:c r="G109" s="49"/>
      <x:c r="H109" s="49"/>
      <x:c r="I109" s="49"/>
      <x:c r="J109" s="49"/>
      <x:c r="K109" s="49"/>
      <x:c r="L109" s="49"/>
      <x:c r="M109" s="49"/>
      <x:c r="N109" s="49"/>
      <x:c r="O109" s="49"/>
      <x:c r="P109" s="49"/>
      <x:c r="Q109" s="49"/>
      <x:c r="R109" s="49"/>
      <x:c r="S109" s="49"/>
      <x:c r="T109" s="49"/>
      <x:c r="U109" s="49"/>
      <x:c r="V109" s="49"/>
      <x:c r="W109" s="49"/>
      <x:c r="X109" s="49"/>
      <x:c r="Y109" s="49"/>
      <x:c r="Z109" s="49"/>
      <x:c r="AA109" s="49"/>
      <x:c r="AB109" s="49"/>
      <x:c r="AC109" s="49"/>
      <x:c r="AD109" s="49"/>
      <x:c r="AE109" s="49"/>
      <x:c r="AF109" s="49"/>
      <x:c r="AG109" s="49"/>
      <x:c r="AH109" s="49"/>
      <x:c r="AI109" s="49"/>
      <x:c r="AJ109" s="49"/>
      <x:c r="AK109" s="49"/>
      <x:c r="AL109" s="49"/>
      <x:c r="AM109" s="49"/>
      <x:c r="AN109" s="49"/>
      <x:c r="AO109" s="49"/>
      <x:c r="AP109" s="49"/>
      <x:c r="AQ109" s="49"/>
      <x:c r="AR109" s="49"/>
      <x:c r="AS109" s="49"/>
      <x:c r="AT109" s="49"/>
      <x:c r="AU109" s="49"/>
      <x:c r="AV109" s="49"/>
      <x:c r="AW109" s="49"/>
      <x:c r="AX109" s="49"/>
      <x:c r="AY109" s="49"/>
      <x:c r="AZ109" s="49"/>
    </x:row>
    <x:row r="110">
      <x:c r="A110" s="49"/>
      <x:c r="B110" s="49"/>
      <x:c r="C110" s="49"/>
      <x:c r="D110" s="49"/>
      <x:c r="E110" s="49"/>
      <x:c r="F110" s="49"/>
      <x:c r="G110" s="49"/>
      <x:c r="H110" s="49"/>
      <x:c r="I110" s="49"/>
      <x:c r="J110" s="49"/>
      <x:c r="K110" s="49"/>
      <x:c r="L110" s="49"/>
      <x:c r="M110" s="49"/>
      <x:c r="N110" s="49"/>
      <x:c r="O110" s="49"/>
      <x:c r="P110" s="49"/>
      <x:c r="Q110" s="49"/>
      <x:c r="R110" s="49"/>
      <x:c r="S110" s="49"/>
      <x:c r="T110" s="49"/>
      <x:c r="U110" s="49"/>
      <x:c r="V110" s="49"/>
      <x:c r="W110" s="49"/>
      <x:c r="X110" s="49"/>
      <x:c r="Y110" s="49"/>
      <x:c r="Z110" s="49"/>
      <x:c r="AA110" s="49"/>
      <x:c r="AB110" s="49"/>
      <x:c r="AC110" s="49"/>
      <x:c r="AD110" s="49"/>
      <x:c r="AE110" s="49"/>
      <x:c r="AF110" s="49"/>
      <x:c r="AG110" s="49"/>
      <x:c r="AH110" s="49"/>
      <x:c r="AI110" s="49"/>
      <x:c r="AJ110" s="49"/>
      <x:c r="AK110" s="49"/>
      <x:c r="AL110" s="49"/>
      <x:c r="AM110" s="49"/>
      <x:c r="AN110" s="49"/>
      <x:c r="AO110" s="49"/>
      <x:c r="AP110" s="49"/>
      <x:c r="AQ110" s="49"/>
      <x:c r="AR110" s="49"/>
      <x:c r="AS110" s="49"/>
      <x:c r="AT110" s="49"/>
      <x:c r="AU110" s="49"/>
      <x:c r="AV110" s="49"/>
      <x:c r="AW110" s="49"/>
      <x:c r="AX110" s="49"/>
      <x:c r="AY110" s="49"/>
      <x:c r="AZ110" s="49"/>
    </x:row>
    <x:row r="111">
      <x:c r="A111" s="49"/>
      <x:c r="B111" s="49"/>
      <x:c r="C111" s="49"/>
      <x:c r="D111" s="49"/>
      <x:c r="E111" s="49"/>
      <x:c r="F111" s="49"/>
      <x:c r="G111" s="49"/>
      <x:c r="H111" s="49"/>
      <x:c r="I111" s="49"/>
      <x:c r="J111" s="49"/>
      <x:c r="K111" s="49"/>
      <x:c r="L111" s="49"/>
      <x:c r="M111" s="49"/>
      <x:c r="N111" s="49"/>
      <x:c r="O111" s="49"/>
      <x:c r="P111" s="49"/>
      <x:c r="Q111" s="49"/>
      <x:c r="R111" s="49"/>
      <x:c r="S111" s="49"/>
      <x:c r="T111" s="49"/>
      <x:c r="U111" s="49"/>
      <x:c r="V111" s="49"/>
      <x:c r="W111" s="49"/>
      <x:c r="X111" s="49"/>
      <x:c r="Y111" s="49"/>
      <x:c r="Z111" s="49"/>
      <x:c r="AA111" s="49"/>
      <x:c r="AB111" s="49"/>
      <x:c r="AC111" s="49"/>
      <x:c r="AD111" s="49"/>
      <x:c r="AE111" s="49"/>
      <x:c r="AF111" s="49"/>
      <x:c r="AG111" s="49"/>
      <x:c r="AH111" s="49"/>
      <x:c r="AI111" s="49"/>
      <x:c r="AJ111" s="49"/>
      <x:c r="AK111" s="49"/>
      <x:c r="AL111" s="49"/>
      <x:c r="AM111" s="49"/>
      <x:c r="AN111" s="49"/>
      <x:c r="AO111" s="49"/>
      <x:c r="AP111" s="49"/>
      <x:c r="AQ111" s="49"/>
      <x:c r="AR111" s="49"/>
      <x:c r="AS111" s="49"/>
      <x:c r="AT111" s="49"/>
      <x:c r="AU111" s="49"/>
      <x:c r="AV111" s="49"/>
      <x:c r="AW111" s="49"/>
      <x:c r="AX111" s="49"/>
      <x:c r="AY111" s="49"/>
      <x:c r="AZ111" s="49"/>
    </x:row>
    <x:row r="112">
      <x:c r="A112" s="49"/>
      <x:c r="B112" s="49"/>
      <x:c r="C112" s="49"/>
      <x:c r="D112" s="49"/>
      <x:c r="E112" s="49"/>
      <x:c r="F112" s="49"/>
      <x:c r="G112" s="49"/>
      <x:c r="H112" s="49"/>
      <x:c r="I112" s="49"/>
      <x:c r="J112" s="49"/>
      <x:c r="K112" s="49"/>
      <x:c r="L112" s="49"/>
      <x:c r="M112" s="49"/>
      <x:c r="N112" s="49"/>
      <x:c r="O112" s="49"/>
      <x:c r="P112" s="49"/>
      <x:c r="Q112" s="49"/>
      <x:c r="R112" s="49"/>
      <x:c r="S112" s="49"/>
      <x:c r="T112" s="49"/>
      <x:c r="U112" s="49"/>
      <x:c r="V112" s="49"/>
      <x:c r="W112" s="49"/>
      <x:c r="X112" s="49"/>
      <x:c r="Y112" s="49"/>
      <x:c r="Z112" s="49"/>
      <x:c r="AA112" s="49"/>
      <x:c r="AB112" s="49"/>
      <x:c r="AC112" s="49"/>
      <x:c r="AD112" s="49"/>
      <x:c r="AE112" s="49"/>
      <x:c r="AF112" s="49"/>
      <x:c r="AG112" s="49"/>
      <x:c r="AH112" s="49"/>
      <x:c r="AI112" s="49"/>
      <x:c r="AJ112" s="49"/>
      <x:c r="AK112" s="49"/>
      <x:c r="AL112" s="49"/>
      <x:c r="AM112" s="49"/>
      <x:c r="AN112" s="49"/>
      <x:c r="AO112" s="49"/>
      <x:c r="AP112" s="49"/>
      <x:c r="AQ112" s="49"/>
      <x:c r="AR112" s="49"/>
      <x:c r="AS112" s="49"/>
      <x:c r="AT112" s="49"/>
      <x:c r="AU112" s="49"/>
      <x:c r="AV112" s="49"/>
      <x:c r="AW112" s="49"/>
      <x:c r="AX112" s="49"/>
      <x:c r="AY112" s="49"/>
      <x:c r="AZ112" s="49"/>
    </x:row>
    <x:row r="113">
      <x:c r="A113" s="49"/>
      <x:c r="B113" s="49"/>
      <x:c r="C113" s="49"/>
      <x:c r="D113" s="49"/>
      <x:c r="E113" s="49"/>
      <x:c r="F113" s="49"/>
      <x:c r="G113" s="49"/>
      <x:c r="H113" s="49"/>
      <x:c r="I113" s="49"/>
      <x:c r="J113" s="49"/>
      <x:c r="K113" s="49"/>
      <x:c r="L113" s="49"/>
      <x:c r="M113" s="49"/>
      <x:c r="N113" s="49"/>
      <x:c r="O113" s="49"/>
      <x:c r="P113" s="49"/>
      <x:c r="Q113" s="49"/>
      <x:c r="R113" s="49"/>
      <x:c r="S113" s="49"/>
      <x:c r="T113" s="49"/>
      <x:c r="U113" s="49"/>
      <x:c r="V113" s="49"/>
      <x:c r="W113" s="49"/>
      <x:c r="X113" s="49"/>
      <x:c r="Y113" s="49"/>
      <x:c r="Z113" s="49"/>
      <x:c r="AA113" s="49"/>
      <x:c r="AB113" s="49"/>
      <x:c r="AC113" s="49"/>
      <x:c r="AD113" s="49"/>
      <x:c r="AE113" s="49"/>
      <x:c r="AF113" s="49"/>
      <x:c r="AG113" s="49"/>
      <x:c r="AH113" s="49"/>
      <x:c r="AI113" s="49"/>
      <x:c r="AJ113" s="49"/>
      <x:c r="AK113" s="49"/>
      <x:c r="AL113" s="49"/>
      <x:c r="AM113" s="49"/>
      <x:c r="AN113" s="49"/>
      <x:c r="AO113" s="49"/>
      <x:c r="AP113" s="49"/>
      <x:c r="AQ113" s="49"/>
      <x:c r="AR113" s="49"/>
      <x:c r="AS113" s="49"/>
      <x:c r="AT113" s="49"/>
      <x:c r="AU113" s="49"/>
      <x:c r="AV113" s="49"/>
      <x:c r="AW113" s="49"/>
      <x:c r="AX113" s="49"/>
      <x:c r="AY113" s="49"/>
      <x:c r="AZ113" s="49"/>
    </x:row>
    <x:row r="114">
      <x:c r="A114" s="49"/>
      <x:c r="B114" s="49"/>
      <x:c r="C114" s="49"/>
      <x:c r="D114" s="49"/>
      <x:c r="E114" s="49"/>
      <x:c r="F114" s="49"/>
      <x:c r="G114" s="49"/>
      <x:c r="H114" s="49"/>
      <x:c r="I114" s="49"/>
      <x:c r="J114" s="49"/>
      <x:c r="K114" s="49"/>
      <x:c r="L114" s="49"/>
      <x:c r="M114" s="49"/>
      <x:c r="N114" s="49"/>
      <x:c r="O114" s="49"/>
      <x:c r="P114" s="49"/>
      <x:c r="Q114" s="49"/>
      <x:c r="R114" s="49"/>
      <x:c r="S114" s="49"/>
      <x:c r="T114" s="49"/>
      <x:c r="U114" s="49"/>
      <x:c r="V114" s="49"/>
      <x:c r="W114" s="49"/>
      <x:c r="X114" s="49"/>
      <x:c r="Y114" s="49"/>
      <x:c r="Z114" s="49"/>
      <x:c r="AA114" s="49"/>
      <x:c r="AB114" s="49"/>
      <x:c r="AC114" s="49"/>
      <x:c r="AD114" s="49"/>
      <x:c r="AE114" s="49"/>
      <x:c r="AF114" s="49"/>
      <x:c r="AG114" s="49"/>
      <x:c r="AH114" s="49"/>
      <x:c r="AI114" s="49"/>
      <x:c r="AJ114" s="49"/>
      <x:c r="AK114" s="49"/>
      <x:c r="AL114" s="49"/>
      <x:c r="AM114" s="49"/>
      <x:c r="AN114" s="49"/>
      <x:c r="AO114" s="49"/>
      <x:c r="AP114" s="49"/>
      <x:c r="AQ114" s="49"/>
      <x:c r="AR114" s="49"/>
      <x:c r="AS114" s="49"/>
      <x:c r="AT114" s="49"/>
      <x:c r="AU114" s="49"/>
      <x:c r="AV114" s="49"/>
      <x:c r="AW114" s="49"/>
      <x:c r="AX114" s="49"/>
      <x:c r="AY114" s="49"/>
      <x:c r="AZ114" s="49"/>
    </x:row>
    <x:row r="115">
      <x:c r="A115" s="49"/>
      <x:c r="B115" s="49"/>
      <x:c r="C115" s="49"/>
      <x:c r="D115" s="49"/>
      <x:c r="E115" s="49"/>
      <x:c r="F115" s="49"/>
      <x:c r="G115" s="49"/>
      <x:c r="H115" s="49"/>
      <x:c r="I115" s="49"/>
      <x:c r="J115" s="49"/>
      <x:c r="K115" s="49"/>
      <x:c r="L115" s="49"/>
      <x:c r="M115" s="49"/>
      <x:c r="N115" s="49"/>
      <x:c r="O115" s="49"/>
      <x:c r="P115" s="49"/>
      <x:c r="Q115" s="49"/>
      <x:c r="R115" s="49"/>
      <x:c r="S115" s="49"/>
      <x:c r="T115" s="49"/>
      <x:c r="U115" s="49"/>
      <x:c r="V115" s="49"/>
      <x:c r="W115" s="49"/>
      <x:c r="X115" s="49"/>
      <x:c r="Y115" s="49"/>
      <x:c r="Z115" s="49"/>
      <x:c r="AA115" s="49"/>
      <x:c r="AB115" s="49"/>
      <x:c r="AC115" s="49"/>
      <x:c r="AD115" s="49"/>
      <x:c r="AE115" s="49"/>
      <x:c r="AF115" s="49"/>
      <x:c r="AG115" s="49"/>
      <x:c r="AH115" s="49"/>
      <x:c r="AI115" s="49"/>
      <x:c r="AJ115" s="49"/>
      <x:c r="AK115" s="49"/>
      <x:c r="AL115" s="49"/>
      <x:c r="AM115" s="49"/>
      <x:c r="AN115" s="49"/>
      <x:c r="AO115" s="49"/>
      <x:c r="AP115" s="49"/>
      <x:c r="AQ115" s="49"/>
      <x:c r="AR115" s="49"/>
      <x:c r="AS115" s="49"/>
      <x:c r="AT115" s="49"/>
      <x:c r="AU115" s="49"/>
      <x:c r="AV115" s="49"/>
      <x:c r="AW115" s="49"/>
      <x:c r="AX115" s="49"/>
      <x:c r="AY115" s="49"/>
      <x:c r="AZ115" s="49"/>
    </x:row>
    <x:row r="116">
      <x:c r="A116" s="49"/>
      <x:c r="B116" s="49"/>
      <x:c r="C116" s="49"/>
      <x:c r="D116" s="49"/>
      <x:c r="E116" s="49"/>
      <x:c r="F116" s="49"/>
      <x:c r="G116" s="49"/>
      <x:c r="H116" s="49"/>
      <x:c r="I116" s="49"/>
      <x:c r="J116" s="49"/>
      <x:c r="K116" s="49"/>
      <x:c r="L116" s="49"/>
      <x:c r="M116" s="49"/>
      <x:c r="N116" s="49"/>
      <x:c r="O116" s="49"/>
      <x:c r="P116" s="49"/>
      <x:c r="Q116" s="49"/>
      <x:c r="R116" s="49"/>
      <x:c r="S116" s="49"/>
      <x:c r="T116" s="49"/>
      <x:c r="U116" s="49"/>
      <x:c r="V116" s="49"/>
      <x:c r="W116" s="49"/>
      <x:c r="X116" s="49"/>
      <x:c r="Y116" s="49"/>
      <x:c r="Z116" s="49"/>
      <x:c r="AA116" s="49"/>
      <x:c r="AB116" s="49"/>
      <x:c r="AC116" s="49"/>
      <x:c r="AD116" s="49"/>
      <x:c r="AE116" s="49"/>
      <x:c r="AF116" s="49"/>
      <x:c r="AG116" s="49"/>
      <x:c r="AH116" s="49"/>
      <x:c r="AI116" s="49"/>
      <x:c r="AJ116" s="49"/>
      <x:c r="AK116" s="49"/>
      <x:c r="AL116" s="49"/>
      <x:c r="AM116" s="49"/>
      <x:c r="AN116" s="49"/>
      <x:c r="AO116" s="49"/>
      <x:c r="AP116" s="49"/>
      <x:c r="AQ116" s="49"/>
      <x:c r="AR116" s="49"/>
      <x:c r="AS116" s="49"/>
      <x:c r="AT116" s="49"/>
      <x:c r="AU116" s="49"/>
      <x:c r="AV116" s="49"/>
      <x:c r="AW116" s="49"/>
      <x:c r="AX116" s="49"/>
      <x:c r="AY116" s="49"/>
      <x:c r="AZ116" s="49"/>
    </x:row>
    <x:row r="117">
      <x:c r="A117" s="49"/>
      <x:c r="B117" s="49"/>
      <x:c r="C117" s="49"/>
      <x:c r="D117" s="49"/>
      <x:c r="E117" s="49"/>
      <x:c r="F117" s="49"/>
      <x:c r="G117" s="49"/>
      <x:c r="H117" s="49"/>
      <x:c r="I117" s="49"/>
      <x:c r="J117" s="49"/>
      <x:c r="K117" s="49"/>
      <x:c r="L117" s="49"/>
      <x:c r="M117" s="49"/>
      <x:c r="N117" s="49"/>
      <x:c r="O117" s="49"/>
      <x:c r="P117" s="49"/>
      <x:c r="Q117" s="49"/>
      <x:c r="R117" s="49"/>
      <x:c r="S117" s="49"/>
      <x:c r="T117" s="49"/>
      <x:c r="U117" s="49"/>
      <x:c r="V117" s="49"/>
      <x:c r="W117" s="49"/>
      <x:c r="X117" s="49"/>
      <x:c r="Y117" s="49"/>
      <x:c r="Z117" s="49"/>
      <x:c r="AA117" s="49"/>
      <x:c r="AB117" s="49"/>
      <x:c r="AC117" s="49"/>
      <x:c r="AD117" s="49"/>
      <x:c r="AE117" s="49"/>
      <x:c r="AF117" s="49"/>
      <x:c r="AG117" s="49"/>
      <x:c r="AH117" s="49"/>
      <x:c r="AI117" s="49"/>
      <x:c r="AJ117" s="49"/>
      <x:c r="AK117" s="49"/>
      <x:c r="AL117" s="49"/>
      <x:c r="AM117" s="49"/>
      <x:c r="AN117" s="49"/>
      <x:c r="AO117" s="49"/>
      <x:c r="AP117" s="49"/>
      <x:c r="AQ117" s="49"/>
      <x:c r="AR117" s="49"/>
      <x:c r="AS117" s="49"/>
      <x:c r="AT117" s="49"/>
      <x:c r="AU117" s="49"/>
      <x:c r="AV117" s="49"/>
      <x:c r="AW117" s="49"/>
      <x:c r="AX117" s="49"/>
      <x:c r="AY117" s="49"/>
      <x:c r="AZ117" s="49"/>
    </x:row>
    <x:row r="118">
      <x:c r="A118" s="49"/>
      <x:c r="B118" s="49"/>
      <x:c r="C118" s="49"/>
      <x:c r="D118" s="49"/>
      <x:c r="E118" s="49"/>
      <x:c r="F118" s="49"/>
      <x:c r="G118" s="49"/>
      <x:c r="H118" s="49"/>
      <x:c r="I118" s="49"/>
      <x:c r="J118" s="49"/>
      <x:c r="K118" s="49"/>
      <x:c r="L118" s="49"/>
      <x:c r="M118" s="49"/>
      <x:c r="N118" s="49"/>
      <x:c r="O118" s="49"/>
      <x:c r="P118" s="49"/>
      <x:c r="Q118" s="49"/>
      <x:c r="R118" s="49"/>
      <x:c r="S118" s="49"/>
      <x:c r="T118" s="49"/>
      <x:c r="U118" s="49"/>
      <x:c r="V118" s="49"/>
      <x:c r="W118" s="49"/>
      <x:c r="X118" s="49"/>
      <x:c r="Y118" s="49"/>
      <x:c r="Z118" s="49"/>
      <x:c r="AA118" s="49"/>
      <x:c r="AB118" s="49"/>
      <x:c r="AC118" s="49"/>
      <x:c r="AD118" s="49"/>
      <x:c r="AE118" s="49"/>
      <x:c r="AF118" s="49"/>
      <x:c r="AG118" s="49"/>
      <x:c r="AH118" s="49"/>
      <x:c r="AI118" s="49"/>
      <x:c r="AJ118" s="49"/>
      <x:c r="AK118" s="49"/>
      <x:c r="AL118" s="49"/>
      <x:c r="AM118" s="49"/>
      <x:c r="AN118" s="49"/>
      <x:c r="AO118" s="49"/>
      <x:c r="AP118" s="49"/>
      <x:c r="AQ118" s="49"/>
      <x:c r="AR118" s="49"/>
      <x:c r="AS118" s="49"/>
      <x:c r="AT118" s="49"/>
      <x:c r="AU118" s="49"/>
      <x:c r="AV118" s="49"/>
      <x:c r="AW118" s="49"/>
      <x:c r="AX118" s="49"/>
      <x:c r="AY118" s="49"/>
      <x:c r="AZ118" s="49"/>
    </x:row>
    <x:row r="119">
      <x:c r="A119" s="49"/>
      <x:c r="B119" s="49"/>
      <x:c r="C119" s="49"/>
      <x:c r="D119" s="49"/>
      <x:c r="E119" s="49"/>
      <x:c r="F119" s="49"/>
      <x:c r="G119" s="49"/>
      <x:c r="H119" s="49"/>
      <x:c r="I119" s="49"/>
      <x:c r="J119" s="49"/>
      <x:c r="K119" s="49"/>
      <x:c r="L119" s="49"/>
      <x:c r="M119" s="49"/>
      <x:c r="N119" s="49"/>
      <x:c r="O119" s="49"/>
      <x:c r="P119" s="49"/>
      <x:c r="Q119" s="49"/>
      <x:c r="R119" s="49"/>
      <x:c r="S119" s="49"/>
      <x:c r="T119" s="49"/>
      <x:c r="U119" s="49"/>
      <x:c r="V119" s="49"/>
      <x:c r="W119" s="49"/>
      <x:c r="X119" s="49"/>
      <x:c r="Y119" s="49"/>
      <x:c r="Z119" s="49"/>
      <x:c r="AA119" s="49"/>
      <x:c r="AB119" s="49"/>
      <x:c r="AC119" s="49"/>
      <x:c r="AD119" s="49"/>
      <x:c r="AE119" s="49"/>
      <x:c r="AF119" s="49"/>
      <x:c r="AG119" s="49"/>
      <x:c r="AH119" s="49"/>
      <x:c r="AI119" s="49"/>
      <x:c r="AJ119" s="49"/>
      <x:c r="AK119" s="49"/>
      <x:c r="AL119" s="49"/>
      <x:c r="AM119" s="49"/>
      <x:c r="AN119" s="49"/>
      <x:c r="AO119" s="49"/>
      <x:c r="AP119" s="49"/>
      <x:c r="AQ119" s="49"/>
      <x:c r="AR119" s="49"/>
      <x:c r="AS119" s="49"/>
      <x:c r="AT119" s="49"/>
      <x:c r="AU119" s="49"/>
      <x:c r="AV119" s="49"/>
      <x:c r="AW119" s="49"/>
      <x:c r="AX119" s="49"/>
      <x:c r="AY119" s="49"/>
      <x:c r="AZ119" s="49"/>
    </x:row>
    <x:row r="120">
      <x:c r="A120" s="49"/>
      <x:c r="B120" s="49"/>
      <x:c r="C120" s="49"/>
      <x:c r="D120" s="49"/>
      <x:c r="E120" s="49"/>
      <x:c r="F120" s="49"/>
      <x:c r="G120" s="49"/>
      <x:c r="H120" s="49"/>
      <x:c r="I120" s="49"/>
      <x:c r="J120" s="49"/>
      <x:c r="K120" s="49"/>
      <x:c r="L120" s="49"/>
      <x:c r="M120" s="49"/>
      <x:c r="N120" s="49"/>
      <x:c r="O120" s="49"/>
      <x:c r="P120" s="49"/>
      <x:c r="Q120" s="49"/>
      <x:c r="R120" s="49"/>
      <x:c r="S120" s="49"/>
      <x:c r="T120" s="49"/>
      <x:c r="U120" s="49"/>
      <x:c r="V120" s="49"/>
      <x:c r="W120" s="49"/>
      <x:c r="X120" s="49"/>
      <x:c r="Y120" s="49"/>
      <x:c r="Z120" s="49"/>
      <x:c r="AA120" s="49"/>
      <x:c r="AB120" s="49"/>
      <x:c r="AC120" s="49"/>
      <x:c r="AD120" s="49"/>
      <x:c r="AE120" s="49"/>
      <x:c r="AF120" s="49"/>
      <x:c r="AG120" s="49"/>
      <x:c r="AH120" s="49"/>
      <x:c r="AI120" s="49"/>
      <x:c r="AJ120" s="49"/>
      <x:c r="AK120" s="49"/>
      <x:c r="AL120" s="49"/>
      <x:c r="AM120" s="49"/>
      <x:c r="AN120" s="49"/>
      <x:c r="AO120" s="49"/>
      <x:c r="AP120" s="49"/>
      <x:c r="AQ120" s="49"/>
      <x:c r="AR120" s="49"/>
      <x:c r="AS120" s="49"/>
      <x:c r="AT120" s="49"/>
      <x:c r="AU120" s="49"/>
      <x:c r="AV120" s="49"/>
      <x:c r="AW120" s="49"/>
      <x:c r="AX120" s="49"/>
      <x:c r="AY120" s="49"/>
      <x:c r="AZ120" s="49"/>
    </x:row>
    <x:row r="121">
      <x:c r="A121" s="49"/>
      <x:c r="B121" s="49"/>
      <x:c r="C121" s="49"/>
      <x:c r="D121" s="49"/>
      <x:c r="E121" s="49"/>
      <x:c r="F121" s="49"/>
      <x:c r="G121" s="49"/>
      <x:c r="H121" s="49"/>
      <x:c r="I121" s="49"/>
      <x:c r="J121" s="49"/>
      <x:c r="K121" s="49"/>
      <x:c r="L121" s="49"/>
      <x:c r="M121" s="49"/>
      <x:c r="N121" s="49"/>
      <x:c r="O121" s="49"/>
      <x:c r="P121" s="49"/>
      <x:c r="Q121" s="49"/>
      <x:c r="R121" s="49"/>
      <x:c r="S121" s="49"/>
      <x:c r="T121" s="49"/>
      <x:c r="U121" s="49"/>
      <x:c r="V121" s="49"/>
      <x:c r="W121" s="49"/>
      <x:c r="X121" s="49"/>
      <x:c r="Y121" s="49"/>
      <x:c r="Z121" s="49"/>
      <x:c r="AA121" s="49"/>
      <x:c r="AB121" s="49"/>
      <x:c r="AC121" s="49"/>
      <x:c r="AD121" s="49"/>
      <x:c r="AE121" s="49"/>
      <x:c r="AF121" s="49"/>
      <x:c r="AG121" s="49"/>
      <x:c r="AH121" s="49"/>
      <x:c r="AI121" s="49"/>
      <x:c r="AJ121" s="49"/>
      <x:c r="AK121" s="49"/>
      <x:c r="AL121" s="49"/>
      <x:c r="AM121" s="49"/>
      <x:c r="AN121" s="49"/>
      <x:c r="AO121" s="49"/>
      <x:c r="AP121" s="49"/>
      <x:c r="AQ121" s="49"/>
      <x:c r="AR121" s="49"/>
      <x:c r="AS121" s="49"/>
      <x:c r="AT121" s="49"/>
      <x:c r="AU121" s="49"/>
      <x:c r="AV121" s="49"/>
      <x:c r="AW121" s="49"/>
      <x:c r="AX121" s="49"/>
      <x:c r="AY121" s="49"/>
      <x:c r="AZ121" s="49"/>
    </x:row>
    <x:row r="122">
      <x:c r="A122" s="49"/>
      <x:c r="B122" s="49"/>
      <x:c r="C122" s="49"/>
      <x:c r="D122" s="49"/>
      <x:c r="E122" s="49"/>
      <x:c r="F122" s="49"/>
      <x:c r="G122" s="49"/>
      <x:c r="H122" s="49"/>
      <x:c r="I122" s="49"/>
      <x:c r="J122" s="49"/>
      <x:c r="K122" s="49"/>
      <x:c r="L122" s="49"/>
      <x:c r="M122" s="49"/>
      <x:c r="N122" s="49"/>
      <x:c r="O122" s="49"/>
      <x:c r="P122" s="49"/>
      <x:c r="Q122" s="49"/>
      <x:c r="R122" s="49"/>
      <x:c r="S122" s="49"/>
      <x:c r="T122" s="49"/>
      <x:c r="U122" s="49"/>
      <x:c r="V122" s="49"/>
      <x:c r="W122" s="49"/>
      <x:c r="X122" s="49"/>
      <x:c r="Y122" s="49"/>
      <x:c r="Z122" s="49"/>
      <x:c r="AA122" s="49"/>
      <x:c r="AB122" s="49"/>
      <x:c r="AC122" s="49"/>
      <x:c r="AD122" s="49"/>
      <x:c r="AE122" s="49"/>
      <x:c r="AF122" s="49"/>
      <x:c r="AG122" s="49"/>
      <x:c r="AH122" s="49"/>
      <x:c r="AI122" s="49"/>
      <x:c r="AJ122" s="49"/>
      <x:c r="AK122" s="49"/>
      <x:c r="AL122" s="49"/>
      <x:c r="AM122" s="49"/>
      <x:c r="AN122" s="49"/>
      <x:c r="AO122" s="49"/>
      <x:c r="AP122" s="49"/>
      <x:c r="AQ122" s="49"/>
      <x:c r="AR122" s="49"/>
      <x:c r="AS122" s="49"/>
      <x:c r="AT122" s="49"/>
      <x:c r="AU122" s="49"/>
      <x:c r="AV122" s="49"/>
      <x:c r="AW122" s="49"/>
      <x:c r="AX122" s="49"/>
      <x:c r="AY122" s="49"/>
      <x:c r="AZ122" s="49"/>
    </x:row>
    <x:row r="123">
      <x:c r="A123" s="49"/>
      <x:c r="B123" s="49"/>
      <x:c r="C123" s="49"/>
      <x:c r="D123" s="49"/>
      <x:c r="E123" s="49"/>
      <x:c r="F123" s="49"/>
      <x:c r="G123" s="49"/>
      <x:c r="H123" s="49"/>
      <x:c r="I123" s="49"/>
      <x:c r="J123" s="49"/>
      <x:c r="K123" s="49"/>
      <x:c r="L123" s="49"/>
      <x:c r="M123" s="49"/>
      <x:c r="N123" s="49"/>
      <x:c r="O123" s="49"/>
      <x:c r="P123" s="49"/>
      <x:c r="Q123" s="49"/>
      <x:c r="R123" s="49"/>
      <x:c r="S123" s="49"/>
      <x:c r="T123" s="49"/>
      <x:c r="U123" s="49"/>
      <x:c r="V123" s="49"/>
      <x:c r="W123" s="49"/>
      <x:c r="X123" s="49"/>
      <x:c r="Y123" s="49"/>
      <x:c r="Z123" s="49"/>
      <x:c r="AA123" s="49"/>
      <x:c r="AB123" s="49"/>
      <x:c r="AC123" s="49"/>
      <x:c r="AD123" s="49"/>
      <x:c r="AE123" s="49"/>
      <x:c r="AF123" s="49"/>
      <x:c r="AG123" s="49"/>
      <x:c r="AH123" s="49"/>
      <x:c r="AI123" s="49"/>
      <x:c r="AJ123" s="49"/>
      <x:c r="AK123" s="49"/>
      <x:c r="AL123" s="49"/>
      <x:c r="AM123" s="49"/>
      <x:c r="AN123" s="49"/>
      <x:c r="AO123" s="49"/>
      <x:c r="AP123" s="49"/>
      <x:c r="AQ123" s="49"/>
      <x:c r="AR123" s="49"/>
      <x:c r="AS123" s="49"/>
      <x:c r="AT123" s="49"/>
      <x:c r="AU123" s="49"/>
      <x:c r="AV123" s="49"/>
      <x:c r="AW123" s="49"/>
      <x:c r="AX123" s="49"/>
      <x:c r="AY123" s="49"/>
      <x:c r="AZ123" s="49"/>
    </x:row>
    <x:row r="124">
      <x:c r="A124" s="49"/>
      <x:c r="B124" s="49"/>
      <x:c r="C124" s="49"/>
      <x:c r="D124" s="49"/>
      <x:c r="E124" s="49"/>
      <x:c r="F124" s="49"/>
      <x:c r="G124" s="49"/>
      <x:c r="H124" s="49"/>
      <x:c r="I124" s="49"/>
      <x:c r="J124" s="49"/>
      <x:c r="K124" s="49"/>
      <x:c r="L124" s="49"/>
      <x:c r="M124" s="49"/>
      <x:c r="N124" s="49"/>
      <x:c r="O124" s="49"/>
      <x:c r="P124" s="49"/>
      <x:c r="Q124" s="49"/>
      <x:c r="R124" s="49"/>
      <x:c r="S124" s="49"/>
      <x:c r="T124" s="49"/>
      <x:c r="U124" s="49"/>
      <x:c r="V124" s="49"/>
      <x:c r="W124" s="49"/>
      <x:c r="X124" s="49"/>
      <x:c r="Y124" s="49"/>
      <x:c r="Z124" s="49"/>
      <x:c r="AA124" s="49"/>
      <x:c r="AB124" s="49"/>
      <x:c r="AC124" s="49"/>
      <x:c r="AD124" s="49"/>
      <x:c r="AE124" s="49"/>
      <x:c r="AF124" s="49"/>
      <x:c r="AG124" s="49"/>
      <x:c r="AH124" s="49"/>
      <x:c r="AI124" s="49"/>
      <x:c r="AJ124" s="49"/>
      <x:c r="AK124" s="49"/>
      <x:c r="AL124" s="49"/>
      <x:c r="AM124" s="49"/>
      <x:c r="AN124" s="49"/>
      <x:c r="AO124" s="49"/>
      <x:c r="AP124" s="49"/>
      <x:c r="AQ124" s="49"/>
      <x:c r="AR124" s="49"/>
      <x:c r="AS124" s="49"/>
      <x:c r="AT124" s="49"/>
      <x:c r="AU124" s="49"/>
      <x:c r="AV124" s="49"/>
      <x:c r="AW124" s="49"/>
      <x:c r="AX124" s="49"/>
      <x:c r="AY124" s="49"/>
      <x:c r="AZ124" s="49"/>
    </x:row>
    <x:row r="125">
      <x:c r="A125" s="49"/>
      <x:c r="B125" s="49"/>
      <x:c r="C125" s="49"/>
      <x:c r="D125" s="49"/>
      <x:c r="E125" s="49"/>
      <x:c r="F125" s="49"/>
      <x:c r="G125" s="49"/>
      <x:c r="H125" s="49"/>
      <x:c r="I125" s="49"/>
      <x:c r="J125" s="49"/>
      <x:c r="K125" s="49"/>
      <x:c r="L125" s="49"/>
      <x:c r="M125" s="49"/>
      <x:c r="N125" s="49"/>
      <x:c r="O125" s="49"/>
      <x:c r="P125" s="49"/>
      <x:c r="Q125" s="49"/>
      <x:c r="R125" s="49"/>
      <x:c r="S125" s="49"/>
      <x:c r="T125" s="49"/>
      <x:c r="U125" s="49"/>
      <x:c r="V125" s="49"/>
      <x:c r="W125" s="49"/>
      <x:c r="X125" s="49"/>
      <x:c r="Y125" s="49"/>
      <x:c r="Z125" s="49"/>
      <x:c r="AA125" s="49"/>
      <x:c r="AB125" s="49"/>
      <x:c r="AC125" s="49"/>
      <x:c r="AD125" s="49"/>
      <x:c r="AE125" s="49"/>
      <x:c r="AF125" s="49"/>
      <x:c r="AG125" s="49"/>
      <x:c r="AH125" s="49"/>
      <x:c r="AI125" s="49"/>
      <x:c r="AJ125" s="49"/>
      <x:c r="AK125" s="49"/>
      <x:c r="AL125" s="49"/>
      <x:c r="AM125" s="49"/>
      <x:c r="AN125" s="49"/>
      <x:c r="AO125" s="49"/>
      <x:c r="AP125" s="49"/>
      <x:c r="AQ125" s="49"/>
      <x:c r="AR125" s="49"/>
      <x:c r="AS125" s="49"/>
      <x:c r="AT125" s="49"/>
      <x:c r="AU125" s="49"/>
      <x:c r="AV125" s="49"/>
      <x:c r="AW125" s="49"/>
      <x:c r="AX125" s="49"/>
      <x:c r="AY125" s="49"/>
      <x:c r="AZ125" s="49"/>
    </x:row>
    <x:row r="126">
      <x:c r="A126" s="49"/>
      <x:c r="B126" s="49"/>
      <x:c r="C126" s="49"/>
      <x:c r="D126" s="49"/>
      <x:c r="E126" s="49"/>
      <x:c r="F126" s="49"/>
      <x:c r="G126" s="49"/>
      <x:c r="H126" s="49"/>
      <x:c r="I126" s="49"/>
      <x:c r="J126" s="49"/>
      <x:c r="K126" s="49"/>
      <x:c r="L126" s="49"/>
      <x:c r="M126" s="49"/>
      <x:c r="N126" s="49"/>
      <x:c r="O126" s="49"/>
      <x:c r="P126" s="49"/>
      <x:c r="Q126" s="49"/>
      <x:c r="R126" s="49"/>
      <x:c r="S126" s="49"/>
      <x:c r="T126" s="49"/>
      <x:c r="U126" s="49"/>
      <x:c r="V126" s="49"/>
      <x:c r="W126" s="49"/>
      <x:c r="X126" s="49"/>
      <x:c r="Y126" s="49"/>
      <x:c r="Z126" s="49"/>
      <x:c r="AA126" s="49"/>
      <x:c r="AB126" s="49"/>
      <x:c r="AC126" s="49"/>
      <x:c r="AD126" s="49"/>
      <x:c r="AE126" s="49"/>
      <x:c r="AF126" s="49"/>
      <x:c r="AG126" s="49"/>
      <x:c r="AH126" s="49"/>
      <x:c r="AI126" s="49"/>
      <x:c r="AJ126" s="49"/>
      <x:c r="AK126" s="49"/>
      <x:c r="AL126" s="49"/>
      <x:c r="AM126" s="49"/>
      <x:c r="AN126" s="49"/>
      <x:c r="AO126" s="49"/>
      <x:c r="AP126" s="49"/>
      <x:c r="AQ126" s="49"/>
      <x:c r="AR126" s="49"/>
      <x:c r="AS126" s="49"/>
      <x:c r="AT126" s="49"/>
      <x:c r="AU126" s="49"/>
      <x:c r="AV126" s="49"/>
      <x:c r="AW126" s="49"/>
      <x:c r="AX126" s="49"/>
      <x:c r="AY126" s="49"/>
      <x:c r="AZ126" s="49"/>
    </x:row>
    <x:row r="127">
      <x:c r="A127" s="49"/>
      <x:c r="B127" s="49"/>
      <x:c r="C127" s="49"/>
      <x:c r="D127" s="49"/>
      <x:c r="E127" s="49"/>
      <x:c r="F127" s="49"/>
      <x:c r="G127" s="49"/>
      <x:c r="H127" s="49"/>
      <x:c r="I127" s="49"/>
      <x:c r="J127" s="49"/>
      <x:c r="K127" s="49"/>
      <x:c r="L127" s="49"/>
      <x:c r="M127" s="49"/>
      <x:c r="N127" s="49"/>
      <x:c r="O127" s="49"/>
      <x:c r="P127" s="49"/>
      <x:c r="Q127" s="49"/>
      <x:c r="R127" s="49"/>
      <x:c r="S127" s="49"/>
      <x:c r="T127" s="49"/>
      <x:c r="U127" s="49"/>
      <x:c r="V127" s="49"/>
      <x:c r="W127" s="49"/>
      <x:c r="X127" s="49"/>
      <x:c r="Y127" s="49"/>
      <x:c r="Z127" s="49"/>
      <x:c r="AA127" s="49"/>
      <x:c r="AB127" s="49"/>
      <x:c r="AC127" s="49"/>
      <x:c r="AD127" s="49"/>
      <x:c r="AE127" s="49"/>
      <x:c r="AF127" s="49"/>
      <x:c r="AG127" s="49"/>
      <x:c r="AH127" s="49"/>
      <x:c r="AI127" s="49"/>
      <x:c r="AJ127" s="49"/>
      <x:c r="AK127" s="49"/>
      <x:c r="AL127" s="49"/>
      <x:c r="AM127" s="49"/>
      <x:c r="AN127" s="49"/>
      <x:c r="AO127" s="49"/>
      <x:c r="AP127" s="49"/>
      <x:c r="AQ127" s="49"/>
      <x:c r="AR127" s="49"/>
      <x:c r="AS127" s="49"/>
      <x:c r="AT127" s="49"/>
      <x:c r="AU127" s="49"/>
      <x:c r="AV127" s="49"/>
      <x:c r="AW127" s="49"/>
      <x:c r="AX127" s="49"/>
      <x:c r="AY127" s="49"/>
      <x:c r="AZ127" s="49"/>
    </x:row>
    <x:row r="128">
      <x:c r="A128" s="49"/>
      <x:c r="B128" s="49"/>
      <x:c r="C128" s="49"/>
      <x:c r="D128" s="49"/>
      <x:c r="E128" s="49"/>
      <x:c r="F128" s="49"/>
      <x:c r="G128" s="49"/>
      <x:c r="H128" s="49"/>
      <x:c r="I128" s="49"/>
      <x:c r="J128" s="49"/>
      <x:c r="K128" s="49"/>
      <x:c r="L128" s="49"/>
      <x:c r="M128" s="49"/>
      <x:c r="N128" s="49"/>
      <x:c r="O128" s="49"/>
      <x:c r="P128" s="49"/>
      <x:c r="Q128" s="49"/>
      <x:c r="R128" s="49"/>
      <x:c r="S128" s="49"/>
      <x:c r="T128" s="49"/>
      <x:c r="U128" s="49"/>
      <x:c r="V128" s="49"/>
      <x:c r="W128" s="49"/>
      <x:c r="X128" s="49"/>
      <x:c r="Y128" s="49"/>
      <x:c r="Z128" s="49"/>
      <x:c r="AA128" s="49"/>
      <x:c r="AB128" s="49"/>
      <x:c r="AC128" s="49"/>
      <x:c r="AD128" s="49"/>
      <x:c r="AE128" s="49"/>
      <x:c r="AF128" s="49"/>
      <x:c r="AG128" s="49"/>
      <x:c r="AH128" s="49"/>
      <x:c r="AI128" s="49"/>
      <x:c r="AJ128" s="49"/>
      <x:c r="AK128" s="49"/>
      <x:c r="AL128" s="49"/>
      <x:c r="AM128" s="49"/>
      <x:c r="AN128" s="49"/>
      <x:c r="AO128" s="49"/>
      <x:c r="AP128" s="49"/>
      <x:c r="AQ128" s="49"/>
      <x:c r="AR128" s="49"/>
      <x:c r="AS128" s="49"/>
      <x:c r="AT128" s="49"/>
      <x:c r="AU128" s="49"/>
      <x:c r="AV128" s="49"/>
      <x:c r="AW128" s="49"/>
      <x:c r="AX128" s="49"/>
      <x:c r="AY128" s="49"/>
      <x:c r="AZ128" s="49"/>
    </x:row>
    <x:row r="129">
      <x:c r="A129" s="49"/>
      <x:c r="B129" s="49"/>
      <x:c r="C129" s="49"/>
      <x:c r="D129" s="49"/>
      <x:c r="E129" s="49"/>
      <x:c r="F129" s="49"/>
      <x:c r="G129" s="49"/>
      <x:c r="H129" s="49"/>
      <x:c r="I129" s="49"/>
      <x:c r="J129" s="49"/>
      <x:c r="K129" s="49"/>
      <x:c r="L129" s="49"/>
      <x:c r="M129" s="49"/>
      <x:c r="N129" s="49"/>
      <x:c r="O129" s="49"/>
      <x:c r="P129" s="49"/>
      <x:c r="Q129" s="49"/>
      <x:c r="R129" s="49"/>
      <x:c r="S129" s="49"/>
      <x:c r="T129" s="49"/>
      <x:c r="U129" s="49"/>
      <x:c r="V129" s="49"/>
      <x:c r="W129" s="49"/>
      <x:c r="X129" s="49"/>
      <x:c r="Y129" s="49"/>
      <x:c r="Z129" s="49"/>
      <x:c r="AA129" s="49"/>
      <x:c r="AB129" s="49"/>
      <x:c r="AC129" s="49"/>
      <x:c r="AD129" s="49"/>
      <x:c r="AE129" s="49"/>
      <x:c r="AF129" s="49"/>
      <x:c r="AG129" s="49"/>
      <x:c r="AH129" s="49"/>
      <x:c r="AI129" s="49"/>
      <x:c r="AJ129" s="49"/>
      <x:c r="AK129" s="49"/>
      <x:c r="AL129" s="49"/>
      <x:c r="AM129" s="49"/>
      <x:c r="AN129" s="49"/>
      <x:c r="AO129" s="49"/>
      <x:c r="AP129" s="49"/>
      <x:c r="AQ129" s="49"/>
      <x:c r="AR129" s="49"/>
      <x:c r="AS129" s="49"/>
      <x:c r="AT129" s="49"/>
      <x:c r="AU129" s="49"/>
      <x:c r="AV129" s="49"/>
      <x:c r="AW129" s="49"/>
      <x:c r="AX129" s="49"/>
      <x:c r="AY129" s="49"/>
      <x:c r="AZ129" s="49"/>
    </x:row>
    <x:row r="130">
      <x:c r="A130" s="49"/>
      <x:c r="B130" s="49"/>
      <x:c r="C130" s="49"/>
      <x:c r="D130" s="49"/>
      <x:c r="E130" s="49"/>
      <x:c r="F130" s="49"/>
      <x:c r="G130" s="49"/>
      <x:c r="H130" s="49"/>
      <x:c r="I130" s="49"/>
      <x:c r="J130" s="49"/>
      <x:c r="K130" s="49"/>
      <x:c r="L130" s="49"/>
      <x:c r="M130" s="49"/>
      <x:c r="N130" s="49"/>
      <x:c r="O130" s="49"/>
      <x:c r="P130" s="49"/>
      <x:c r="Q130" s="49"/>
      <x:c r="R130" s="49"/>
      <x:c r="S130" s="49"/>
      <x:c r="T130" s="49"/>
      <x:c r="U130" s="49"/>
      <x:c r="V130" s="49"/>
      <x:c r="W130" s="49"/>
      <x:c r="X130" s="49"/>
      <x:c r="Y130" s="49"/>
      <x:c r="Z130" s="49"/>
      <x:c r="AA130" s="49"/>
      <x:c r="AB130" s="49"/>
      <x:c r="AC130" s="49"/>
      <x:c r="AD130" s="49"/>
      <x:c r="AE130" s="49"/>
      <x:c r="AF130" s="49"/>
      <x:c r="AG130" s="49"/>
      <x:c r="AH130" s="49"/>
      <x:c r="AI130" s="49"/>
      <x:c r="AJ130" s="49"/>
      <x:c r="AK130" s="49"/>
      <x:c r="AL130" s="49"/>
      <x:c r="AM130" s="49"/>
      <x:c r="AN130" s="49"/>
      <x:c r="AO130" s="49"/>
      <x:c r="AP130" s="49"/>
      <x:c r="AQ130" s="49"/>
      <x:c r="AR130" s="49"/>
      <x:c r="AS130" s="49"/>
      <x:c r="AT130" s="49"/>
      <x:c r="AU130" s="49"/>
      <x:c r="AV130" s="49"/>
      <x:c r="AW130" s="49"/>
      <x:c r="AX130" s="49"/>
      <x:c r="AY130" s="49"/>
      <x:c r="AZ130" s="49"/>
    </x:row>
    <x:row r="131">
      <x:c r="A131" s="49"/>
      <x:c r="B131" s="49"/>
      <x:c r="C131" s="49"/>
      <x:c r="D131" s="49"/>
      <x:c r="E131" s="49"/>
      <x:c r="F131" s="49"/>
      <x:c r="G131" s="49"/>
      <x:c r="H131" s="49"/>
      <x:c r="I131" s="49"/>
      <x:c r="J131" s="49"/>
      <x:c r="K131" s="49"/>
      <x:c r="L131" s="49"/>
      <x:c r="M131" s="49"/>
      <x:c r="N131" s="49"/>
      <x:c r="O131" s="49"/>
      <x:c r="P131" s="49"/>
      <x:c r="Q131" s="49"/>
      <x:c r="R131" s="49"/>
      <x:c r="S131" s="49"/>
      <x:c r="T131" s="49"/>
      <x:c r="U131" s="49"/>
      <x:c r="V131" s="49"/>
      <x:c r="W131" s="49"/>
      <x:c r="X131" s="49"/>
      <x:c r="Y131" s="49"/>
      <x:c r="Z131" s="49"/>
      <x:c r="AA131" s="49"/>
      <x:c r="AB131" s="49"/>
      <x:c r="AC131" s="49"/>
      <x:c r="AD131" s="49"/>
      <x:c r="AE131" s="49"/>
      <x:c r="AF131" s="49"/>
      <x:c r="AG131" s="49"/>
      <x:c r="AH131" s="49"/>
      <x:c r="AI131" s="49"/>
      <x:c r="AJ131" s="49"/>
      <x:c r="AK131" s="49"/>
      <x:c r="AL131" s="49"/>
      <x:c r="AM131" s="49"/>
      <x:c r="AN131" s="49"/>
      <x:c r="AO131" s="49"/>
      <x:c r="AP131" s="49"/>
      <x:c r="AQ131" s="49"/>
      <x:c r="AR131" s="49"/>
      <x:c r="AS131" s="49"/>
      <x:c r="AT131" s="49"/>
      <x:c r="AU131" s="49"/>
      <x:c r="AV131" s="49"/>
      <x:c r="AW131" s="49"/>
      <x:c r="AX131" s="49"/>
      <x:c r="AY131" s="49"/>
      <x:c r="AZ131" s="49"/>
    </x:row>
    <x:row r="132">
      <x:c r="A132" s="49"/>
      <x:c r="B132" s="49"/>
      <x:c r="C132" s="49"/>
      <x:c r="D132" s="49"/>
      <x:c r="E132" s="49"/>
      <x:c r="F132" s="49"/>
      <x:c r="G132" s="49"/>
      <x:c r="H132" s="49"/>
      <x:c r="I132" s="49"/>
      <x:c r="J132" s="49"/>
      <x:c r="K132" s="49"/>
      <x:c r="L132" s="49"/>
      <x:c r="M132" s="49"/>
      <x:c r="N132" s="49"/>
      <x:c r="O132" s="49"/>
      <x:c r="P132" s="49"/>
      <x:c r="Q132" s="49"/>
      <x:c r="R132" s="49"/>
      <x:c r="S132" s="49"/>
      <x:c r="T132" s="49"/>
      <x:c r="U132" s="49"/>
      <x:c r="V132" s="49"/>
      <x:c r="W132" s="49"/>
      <x:c r="X132" s="49"/>
      <x:c r="Y132" s="49"/>
      <x:c r="Z132" s="49"/>
      <x:c r="AA132" s="49"/>
      <x:c r="AB132" s="49"/>
      <x:c r="AC132" s="49"/>
      <x:c r="AD132" s="49"/>
      <x:c r="AE132" s="49"/>
      <x:c r="AF132" s="49"/>
      <x:c r="AG132" s="49"/>
      <x:c r="AH132" s="49"/>
      <x:c r="AI132" s="49"/>
      <x:c r="AJ132" s="49"/>
      <x:c r="AK132" s="49"/>
      <x:c r="AL132" s="49"/>
      <x:c r="AM132" s="49"/>
      <x:c r="AN132" s="49"/>
      <x:c r="AO132" s="49"/>
      <x:c r="AP132" s="49"/>
      <x:c r="AQ132" s="49"/>
      <x:c r="AR132" s="49"/>
      <x:c r="AS132" s="49"/>
      <x:c r="AT132" s="49"/>
      <x:c r="AU132" s="49"/>
      <x:c r="AV132" s="49"/>
      <x:c r="AW132" s="49"/>
      <x:c r="AX132" s="49"/>
      <x:c r="AY132" s="49"/>
      <x:c r="AZ132" s="49"/>
    </x:row>
    <x:row r="133">
      <x:c r="A133" s="49"/>
      <x:c r="B133" s="49"/>
      <x:c r="C133" s="49"/>
      <x:c r="D133" s="49"/>
      <x:c r="E133" s="49"/>
      <x:c r="F133" s="49"/>
      <x:c r="G133" s="49"/>
      <x:c r="H133" s="49"/>
      <x:c r="I133" s="49"/>
      <x:c r="J133" s="49"/>
      <x:c r="K133" s="49"/>
      <x:c r="L133" s="49"/>
      <x:c r="M133" s="49"/>
      <x:c r="N133" s="49"/>
      <x:c r="O133" s="49"/>
      <x:c r="P133" s="49"/>
      <x:c r="Q133" s="49"/>
      <x:c r="R133" s="49"/>
      <x:c r="S133" s="49"/>
      <x:c r="T133" s="49"/>
      <x:c r="U133" s="49"/>
      <x:c r="V133" s="49"/>
      <x:c r="W133" s="49"/>
      <x:c r="X133" s="49"/>
      <x:c r="Y133" s="49"/>
      <x:c r="Z133" s="49"/>
      <x:c r="AA133" s="49"/>
      <x:c r="AB133" s="49"/>
      <x:c r="AC133" s="49"/>
      <x:c r="AD133" s="49"/>
      <x:c r="AE133" s="49"/>
      <x:c r="AF133" s="49"/>
      <x:c r="AG133" s="49"/>
      <x:c r="AH133" s="49"/>
      <x:c r="AI133" s="49"/>
      <x:c r="AJ133" s="49"/>
      <x:c r="AK133" s="49"/>
      <x:c r="AL133" s="49"/>
      <x:c r="AM133" s="49"/>
      <x:c r="AN133" s="49"/>
      <x:c r="AO133" s="49"/>
      <x:c r="AP133" s="49"/>
      <x:c r="AQ133" s="49"/>
      <x:c r="AR133" s="49"/>
      <x:c r="AS133" s="49"/>
      <x:c r="AT133" s="49"/>
      <x:c r="AU133" s="49"/>
      <x:c r="AV133" s="49"/>
      <x:c r="AW133" s="49"/>
      <x:c r="AX133" s="49"/>
      <x:c r="AY133" s="49"/>
      <x:c r="AZ133" s="49"/>
    </x:row>
    <x:row r="134">
      <x:c r="A134" s="49"/>
      <x:c r="B134" s="49"/>
      <x:c r="C134" s="49"/>
      <x:c r="D134" s="49"/>
      <x:c r="E134" s="49"/>
      <x:c r="F134" s="49"/>
      <x:c r="G134" s="49"/>
      <x:c r="H134" s="49"/>
      <x:c r="I134" s="49"/>
      <x:c r="J134" s="49"/>
      <x:c r="K134" s="49"/>
      <x:c r="L134" s="49"/>
      <x:c r="M134" s="49"/>
      <x:c r="N134" s="49"/>
      <x:c r="O134" s="49"/>
      <x:c r="P134" s="49"/>
      <x:c r="Q134" s="49"/>
      <x:c r="R134" s="49"/>
      <x:c r="S134" s="49"/>
      <x:c r="T134" s="49"/>
      <x:c r="U134" s="49"/>
      <x:c r="V134" s="49"/>
      <x:c r="W134" s="49"/>
      <x:c r="X134" s="49"/>
      <x:c r="Y134" s="49"/>
      <x:c r="Z134" s="49"/>
      <x:c r="AA134" s="49"/>
      <x:c r="AB134" s="49"/>
      <x:c r="AC134" s="49"/>
      <x:c r="AD134" s="49"/>
      <x:c r="AE134" s="49"/>
      <x:c r="AF134" s="49"/>
      <x:c r="AG134" s="49"/>
      <x:c r="AH134" s="49"/>
      <x:c r="AI134" s="49"/>
      <x:c r="AJ134" s="49"/>
      <x:c r="AK134" s="49"/>
      <x:c r="AL134" s="49"/>
      <x:c r="AM134" s="49"/>
      <x:c r="AN134" s="49"/>
      <x:c r="AO134" s="49"/>
      <x:c r="AP134" s="49"/>
      <x:c r="AQ134" s="49"/>
      <x:c r="AR134" s="49"/>
      <x:c r="AS134" s="49"/>
      <x:c r="AT134" s="49"/>
      <x:c r="AU134" s="49"/>
      <x:c r="AV134" s="49"/>
      <x:c r="AW134" s="49"/>
      <x:c r="AX134" s="49"/>
      <x:c r="AY134" s="49"/>
      <x:c r="AZ134" s="49"/>
    </x:row>
    <x:row r="135">
      <x:c r="A135" s="49"/>
      <x:c r="B135" s="49"/>
      <x:c r="C135" s="49"/>
      <x:c r="D135" s="49"/>
      <x:c r="E135" s="49"/>
      <x:c r="F135" s="49"/>
      <x:c r="G135" s="49"/>
      <x:c r="H135" s="49"/>
      <x:c r="I135" s="49"/>
      <x:c r="J135" s="49"/>
      <x:c r="K135" s="49"/>
      <x:c r="L135" s="49"/>
      <x:c r="M135" s="49"/>
      <x:c r="N135" s="49"/>
      <x:c r="O135" s="49"/>
      <x:c r="P135" s="49"/>
      <x:c r="Q135" s="49"/>
      <x:c r="R135" s="49"/>
      <x:c r="S135" s="49"/>
      <x:c r="T135" s="49"/>
      <x:c r="U135" s="49"/>
      <x:c r="V135" s="49"/>
      <x:c r="W135" s="49"/>
      <x:c r="X135" s="49"/>
      <x:c r="Y135" s="49"/>
      <x:c r="Z135" s="49"/>
      <x:c r="AA135" s="49"/>
      <x:c r="AB135" s="49"/>
      <x:c r="AC135" s="49"/>
      <x:c r="AD135" s="49"/>
      <x:c r="AE135" s="49"/>
      <x:c r="AF135" s="49"/>
      <x:c r="AG135" s="49"/>
      <x:c r="AH135" s="49"/>
      <x:c r="AI135" s="49"/>
      <x:c r="AJ135" s="49"/>
      <x:c r="AK135" s="49"/>
      <x:c r="AL135" s="49"/>
      <x:c r="AM135" s="49"/>
      <x:c r="AN135" s="49"/>
      <x:c r="AO135" s="49"/>
      <x:c r="AP135" s="49"/>
      <x:c r="AQ135" s="49"/>
      <x:c r="AR135" s="49"/>
      <x:c r="AS135" s="49"/>
      <x:c r="AT135" s="49"/>
      <x:c r="AU135" s="49"/>
      <x:c r="AV135" s="49"/>
      <x:c r="AW135" s="49"/>
      <x:c r="AX135" s="49"/>
      <x:c r="AY135" s="49"/>
      <x:c r="AZ135" s="49"/>
    </x:row>
    <x:row r="136">
      <x:c r="A136" s="49"/>
      <x:c r="B136" s="49"/>
      <x:c r="C136" s="49"/>
      <x:c r="D136" s="49"/>
      <x:c r="E136" s="49"/>
      <x:c r="F136" s="49"/>
      <x:c r="G136" s="49"/>
      <x:c r="H136" s="49"/>
      <x:c r="I136" s="49"/>
      <x:c r="J136" s="49"/>
      <x:c r="K136" s="49"/>
      <x:c r="L136" s="49"/>
      <x:c r="M136" s="49"/>
      <x:c r="N136" s="49"/>
      <x:c r="O136" s="49"/>
      <x:c r="P136" s="49"/>
      <x:c r="Q136" s="49"/>
      <x:c r="R136" s="49"/>
      <x:c r="S136" s="49"/>
      <x:c r="T136" s="49"/>
      <x:c r="U136" s="49"/>
      <x:c r="V136" s="49"/>
      <x:c r="W136" s="49"/>
      <x:c r="X136" s="49"/>
      <x:c r="Y136" s="49"/>
      <x:c r="Z136" s="49"/>
      <x:c r="AA136" s="49"/>
      <x:c r="AB136" s="49"/>
      <x:c r="AC136" s="49"/>
      <x:c r="AD136" s="49"/>
      <x:c r="AE136" s="49"/>
      <x:c r="AF136" s="49"/>
      <x:c r="AG136" s="49"/>
      <x:c r="AH136" s="49"/>
      <x:c r="AI136" s="49"/>
      <x:c r="AJ136" s="49"/>
      <x:c r="AK136" s="49"/>
      <x:c r="AL136" s="49"/>
      <x:c r="AM136" s="49"/>
      <x:c r="AN136" s="49"/>
      <x:c r="AO136" s="49"/>
      <x:c r="AP136" s="49"/>
      <x:c r="AQ136" s="49"/>
      <x:c r="AR136" s="49"/>
      <x:c r="AS136" s="49"/>
      <x:c r="AT136" s="49"/>
      <x:c r="AU136" s="49"/>
      <x:c r="AV136" s="49"/>
      <x:c r="AW136" s="49"/>
      <x:c r="AX136" s="49"/>
      <x:c r="AY136" s="49"/>
      <x:c r="AZ136" s="49"/>
    </x:row>
    <x:row r="137">
      <x:c r="A137" s="49"/>
      <x:c r="B137" s="49"/>
      <x:c r="C137" s="49"/>
      <x:c r="D137" s="49"/>
      <x:c r="E137" s="49"/>
      <x:c r="F137" s="49"/>
      <x:c r="G137" s="49"/>
      <x:c r="H137" s="49"/>
      <x:c r="I137" s="49"/>
      <x:c r="J137" s="49"/>
      <x:c r="K137" s="49"/>
      <x:c r="L137" s="49"/>
      <x:c r="M137" s="49"/>
      <x:c r="N137" s="49"/>
      <x:c r="O137" s="49"/>
      <x:c r="P137" s="49"/>
      <x:c r="Q137" s="49"/>
      <x:c r="R137" s="49"/>
      <x:c r="S137" s="49"/>
      <x:c r="T137" s="49"/>
      <x:c r="U137" s="49"/>
      <x:c r="V137" s="49"/>
      <x:c r="W137" s="49"/>
      <x:c r="X137" s="49"/>
      <x:c r="Y137" s="49"/>
      <x:c r="Z137" s="49"/>
      <x:c r="AA137" s="49"/>
      <x:c r="AB137" s="49"/>
      <x:c r="AC137" s="49"/>
      <x:c r="AD137" s="49"/>
      <x:c r="AE137" s="49"/>
      <x:c r="AF137" s="49"/>
      <x:c r="AG137" s="49"/>
      <x:c r="AH137" s="49"/>
      <x:c r="AI137" s="49"/>
      <x:c r="AJ137" s="49"/>
      <x:c r="AK137" s="49"/>
      <x:c r="AL137" s="49"/>
      <x:c r="AM137" s="49"/>
      <x:c r="AN137" s="49"/>
      <x:c r="AO137" s="49"/>
      <x:c r="AP137" s="49"/>
      <x:c r="AQ137" s="49"/>
      <x:c r="AR137" s="49"/>
      <x:c r="AS137" s="49"/>
      <x:c r="AT137" s="49"/>
      <x:c r="AU137" s="49"/>
      <x:c r="AV137" s="49"/>
      <x:c r="AW137" s="49"/>
      <x:c r="AX137" s="49"/>
      <x:c r="AY137" s="49"/>
      <x:c r="AZ137" s="49"/>
    </x:row>
    <x:row r="138">
      <x:c r="A138" s="49"/>
      <x:c r="B138" s="49"/>
      <x:c r="C138" s="49"/>
      <x:c r="D138" s="49"/>
      <x:c r="E138" s="49"/>
      <x:c r="F138" s="49"/>
      <x:c r="G138" s="49"/>
      <x:c r="H138" s="49"/>
      <x:c r="I138" s="49"/>
      <x:c r="J138" s="49"/>
      <x:c r="K138" s="49"/>
      <x:c r="L138" s="49"/>
      <x:c r="M138" s="49"/>
      <x:c r="N138" s="49"/>
      <x:c r="O138" s="49"/>
      <x:c r="P138" s="49"/>
      <x:c r="Q138" s="49"/>
      <x:c r="R138" s="49"/>
      <x:c r="S138" s="49"/>
      <x:c r="T138" s="49"/>
      <x:c r="U138" s="49"/>
      <x:c r="V138" s="49"/>
      <x:c r="W138" s="49"/>
      <x:c r="X138" s="49"/>
      <x:c r="Y138" s="49"/>
      <x:c r="Z138" s="49"/>
      <x:c r="AA138" s="49"/>
      <x:c r="AB138" s="49"/>
      <x:c r="AC138" s="49"/>
      <x:c r="AD138" s="49"/>
      <x:c r="AE138" s="49"/>
      <x:c r="AF138" s="49"/>
      <x:c r="AG138" s="49"/>
      <x:c r="AH138" s="49"/>
      <x:c r="AI138" s="49"/>
      <x:c r="AJ138" s="49"/>
      <x:c r="AK138" s="49"/>
      <x:c r="AL138" s="49"/>
      <x:c r="AM138" s="49"/>
      <x:c r="AN138" s="49"/>
      <x:c r="AO138" s="49"/>
      <x:c r="AP138" s="49"/>
      <x:c r="AQ138" s="49"/>
      <x:c r="AR138" s="49"/>
      <x:c r="AS138" s="49"/>
      <x:c r="AT138" s="49"/>
      <x:c r="AU138" s="49"/>
      <x:c r="AV138" s="49"/>
      <x:c r="AW138" s="49"/>
      <x:c r="AX138" s="49"/>
      <x:c r="AY138" s="49"/>
      <x:c r="AZ138" s="49"/>
    </x:row>
    <x:row r="139">
      <x:c r="A139" s="49"/>
      <x:c r="B139" s="49"/>
      <x:c r="C139" s="49"/>
      <x:c r="D139" s="49"/>
      <x:c r="E139" s="49"/>
      <x:c r="F139" s="49"/>
      <x:c r="G139" s="49"/>
      <x:c r="H139" s="49"/>
      <x:c r="I139" s="49"/>
      <x:c r="J139" s="49"/>
      <x:c r="K139" s="49"/>
      <x:c r="L139" s="49"/>
      <x:c r="M139" s="49"/>
      <x:c r="N139" s="49"/>
      <x:c r="O139" s="49"/>
      <x:c r="P139" s="49"/>
      <x:c r="Q139" s="49"/>
      <x:c r="R139" s="49"/>
      <x:c r="S139" s="49"/>
      <x:c r="T139" s="49"/>
      <x:c r="U139" s="49"/>
      <x:c r="V139" s="49"/>
      <x:c r="W139" s="49"/>
      <x:c r="X139" s="49"/>
      <x:c r="Y139" s="49"/>
      <x:c r="Z139" s="49"/>
      <x:c r="AA139" s="49"/>
      <x:c r="AB139" s="49"/>
      <x:c r="AC139" s="49"/>
      <x:c r="AD139" s="49"/>
      <x:c r="AE139" s="49"/>
      <x:c r="AF139" s="49"/>
      <x:c r="AG139" s="49"/>
      <x:c r="AH139" s="49"/>
      <x:c r="AI139" s="49"/>
      <x:c r="AJ139" s="49"/>
      <x:c r="AK139" s="49"/>
      <x:c r="AL139" s="49"/>
      <x:c r="AM139" s="49"/>
      <x:c r="AN139" s="49"/>
      <x:c r="AO139" s="49"/>
      <x:c r="AP139" s="49"/>
      <x:c r="AQ139" s="49"/>
      <x:c r="AR139" s="49"/>
      <x:c r="AS139" s="49"/>
      <x:c r="AT139" s="49"/>
      <x:c r="AU139" s="49"/>
      <x:c r="AV139" s="49"/>
      <x:c r="AW139" s="49"/>
      <x:c r="AX139" s="49"/>
      <x:c r="AY139" s="49"/>
      <x:c r="AZ139" s="49"/>
    </x:row>
    <x:row r="140">
      <x:c r="A140" s="49"/>
      <x:c r="B140" s="49"/>
      <x:c r="C140" s="49"/>
      <x:c r="D140" s="49"/>
      <x:c r="E140" s="49"/>
      <x:c r="F140" s="49"/>
      <x:c r="G140" s="49"/>
      <x:c r="H140" s="49"/>
      <x:c r="I140" s="49"/>
      <x:c r="J140" s="49"/>
      <x:c r="K140" s="49"/>
      <x:c r="L140" s="49"/>
      <x:c r="M140" s="49"/>
      <x:c r="N140" s="49"/>
      <x:c r="O140" s="49"/>
      <x:c r="P140" s="49"/>
      <x:c r="Q140" s="49"/>
      <x:c r="R140" s="49"/>
      <x:c r="S140" s="49"/>
      <x:c r="T140" s="49"/>
      <x:c r="U140" s="49"/>
      <x:c r="V140" s="49"/>
      <x:c r="W140" s="49"/>
      <x:c r="X140" s="49"/>
      <x:c r="Y140" s="49"/>
      <x:c r="Z140" s="49"/>
      <x:c r="AA140" s="49"/>
      <x:c r="AB140" s="49"/>
      <x:c r="AC140" s="49"/>
      <x:c r="AD140" s="49"/>
      <x:c r="AE140" s="49"/>
      <x:c r="AF140" s="49"/>
      <x:c r="AG140" s="49"/>
      <x:c r="AH140" s="49"/>
      <x:c r="AI140" s="49"/>
      <x:c r="AJ140" s="49"/>
      <x:c r="AK140" s="49"/>
      <x:c r="AL140" s="49"/>
      <x:c r="AM140" s="49"/>
      <x:c r="AN140" s="49"/>
      <x:c r="AO140" s="49"/>
      <x:c r="AP140" s="49"/>
      <x:c r="AQ140" s="49"/>
      <x:c r="AR140" s="49"/>
      <x:c r="AS140" s="49"/>
      <x:c r="AT140" s="49"/>
      <x:c r="AU140" s="49"/>
      <x:c r="AV140" s="49"/>
      <x:c r="AW140" s="49"/>
      <x:c r="AX140" s="49"/>
      <x:c r="AY140" s="49"/>
      <x:c r="AZ140" s="49"/>
    </x:row>
    <x:row r="141">
      <x:c r="A141" s="49"/>
      <x:c r="B141" s="49"/>
      <x:c r="C141" s="49"/>
      <x:c r="D141" s="49"/>
      <x:c r="E141" s="49"/>
      <x:c r="F141" s="49"/>
      <x:c r="G141" s="49"/>
      <x:c r="H141" s="49"/>
      <x:c r="I141" s="49"/>
      <x:c r="J141" s="49"/>
      <x:c r="K141" s="49"/>
      <x:c r="L141" s="49"/>
      <x:c r="M141" s="49"/>
      <x:c r="N141" s="49"/>
      <x:c r="O141" s="49"/>
      <x:c r="P141" s="49"/>
      <x:c r="Q141" s="49"/>
      <x:c r="R141" s="49"/>
      <x:c r="S141" s="49"/>
      <x:c r="T141" s="49"/>
      <x:c r="U141" s="49"/>
      <x:c r="V141" s="49"/>
      <x:c r="W141" s="49"/>
      <x:c r="X141" s="49"/>
      <x:c r="Y141" s="49"/>
      <x:c r="Z141" s="49"/>
      <x:c r="AA141" s="49"/>
      <x:c r="AB141" s="49"/>
      <x:c r="AC141" s="49"/>
      <x:c r="AD141" s="49"/>
      <x:c r="AE141" s="49"/>
      <x:c r="AF141" s="49"/>
      <x:c r="AG141" s="49"/>
      <x:c r="AH141" s="49"/>
      <x:c r="AI141" s="49"/>
      <x:c r="AJ141" s="49"/>
      <x:c r="AK141" s="49"/>
      <x:c r="AL141" s="49"/>
      <x:c r="AM141" s="49"/>
      <x:c r="AN141" s="49"/>
      <x:c r="AO141" s="49"/>
      <x:c r="AP141" s="49"/>
      <x:c r="AQ141" s="49"/>
      <x:c r="AR141" s="49"/>
      <x:c r="AS141" s="49"/>
      <x:c r="AT141" s="49"/>
      <x:c r="AU141" s="49"/>
      <x:c r="AV141" s="49"/>
      <x:c r="AW141" s="49"/>
      <x:c r="AX141" s="49"/>
      <x:c r="AY141" s="49"/>
      <x:c r="AZ141" s="49"/>
    </x:row>
    <x:row r="142">
      <x:c r="A142" s="49"/>
      <x:c r="B142" s="49"/>
      <x:c r="C142" s="49"/>
      <x:c r="D142" s="49"/>
      <x:c r="E142" s="49"/>
      <x:c r="F142" s="49"/>
      <x:c r="G142" s="49"/>
      <x:c r="H142" s="49"/>
      <x:c r="I142" s="49"/>
      <x:c r="J142" s="49"/>
      <x:c r="K142" s="49"/>
      <x:c r="L142" s="49"/>
      <x:c r="M142" s="49"/>
      <x:c r="N142" s="49"/>
      <x:c r="O142" s="49"/>
      <x:c r="P142" s="49"/>
      <x:c r="Q142" s="49"/>
      <x:c r="R142" s="49"/>
      <x:c r="S142" s="49"/>
      <x:c r="T142" s="49"/>
      <x:c r="U142" s="49"/>
      <x:c r="V142" s="49"/>
      <x:c r="W142" s="49"/>
      <x:c r="X142" s="49"/>
      <x:c r="Y142" s="49"/>
      <x:c r="Z142" s="49"/>
      <x:c r="AA142" s="49"/>
      <x:c r="AB142" s="49"/>
      <x:c r="AC142" s="49"/>
      <x:c r="AD142" s="49"/>
      <x:c r="AE142" s="49"/>
      <x:c r="AF142" s="49"/>
      <x:c r="AG142" s="49"/>
      <x:c r="AH142" s="49"/>
      <x:c r="AI142" s="49"/>
      <x:c r="AJ142" s="49"/>
      <x:c r="AK142" s="49"/>
      <x:c r="AL142" s="49"/>
      <x:c r="AM142" s="49"/>
      <x:c r="AN142" s="49"/>
      <x:c r="AO142" s="49"/>
      <x:c r="AP142" s="49"/>
      <x:c r="AQ142" s="49"/>
      <x:c r="AR142" s="49"/>
      <x:c r="AS142" s="49"/>
      <x:c r="AT142" s="49"/>
      <x:c r="AU142" s="49"/>
      <x:c r="AV142" s="49"/>
      <x:c r="AW142" s="49"/>
      <x:c r="AX142" s="49"/>
      <x:c r="AY142" s="49"/>
      <x:c r="AZ142" s="49"/>
    </x:row>
    <x:row r="143">
      <x:c r="A143" s="49"/>
      <x:c r="B143" s="49"/>
      <x:c r="C143" s="49"/>
      <x:c r="D143" s="49"/>
      <x:c r="E143" s="49"/>
      <x:c r="F143" s="49"/>
      <x:c r="G143" s="49"/>
      <x:c r="H143" s="49"/>
      <x:c r="I143" s="49"/>
      <x:c r="J143" s="49"/>
      <x:c r="K143" s="49"/>
      <x:c r="L143" s="49"/>
      <x:c r="M143" s="49"/>
      <x:c r="N143" s="49"/>
      <x:c r="O143" s="49"/>
      <x:c r="P143" s="49"/>
      <x:c r="Q143" s="49"/>
      <x:c r="R143" s="49"/>
      <x:c r="S143" s="49"/>
      <x:c r="T143" s="49"/>
      <x:c r="U143" s="49"/>
      <x:c r="V143" s="49"/>
      <x:c r="W143" s="49"/>
      <x:c r="X143" s="49"/>
      <x:c r="Y143" s="49"/>
      <x:c r="Z143" s="49"/>
      <x:c r="AA143" s="49"/>
      <x:c r="AB143" s="49"/>
      <x:c r="AC143" s="49"/>
      <x:c r="AD143" s="49"/>
      <x:c r="AE143" s="49"/>
      <x:c r="AF143" s="49"/>
      <x:c r="AG143" s="49"/>
      <x:c r="AH143" s="49"/>
      <x:c r="AI143" s="49"/>
      <x:c r="AJ143" s="49"/>
      <x:c r="AK143" s="49"/>
      <x:c r="AL143" s="49"/>
      <x:c r="AM143" s="49"/>
      <x:c r="AN143" s="49"/>
      <x:c r="AO143" s="49"/>
      <x:c r="AP143" s="49"/>
      <x:c r="AQ143" s="49"/>
      <x:c r="AR143" s="49"/>
      <x:c r="AS143" s="49"/>
      <x:c r="AT143" s="49"/>
      <x:c r="AU143" s="49"/>
      <x:c r="AV143" s="49"/>
      <x:c r="AW143" s="49"/>
      <x:c r="AX143" s="49"/>
      <x:c r="AY143" s="49"/>
      <x:c r="AZ143" s="49"/>
    </x:row>
    <x:row r="144">
      <x:c r="A144" s="49"/>
      <x:c r="B144" s="49"/>
      <x:c r="C144" s="49"/>
      <x:c r="D144" s="49"/>
      <x:c r="E144" s="49"/>
      <x:c r="F144" s="49"/>
      <x:c r="G144" s="49"/>
      <x:c r="H144" s="49"/>
      <x:c r="I144" s="49"/>
      <x:c r="J144" s="49"/>
      <x:c r="K144" s="49"/>
      <x:c r="L144" s="49"/>
      <x:c r="M144" s="49"/>
      <x:c r="N144" s="49"/>
      <x:c r="O144" s="49"/>
      <x:c r="P144" s="49"/>
      <x:c r="Q144" s="49"/>
      <x:c r="R144" s="49"/>
      <x:c r="S144" s="49"/>
      <x:c r="T144" s="49"/>
      <x:c r="U144" s="49"/>
      <x:c r="V144" s="49"/>
      <x:c r="W144" s="49"/>
      <x:c r="X144" s="49"/>
      <x:c r="Y144" s="49"/>
      <x:c r="Z144" s="49"/>
      <x:c r="AA144" s="49"/>
      <x:c r="AB144" s="49"/>
      <x:c r="AC144" s="49"/>
      <x:c r="AD144" s="49"/>
      <x:c r="AE144" s="49"/>
      <x:c r="AF144" s="49"/>
      <x:c r="AG144" s="49"/>
      <x:c r="AH144" s="49"/>
      <x:c r="AI144" s="49"/>
      <x:c r="AJ144" s="49"/>
      <x:c r="AK144" s="49"/>
      <x:c r="AL144" s="49"/>
      <x:c r="AM144" s="49"/>
      <x:c r="AN144" s="49"/>
      <x:c r="AO144" s="49"/>
      <x:c r="AP144" s="49"/>
      <x:c r="AQ144" s="49"/>
      <x:c r="AR144" s="49"/>
      <x:c r="AS144" s="49"/>
      <x:c r="AT144" s="49"/>
      <x:c r="AU144" s="49"/>
      <x:c r="AV144" s="49"/>
      <x:c r="AW144" s="49"/>
      <x:c r="AX144" s="49"/>
      <x:c r="AY144" s="49"/>
      <x:c r="AZ144" s="49"/>
    </x:row>
    <x:row r="145">
      <x:c r="A145" s="49"/>
      <x:c r="B145" s="49"/>
      <x:c r="C145" s="49"/>
      <x:c r="D145" s="49"/>
      <x:c r="E145" s="49"/>
      <x:c r="F145" s="49"/>
      <x:c r="G145" s="49"/>
      <x:c r="H145" s="49"/>
      <x:c r="I145" s="49"/>
      <x:c r="J145" s="49"/>
      <x:c r="K145" s="49"/>
      <x:c r="L145" s="49"/>
      <x:c r="M145" s="49"/>
      <x:c r="N145" s="49"/>
      <x:c r="O145" s="49"/>
      <x:c r="P145" s="49"/>
      <x:c r="Q145" s="49"/>
      <x:c r="R145" s="49"/>
      <x:c r="S145" s="49"/>
      <x:c r="T145" s="49"/>
      <x:c r="U145" s="49"/>
      <x:c r="V145" s="49"/>
      <x:c r="W145" s="49"/>
      <x:c r="X145" s="49"/>
      <x:c r="Y145" s="49"/>
      <x:c r="Z145" s="49"/>
      <x:c r="AA145" s="49"/>
      <x:c r="AB145" s="49"/>
      <x:c r="AC145" s="49"/>
      <x:c r="AD145" s="49"/>
      <x:c r="AE145" s="49"/>
      <x:c r="AF145" s="49"/>
      <x:c r="AG145" s="49"/>
      <x:c r="AH145" s="49"/>
      <x:c r="AI145" s="49"/>
      <x:c r="AJ145" s="49"/>
      <x:c r="AK145" s="49"/>
      <x:c r="AL145" s="49"/>
      <x:c r="AM145" s="49"/>
      <x:c r="AN145" s="49"/>
      <x:c r="AO145" s="49"/>
      <x:c r="AP145" s="49"/>
      <x:c r="AQ145" s="49"/>
      <x:c r="AR145" s="49"/>
      <x:c r="AS145" s="49"/>
      <x:c r="AT145" s="49"/>
      <x:c r="AU145" s="49"/>
      <x:c r="AV145" s="49"/>
      <x:c r="AW145" s="49"/>
      <x:c r="AX145" s="49"/>
      <x:c r="AY145" s="49"/>
      <x:c r="AZ145" s="49"/>
    </x:row>
    <x:row r="146">
      <x:c r="A146" s="49"/>
      <x:c r="B146" s="49"/>
      <x:c r="C146" s="49"/>
      <x:c r="D146" s="49"/>
      <x:c r="E146" s="49"/>
      <x:c r="F146" s="49"/>
      <x:c r="G146" s="49"/>
      <x:c r="H146" s="49"/>
      <x:c r="I146" s="49"/>
      <x:c r="J146" s="49"/>
      <x:c r="K146" s="49"/>
      <x:c r="L146" s="49"/>
      <x:c r="M146" s="49"/>
      <x:c r="N146" s="49"/>
      <x:c r="O146" s="49"/>
      <x:c r="P146" s="49"/>
      <x:c r="Q146" s="49"/>
      <x:c r="R146" s="49"/>
      <x:c r="S146" s="49"/>
      <x:c r="T146" s="49"/>
      <x:c r="U146" s="49"/>
      <x:c r="V146" s="49"/>
      <x:c r="W146" s="49"/>
      <x:c r="X146" s="49"/>
      <x:c r="Y146" s="49"/>
      <x:c r="Z146" s="49"/>
      <x:c r="AA146" s="49"/>
      <x:c r="AB146" s="49"/>
      <x:c r="AC146" s="49"/>
      <x:c r="AD146" s="49"/>
      <x:c r="AE146" s="49"/>
      <x:c r="AF146" s="49"/>
      <x:c r="AG146" s="49"/>
      <x:c r="AH146" s="49"/>
      <x:c r="AI146" s="49"/>
      <x:c r="AJ146" s="49"/>
      <x:c r="AK146" s="49"/>
      <x:c r="AL146" s="49"/>
      <x:c r="AM146" s="49"/>
      <x:c r="AN146" s="49"/>
      <x:c r="AO146" s="49"/>
      <x:c r="AP146" s="49"/>
      <x:c r="AQ146" s="49"/>
      <x:c r="AR146" s="49"/>
      <x:c r="AS146" s="49"/>
      <x:c r="AT146" s="49"/>
      <x:c r="AU146" s="49"/>
      <x:c r="AV146" s="49"/>
      <x:c r="AW146" s="49"/>
      <x:c r="AX146" s="49"/>
      <x:c r="AY146" s="49"/>
      <x:c r="AZ146" s="49"/>
    </x:row>
    <x:row r="147">
      <x:c r="A147" s="49"/>
      <x:c r="B147" s="49"/>
      <x:c r="C147" s="49"/>
      <x:c r="D147" s="49"/>
      <x:c r="E147" s="49"/>
      <x:c r="F147" s="49"/>
      <x:c r="G147" s="49"/>
      <x:c r="H147" s="49"/>
      <x:c r="I147" s="49"/>
      <x:c r="J147" s="49"/>
      <x:c r="K147" s="49"/>
      <x:c r="L147" s="49"/>
      <x:c r="M147" s="49"/>
      <x:c r="N147" s="49"/>
      <x:c r="O147" s="49"/>
      <x:c r="P147" s="49"/>
      <x:c r="Q147" s="49"/>
      <x:c r="R147" s="49"/>
      <x:c r="S147" s="49"/>
      <x:c r="T147" s="49"/>
      <x:c r="U147" s="49"/>
      <x:c r="V147" s="49"/>
      <x:c r="W147" s="49"/>
      <x:c r="X147" s="49"/>
      <x:c r="Y147" s="49"/>
      <x:c r="Z147" s="49"/>
      <x:c r="AA147" s="49"/>
      <x:c r="AB147" s="49"/>
      <x:c r="AC147" s="49"/>
      <x:c r="AD147" s="49"/>
      <x:c r="AE147" s="49"/>
      <x:c r="AF147" s="49"/>
      <x:c r="AG147" s="49"/>
      <x:c r="AH147" s="49"/>
      <x:c r="AI147" s="49"/>
      <x:c r="AJ147" s="49"/>
      <x:c r="AK147" s="49"/>
      <x:c r="AL147" s="49"/>
      <x:c r="AM147" s="49"/>
      <x:c r="AN147" s="49"/>
      <x:c r="AO147" s="49"/>
      <x:c r="AP147" s="49"/>
      <x:c r="AQ147" s="49"/>
      <x:c r="AR147" s="49"/>
      <x:c r="AS147" s="49"/>
      <x:c r="AT147" s="49"/>
      <x:c r="AU147" s="49"/>
      <x:c r="AV147" s="49"/>
      <x:c r="AW147" s="49"/>
      <x:c r="AX147" s="49"/>
      <x:c r="AY147" s="49"/>
      <x:c r="AZ147" s="49"/>
    </x:row>
    <x:row r="148">
      <x:c r="A148" s="49"/>
      <x:c r="B148" s="49"/>
      <x:c r="C148" s="49"/>
      <x:c r="D148" s="49"/>
      <x:c r="E148" s="49"/>
      <x:c r="F148" s="49"/>
      <x:c r="G148" s="49"/>
      <x:c r="H148" s="49"/>
      <x:c r="I148" s="49"/>
      <x:c r="J148" s="49"/>
      <x:c r="K148" s="49"/>
      <x:c r="L148" s="49"/>
      <x:c r="M148" s="49"/>
      <x:c r="N148" s="49"/>
      <x:c r="O148" s="49"/>
      <x:c r="P148" s="49"/>
      <x:c r="Q148" s="49"/>
      <x:c r="R148" s="49"/>
      <x:c r="S148" s="49"/>
      <x:c r="T148" s="49"/>
      <x:c r="U148" s="49"/>
      <x:c r="V148" s="49"/>
      <x:c r="W148" s="49"/>
      <x:c r="X148" s="49"/>
      <x:c r="Y148" s="49"/>
      <x:c r="Z148" s="49"/>
      <x:c r="AA148" s="49"/>
      <x:c r="AB148" s="49"/>
      <x:c r="AC148" s="49"/>
      <x:c r="AD148" s="49"/>
      <x:c r="AE148" s="49"/>
      <x:c r="AF148" s="49"/>
      <x:c r="AG148" s="49"/>
      <x:c r="AH148" s="49"/>
      <x:c r="AI148" s="49"/>
      <x:c r="AJ148" s="49"/>
      <x:c r="AK148" s="49"/>
      <x:c r="AL148" s="49"/>
      <x:c r="AM148" s="49"/>
      <x:c r="AN148" s="49"/>
      <x:c r="AO148" s="49"/>
      <x:c r="AP148" s="49"/>
      <x:c r="AQ148" s="49"/>
      <x:c r="AR148" s="49"/>
      <x:c r="AS148" s="49"/>
      <x:c r="AT148" s="49"/>
      <x:c r="AU148" s="49"/>
      <x:c r="AV148" s="49"/>
      <x:c r="AW148" s="49"/>
      <x:c r="AX148" s="49"/>
      <x:c r="AY148" s="49"/>
      <x:c r="AZ148" s="49"/>
    </x:row>
    <x:row r="149">
      <x:c r="A149" s="49"/>
      <x:c r="B149" s="49"/>
      <x:c r="C149" s="49"/>
      <x:c r="D149" s="49"/>
      <x:c r="E149" s="49"/>
      <x:c r="F149" s="49"/>
      <x:c r="G149" s="49"/>
      <x:c r="H149" s="49"/>
      <x:c r="I149" s="49"/>
      <x:c r="J149" s="49"/>
      <x:c r="K149" s="49"/>
      <x:c r="L149" s="49"/>
      <x:c r="M149" s="49"/>
      <x:c r="N149" s="49"/>
      <x:c r="O149" s="49"/>
      <x:c r="P149" s="49"/>
      <x:c r="Q149" s="49"/>
      <x:c r="R149" s="49"/>
      <x:c r="S149" s="49"/>
      <x:c r="T149" s="49"/>
      <x:c r="U149" s="49"/>
      <x:c r="V149" s="49"/>
      <x:c r="W149" s="49"/>
      <x:c r="X149" s="49"/>
      <x:c r="Y149" s="49"/>
      <x:c r="Z149" s="49"/>
      <x:c r="AA149" s="49"/>
      <x:c r="AB149" s="49"/>
      <x:c r="AC149" s="49"/>
      <x:c r="AD149" s="49"/>
      <x:c r="AE149" s="49"/>
      <x:c r="AF149" s="49"/>
      <x:c r="AG149" s="49"/>
      <x:c r="AH149" s="49"/>
      <x:c r="AI149" s="49"/>
      <x:c r="AJ149" s="49"/>
      <x:c r="AK149" s="49"/>
      <x:c r="AL149" s="49"/>
      <x:c r="AM149" s="49"/>
      <x:c r="AN149" s="49"/>
      <x:c r="AO149" s="49"/>
      <x:c r="AP149" s="49"/>
      <x:c r="AQ149" s="49"/>
      <x:c r="AR149" s="49"/>
      <x:c r="AS149" s="49"/>
      <x:c r="AT149" s="49"/>
      <x:c r="AU149" s="49"/>
      <x:c r="AV149" s="49"/>
      <x:c r="AW149" s="49"/>
      <x:c r="AX149" s="49"/>
      <x:c r="AY149" s="49"/>
      <x:c r="AZ149" s="49"/>
    </x:row>
    <x:row r="150">
      <x:c r="A150" s="49"/>
      <x:c r="B150" s="49"/>
      <x:c r="C150" s="49"/>
      <x:c r="D150" s="49"/>
      <x:c r="E150" s="49"/>
      <x:c r="F150" s="49"/>
      <x:c r="G150" s="49"/>
      <x:c r="H150" s="49"/>
      <x:c r="I150" s="49"/>
      <x:c r="J150" s="49"/>
      <x:c r="K150" s="49"/>
      <x:c r="L150" s="49"/>
      <x:c r="M150" s="49"/>
      <x:c r="N150" s="49"/>
      <x:c r="O150" s="49"/>
      <x:c r="P150" s="49"/>
      <x:c r="Q150" s="49"/>
      <x:c r="R150" s="49"/>
      <x:c r="S150" s="49"/>
      <x:c r="T150" s="49"/>
      <x:c r="U150" s="49"/>
      <x:c r="V150" s="49"/>
      <x:c r="W150" s="49"/>
      <x:c r="X150" s="49"/>
      <x:c r="Y150" s="49"/>
      <x:c r="Z150" s="49"/>
      <x:c r="AA150" s="49"/>
      <x:c r="AB150" s="49"/>
      <x:c r="AC150" s="49"/>
      <x:c r="AD150" s="49"/>
      <x:c r="AE150" s="49"/>
      <x:c r="AF150" s="49"/>
      <x:c r="AG150" s="49"/>
      <x:c r="AH150" s="49"/>
      <x:c r="AI150" s="49"/>
      <x:c r="AJ150" s="49"/>
      <x:c r="AK150" s="49"/>
      <x:c r="AL150" s="49"/>
      <x:c r="AM150" s="49"/>
      <x:c r="AN150" s="49"/>
      <x:c r="AO150" s="49"/>
      <x:c r="AP150" s="49"/>
      <x:c r="AQ150" s="49"/>
      <x:c r="AR150" s="49"/>
      <x:c r="AS150" s="49"/>
      <x:c r="AT150" s="49"/>
      <x:c r="AU150" s="49"/>
      <x:c r="AV150" s="49"/>
      <x:c r="AW150" s="49"/>
      <x:c r="AX150" s="49"/>
      <x:c r="AY150" s="49"/>
      <x:c r="AZ150" s="49"/>
    </x:row>
    <x:row r="151">
      <x:c r="A151" s="49"/>
      <x:c r="B151" s="49"/>
      <x:c r="C151" s="49"/>
      <x:c r="D151" s="49"/>
      <x:c r="E151" s="49"/>
      <x:c r="F151" s="49"/>
      <x:c r="G151" s="49"/>
      <x:c r="H151" s="49"/>
      <x:c r="I151" s="49"/>
      <x:c r="J151" s="49"/>
      <x:c r="K151" s="49"/>
      <x:c r="L151" s="49"/>
      <x:c r="M151" s="49"/>
      <x:c r="N151" s="49"/>
      <x:c r="O151" s="49"/>
      <x:c r="P151" s="49"/>
      <x:c r="Q151" s="49"/>
      <x:c r="R151" s="49"/>
      <x:c r="S151" s="49"/>
      <x:c r="T151" s="49"/>
      <x:c r="U151" s="49"/>
      <x:c r="V151" s="49"/>
      <x:c r="W151" s="49"/>
      <x:c r="X151" s="49"/>
      <x:c r="Y151" s="49"/>
      <x:c r="Z151" s="49"/>
      <x:c r="AA151" s="49"/>
      <x:c r="AB151" s="49"/>
      <x:c r="AC151" s="49"/>
      <x:c r="AD151" s="49"/>
      <x:c r="AE151" s="49"/>
      <x:c r="AF151" s="49"/>
      <x:c r="AG151" s="49"/>
      <x:c r="AH151" s="49"/>
      <x:c r="AI151" s="49"/>
      <x:c r="AJ151" s="49"/>
      <x:c r="AK151" s="49"/>
      <x:c r="AL151" s="49"/>
      <x:c r="AM151" s="49"/>
      <x:c r="AN151" s="49"/>
      <x:c r="AO151" s="49"/>
      <x:c r="AP151" s="49"/>
      <x:c r="AQ151" s="49"/>
      <x:c r="AR151" s="49"/>
      <x:c r="AS151" s="49"/>
      <x:c r="AT151" s="49"/>
      <x:c r="AU151" s="49"/>
      <x:c r="AV151" s="49"/>
      <x:c r="AW151" s="49"/>
      <x:c r="AX151" s="49"/>
      <x:c r="AY151" s="49"/>
      <x:c r="AZ151" s="49"/>
    </x:row>
    <x:row r="152">
      <x:c r="A152" s="49"/>
      <x:c r="B152" s="49"/>
      <x:c r="C152" s="49"/>
      <x:c r="D152" s="49"/>
      <x:c r="E152" s="49"/>
      <x:c r="F152" s="49"/>
      <x:c r="G152" s="49"/>
      <x:c r="H152" s="49"/>
      <x:c r="I152" s="49"/>
      <x:c r="J152" s="49"/>
      <x:c r="K152" s="49"/>
      <x:c r="L152" s="49"/>
      <x:c r="M152" s="49"/>
      <x:c r="N152" s="49"/>
      <x:c r="O152" s="49"/>
      <x:c r="P152" s="49"/>
      <x:c r="Q152" s="49"/>
      <x:c r="R152" s="49"/>
      <x:c r="S152" s="49"/>
      <x:c r="T152" s="49"/>
      <x:c r="U152" s="49"/>
      <x:c r="V152" s="49"/>
      <x:c r="W152" s="49"/>
      <x:c r="X152" s="49"/>
      <x:c r="Y152" s="49"/>
      <x:c r="Z152" s="49"/>
      <x:c r="AA152" s="49"/>
      <x:c r="AB152" s="49"/>
      <x:c r="AC152" s="49"/>
      <x:c r="AD152" s="49"/>
      <x:c r="AE152" s="49"/>
      <x:c r="AF152" s="49"/>
      <x:c r="AG152" s="49"/>
      <x:c r="AH152" s="49"/>
      <x:c r="AI152" s="49"/>
      <x:c r="AJ152" s="49"/>
      <x:c r="AK152" s="49"/>
      <x:c r="AL152" s="49"/>
      <x:c r="AM152" s="49"/>
      <x:c r="AN152" s="49"/>
      <x:c r="AO152" s="49"/>
      <x:c r="AP152" s="49"/>
      <x:c r="AQ152" s="49"/>
      <x:c r="AR152" s="49"/>
      <x:c r="AS152" s="49"/>
      <x:c r="AT152" s="49"/>
      <x:c r="AU152" s="49"/>
      <x:c r="AV152" s="49"/>
      <x:c r="AW152" s="49"/>
      <x:c r="AX152" s="49"/>
      <x:c r="AY152" s="49"/>
      <x:c r="AZ152" s="49"/>
    </x:row>
    <x:row r="153">
      <x:c r="A153" s="49"/>
      <x:c r="B153" s="49"/>
      <x:c r="C153" s="49"/>
      <x:c r="D153" s="49"/>
      <x:c r="E153" s="49"/>
      <x:c r="F153" s="49"/>
      <x:c r="G153" s="49"/>
      <x:c r="H153" s="49"/>
      <x:c r="I153" s="49"/>
      <x:c r="J153" s="49"/>
      <x:c r="K153" s="49"/>
      <x:c r="L153" s="49"/>
      <x:c r="M153" s="49"/>
      <x:c r="N153" s="49"/>
      <x:c r="O153" s="49"/>
      <x:c r="P153" s="49"/>
      <x:c r="Q153" s="49"/>
      <x:c r="R153" s="49"/>
      <x:c r="S153" s="49"/>
      <x:c r="T153" s="49"/>
      <x:c r="U153" s="49"/>
      <x:c r="V153" s="49"/>
      <x:c r="W153" s="49"/>
      <x:c r="X153" s="49"/>
      <x:c r="Y153" s="49"/>
      <x:c r="Z153" s="49"/>
      <x:c r="AA153" s="49"/>
      <x:c r="AB153" s="49"/>
      <x:c r="AC153" s="49"/>
      <x:c r="AD153" s="49"/>
      <x:c r="AE153" s="49"/>
      <x:c r="AF153" s="49"/>
      <x:c r="AG153" s="49"/>
      <x:c r="AH153" s="49"/>
      <x:c r="AI153" s="49"/>
      <x:c r="AJ153" s="49"/>
      <x:c r="AK153" s="49"/>
      <x:c r="AL153" s="49"/>
      <x:c r="AM153" s="49"/>
      <x:c r="AN153" s="49"/>
      <x:c r="AO153" s="49"/>
      <x:c r="AP153" s="49"/>
      <x:c r="AQ153" s="49"/>
      <x:c r="AR153" s="49"/>
      <x:c r="AS153" s="49"/>
      <x:c r="AT153" s="49"/>
      <x:c r="AU153" s="49"/>
      <x:c r="AV153" s="49"/>
      <x:c r="AW153" s="49"/>
      <x:c r="AX153" s="49"/>
      <x:c r="AY153" s="49"/>
      <x:c r="AZ153" s="49"/>
    </x:row>
    <x:row r="154">
      <x:c r="A154" s="49"/>
      <x:c r="B154" s="49"/>
      <x:c r="C154" s="49"/>
      <x:c r="D154" s="49"/>
      <x:c r="E154" s="49"/>
      <x:c r="F154" s="49"/>
      <x:c r="G154" s="49"/>
      <x:c r="H154" s="49"/>
      <x:c r="I154" s="49"/>
      <x:c r="J154" s="49"/>
      <x:c r="K154" s="49"/>
      <x:c r="L154" s="49"/>
      <x:c r="M154" s="49"/>
      <x:c r="N154" s="49"/>
      <x:c r="O154" s="49"/>
      <x:c r="P154" s="49"/>
      <x:c r="Q154" s="49"/>
      <x:c r="R154" s="49"/>
      <x:c r="S154" s="49"/>
      <x:c r="T154" s="49"/>
      <x:c r="U154" s="49"/>
      <x:c r="V154" s="49"/>
      <x:c r="W154" s="49"/>
      <x:c r="X154" s="49"/>
      <x:c r="Y154" s="49"/>
      <x:c r="Z154" s="49"/>
      <x:c r="AA154" s="49"/>
      <x:c r="AB154" s="49"/>
      <x:c r="AC154" s="49"/>
      <x:c r="AD154" s="49"/>
      <x:c r="AE154" s="49"/>
      <x:c r="AF154" s="49"/>
      <x:c r="AG154" s="49"/>
      <x:c r="AH154" s="49"/>
      <x:c r="AI154" s="49"/>
      <x:c r="AJ154" s="49"/>
      <x:c r="AK154" s="49"/>
      <x:c r="AL154" s="49"/>
      <x:c r="AM154" s="49"/>
      <x:c r="AN154" s="49"/>
      <x:c r="AO154" s="49"/>
      <x:c r="AP154" s="49"/>
      <x:c r="AQ154" s="49"/>
      <x:c r="AR154" s="49"/>
      <x:c r="AS154" s="49"/>
      <x:c r="AT154" s="49"/>
      <x:c r="AU154" s="49"/>
      <x:c r="AV154" s="49"/>
      <x:c r="AW154" s="49"/>
      <x:c r="AX154" s="49"/>
      <x:c r="AY154" s="49"/>
      <x:c r="AZ154" s="49"/>
    </x:row>
    <x:row r="155">
      <x:c r="A155" s="49"/>
      <x:c r="B155" s="49"/>
      <x:c r="C155" s="49"/>
      <x:c r="D155" s="49"/>
      <x:c r="E155" s="49"/>
      <x:c r="F155" s="49"/>
      <x:c r="G155" s="49"/>
      <x:c r="H155" s="49"/>
      <x:c r="I155" s="49"/>
      <x:c r="J155" s="49"/>
      <x:c r="K155" s="49"/>
      <x:c r="L155" s="49"/>
      <x:c r="M155" s="49"/>
      <x:c r="N155" s="49"/>
      <x:c r="O155" s="49"/>
      <x:c r="P155" s="49"/>
      <x:c r="Q155" s="49"/>
      <x:c r="R155" s="49"/>
      <x:c r="S155" s="49"/>
      <x:c r="T155" s="49"/>
      <x:c r="U155" s="49"/>
      <x:c r="V155" s="49"/>
      <x:c r="W155" s="49"/>
      <x:c r="X155" s="49"/>
      <x:c r="Y155" s="49"/>
      <x:c r="Z155" s="49"/>
      <x:c r="AA155" s="49"/>
      <x:c r="AB155" s="49"/>
      <x:c r="AC155" s="49"/>
      <x:c r="AD155" s="49"/>
      <x:c r="AE155" s="49"/>
      <x:c r="AF155" s="49"/>
      <x:c r="AG155" s="49"/>
      <x:c r="AH155" s="49"/>
      <x:c r="AI155" s="49"/>
      <x:c r="AJ155" s="49"/>
      <x:c r="AK155" s="49"/>
      <x:c r="AL155" s="49"/>
      <x:c r="AM155" s="49"/>
      <x:c r="AN155" s="49"/>
      <x:c r="AO155" s="49"/>
      <x:c r="AP155" s="49"/>
      <x:c r="AQ155" s="49"/>
      <x:c r="AR155" s="49"/>
      <x:c r="AS155" s="49"/>
      <x:c r="AT155" s="49"/>
      <x:c r="AU155" s="49"/>
      <x:c r="AV155" s="49"/>
      <x:c r="AW155" s="49"/>
      <x:c r="AX155" s="49"/>
      <x:c r="AY155" s="49"/>
      <x:c r="AZ155" s="49"/>
    </x:row>
    <x:row r="156">
      <x:c r="A156" s="49"/>
      <x:c r="B156" s="49"/>
      <x:c r="C156" s="49"/>
      <x:c r="D156" s="49"/>
      <x:c r="E156" s="49"/>
      <x:c r="F156" s="49"/>
      <x:c r="G156" s="49"/>
      <x:c r="H156" s="49"/>
      <x:c r="I156" s="49"/>
      <x:c r="J156" s="49"/>
      <x:c r="K156" s="49"/>
      <x:c r="L156" s="49"/>
      <x:c r="M156" s="49"/>
      <x:c r="N156" s="49"/>
      <x:c r="O156" s="49"/>
      <x:c r="P156" s="49"/>
      <x:c r="Q156" s="49"/>
      <x:c r="R156" s="49"/>
      <x:c r="S156" s="49"/>
      <x:c r="T156" s="49"/>
      <x:c r="U156" s="49"/>
      <x:c r="V156" s="49"/>
      <x:c r="W156" s="49"/>
      <x:c r="X156" s="49"/>
      <x:c r="Y156" s="49"/>
      <x:c r="Z156" s="49"/>
      <x:c r="AA156" s="49"/>
      <x:c r="AB156" s="49"/>
      <x:c r="AC156" s="49"/>
      <x:c r="AD156" s="49"/>
      <x:c r="AE156" s="49"/>
      <x:c r="AF156" s="49"/>
      <x:c r="AG156" s="49"/>
      <x:c r="AH156" s="49"/>
      <x:c r="AI156" s="49"/>
      <x:c r="AJ156" s="49"/>
      <x:c r="AK156" s="49"/>
      <x:c r="AL156" s="49"/>
      <x:c r="AM156" s="49"/>
      <x:c r="AN156" s="49"/>
      <x:c r="AO156" s="49"/>
      <x:c r="AP156" s="49"/>
      <x:c r="AQ156" s="49"/>
      <x:c r="AR156" s="49"/>
      <x:c r="AS156" s="49"/>
      <x:c r="AT156" s="49"/>
      <x:c r="AU156" s="49"/>
      <x:c r="AV156" s="49"/>
      <x:c r="AW156" s="49"/>
      <x:c r="AX156" s="49"/>
      <x:c r="AY156" s="49"/>
      <x:c r="AZ156" s="49"/>
    </x:row>
    <x:row r="157">
      <x:c r="A157" s="49"/>
      <x:c r="B157" s="49"/>
      <x:c r="C157" s="49"/>
      <x:c r="D157" s="49"/>
      <x:c r="E157" s="49"/>
      <x:c r="F157" s="49"/>
      <x:c r="G157" s="49"/>
      <x:c r="H157" s="49"/>
      <x:c r="I157" s="49"/>
      <x:c r="J157" s="49"/>
      <x:c r="K157" s="49"/>
      <x:c r="L157" s="49"/>
      <x:c r="M157" s="49"/>
      <x:c r="N157" s="49"/>
      <x:c r="O157" s="49"/>
      <x:c r="P157" s="49"/>
      <x:c r="Q157" s="49"/>
      <x:c r="R157" s="49"/>
      <x:c r="S157" s="49"/>
      <x:c r="T157" s="49"/>
      <x:c r="U157" s="49"/>
      <x:c r="V157" s="49"/>
      <x:c r="W157" s="49"/>
      <x:c r="X157" s="49"/>
      <x:c r="Y157" s="49"/>
      <x:c r="Z157" s="49"/>
      <x:c r="AA157" s="49"/>
      <x:c r="AB157" s="49"/>
      <x:c r="AC157" s="49"/>
      <x:c r="AD157" s="49"/>
      <x:c r="AE157" s="49"/>
      <x:c r="AF157" s="49"/>
      <x:c r="AG157" s="49"/>
      <x:c r="AH157" s="49"/>
      <x:c r="AI157" s="49"/>
      <x:c r="AJ157" s="49"/>
      <x:c r="AK157" s="49"/>
      <x:c r="AL157" s="49"/>
      <x:c r="AM157" s="49"/>
      <x:c r="AN157" s="49"/>
      <x:c r="AO157" s="49"/>
      <x:c r="AP157" s="49"/>
      <x:c r="AQ157" s="49"/>
      <x:c r="AR157" s="49"/>
      <x:c r="AS157" s="49"/>
      <x:c r="AT157" s="49"/>
      <x:c r="AU157" s="49"/>
      <x:c r="AV157" s="49"/>
      <x:c r="AW157" s="49"/>
      <x:c r="AX157" s="49"/>
      <x:c r="AY157" s="49"/>
      <x:c r="AZ157" s="49"/>
    </x:row>
    <x:row r="158">
      <x:c r="A158" s="49"/>
      <x:c r="B158" s="49"/>
      <x:c r="C158" s="49"/>
      <x:c r="D158" s="49"/>
      <x:c r="E158" s="49"/>
      <x:c r="F158" s="49"/>
      <x:c r="G158" s="49"/>
      <x:c r="H158" s="49"/>
      <x:c r="I158" s="49"/>
      <x:c r="J158" s="49"/>
      <x:c r="K158" s="49"/>
      <x:c r="L158" s="49"/>
      <x:c r="M158" s="49"/>
      <x:c r="N158" s="49"/>
      <x:c r="O158" s="49"/>
      <x:c r="P158" s="49"/>
      <x:c r="Q158" s="49"/>
      <x:c r="R158" s="49"/>
      <x:c r="S158" s="49"/>
      <x:c r="T158" s="49"/>
      <x:c r="U158" s="49"/>
      <x:c r="V158" s="49"/>
      <x:c r="W158" s="49"/>
      <x:c r="X158" s="49"/>
      <x:c r="Y158" s="49"/>
      <x:c r="Z158" s="49"/>
      <x:c r="AA158" s="49"/>
      <x:c r="AB158" s="49"/>
      <x:c r="AC158" s="49"/>
      <x:c r="AD158" s="49"/>
      <x:c r="AE158" s="49"/>
      <x:c r="AF158" s="49"/>
      <x:c r="AG158" s="49"/>
      <x:c r="AH158" s="49"/>
      <x:c r="AI158" s="49"/>
      <x:c r="AJ158" s="49"/>
      <x:c r="AK158" s="49"/>
      <x:c r="AL158" s="49"/>
      <x:c r="AM158" s="49"/>
      <x:c r="AN158" s="49"/>
      <x:c r="AO158" s="49"/>
      <x:c r="AP158" s="49"/>
      <x:c r="AQ158" s="49"/>
      <x:c r="AR158" s="49"/>
      <x:c r="AS158" s="49"/>
      <x:c r="AT158" s="49"/>
      <x:c r="AU158" s="49"/>
      <x:c r="AV158" s="49"/>
      <x:c r="AW158" s="49"/>
      <x:c r="AX158" s="49"/>
      <x:c r="AY158" s="49"/>
      <x:c r="AZ158" s="49"/>
    </x:row>
    <x:row r="159">
      <x:c r="A159" s="49"/>
      <x:c r="B159" s="49"/>
      <x:c r="C159" s="49"/>
      <x:c r="D159" s="49"/>
      <x:c r="E159" s="49"/>
      <x:c r="F159" s="49"/>
      <x:c r="G159" s="49"/>
      <x:c r="H159" s="49"/>
      <x:c r="I159" s="49"/>
      <x:c r="J159" s="49"/>
      <x:c r="K159" s="49"/>
      <x:c r="L159" s="49"/>
      <x:c r="M159" s="49"/>
      <x:c r="N159" s="49"/>
      <x:c r="O159" s="49"/>
      <x:c r="P159" s="49"/>
      <x:c r="Q159" s="49"/>
      <x:c r="R159" s="49"/>
      <x:c r="S159" s="49"/>
      <x:c r="T159" s="49"/>
      <x:c r="U159" s="49"/>
      <x:c r="V159" s="49"/>
      <x:c r="W159" s="49"/>
      <x:c r="X159" s="49"/>
      <x:c r="Y159" s="49"/>
      <x:c r="Z159" s="49"/>
      <x:c r="AA159" s="49"/>
      <x:c r="AB159" s="49"/>
      <x:c r="AC159" s="49"/>
      <x:c r="AD159" s="49"/>
      <x:c r="AE159" s="49"/>
      <x:c r="AF159" s="49"/>
      <x:c r="AG159" s="49"/>
      <x:c r="AH159" s="49"/>
      <x:c r="AI159" s="49"/>
      <x:c r="AJ159" s="49"/>
      <x:c r="AK159" s="49"/>
      <x:c r="AL159" s="49"/>
      <x:c r="AM159" s="49"/>
      <x:c r="AN159" s="49"/>
      <x:c r="AO159" s="49"/>
      <x:c r="AP159" s="49"/>
      <x:c r="AQ159" s="49"/>
      <x:c r="AR159" s="49"/>
      <x:c r="AS159" s="49"/>
      <x:c r="AT159" s="49"/>
      <x:c r="AU159" s="49"/>
      <x:c r="AV159" s="49"/>
      <x:c r="AW159" s="49"/>
      <x:c r="AX159" s="49"/>
      <x:c r="AY159" s="49"/>
      <x:c r="AZ159" s="49"/>
    </x:row>
    <x:row r="160">
      <x:c r="A160" s="49"/>
      <x:c r="B160" s="49"/>
      <x:c r="C160" s="49"/>
      <x:c r="D160" s="49"/>
      <x:c r="E160" s="49"/>
      <x:c r="F160" s="49"/>
      <x:c r="G160" s="49"/>
      <x:c r="H160" s="49"/>
      <x:c r="I160" s="49"/>
      <x:c r="J160" s="49"/>
      <x:c r="K160" s="49"/>
      <x:c r="L160" s="49"/>
      <x:c r="M160" s="49"/>
      <x:c r="N160" s="49"/>
      <x:c r="O160" s="49"/>
      <x:c r="P160" s="49"/>
      <x:c r="Q160" s="49"/>
      <x:c r="R160" s="49"/>
      <x:c r="S160" s="49"/>
      <x:c r="T160" s="49"/>
      <x:c r="U160" s="49"/>
      <x:c r="V160" s="49"/>
      <x:c r="W160" s="49"/>
      <x:c r="X160" s="49"/>
      <x:c r="Y160" s="49"/>
      <x:c r="Z160" s="49"/>
      <x:c r="AA160" s="49"/>
      <x:c r="AB160" s="49"/>
      <x:c r="AC160" s="49"/>
      <x:c r="AD160" s="49"/>
      <x:c r="AE160" s="49"/>
      <x:c r="AF160" s="49"/>
      <x:c r="AG160" s="49"/>
      <x:c r="AH160" s="49"/>
      <x:c r="AI160" s="49"/>
      <x:c r="AJ160" s="49"/>
      <x:c r="AK160" s="49"/>
      <x:c r="AL160" s="49"/>
      <x:c r="AM160" s="49"/>
      <x:c r="AN160" s="49"/>
      <x:c r="AO160" s="49"/>
      <x:c r="AP160" s="49"/>
      <x:c r="AQ160" s="49"/>
      <x:c r="AR160" s="49"/>
      <x:c r="AS160" s="49"/>
      <x:c r="AT160" s="49"/>
      <x:c r="AU160" s="49"/>
      <x:c r="AV160" s="49"/>
      <x:c r="AW160" s="49"/>
      <x:c r="AX160" s="49"/>
      <x:c r="AY160" s="49"/>
      <x:c r="AZ160" s="49"/>
    </x:row>
    <x:row r="161">
      <x:c r="A161" s="49"/>
      <x:c r="B161" s="49"/>
      <x:c r="C161" s="49"/>
      <x:c r="D161" s="49"/>
      <x:c r="E161" s="49"/>
      <x:c r="F161" s="49"/>
      <x:c r="G161" s="49"/>
      <x:c r="H161" s="49"/>
      <x:c r="I161" s="49"/>
      <x:c r="J161" s="49"/>
      <x:c r="K161" s="49"/>
      <x:c r="L161" s="49"/>
      <x:c r="M161" s="49"/>
      <x:c r="N161" s="49"/>
      <x:c r="O161" s="49"/>
      <x:c r="P161" s="49"/>
      <x:c r="Q161" s="49"/>
      <x:c r="R161" s="49"/>
      <x:c r="S161" s="49"/>
      <x:c r="T161" s="49"/>
      <x:c r="U161" s="49"/>
      <x:c r="V161" s="49"/>
      <x:c r="W161" s="49"/>
      <x:c r="X161" s="49"/>
      <x:c r="Y161" s="49"/>
      <x:c r="Z161" s="49"/>
      <x:c r="AA161" s="49"/>
      <x:c r="AB161" s="49"/>
      <x:c r="AC161" s="49"/>
      <x:c r="AD161" s="49"/>
      <x:c r="AE161" s="49"/>
      <x:c r="AF161" s="49"/>
      <x:c r="AG161" s="49"/>
      <x:c r="AH161" s="49"/>
      <x:c r="AI161" s="49"/>
      <x:c r="AJ161" s="49"/>
      <x:c r="AK161" s="49"/>
      <x:c r="AL161" s="49"/>
      <x:c r="AM161" s="49"/>
      <x:c r="AN161" s="49"/>
      <x:c r="AO161" s="49"/>
      <x:c r="AP161" s="49"/>
      <x:c r="AQ161" s="49"/>
      <x:c r="AR161" s="49"/>
      <x:c r="AS161" s="49"/>
      <x:c r="AT161" s="49"/>
      <x:c r="AU161" s="49"/>
      <x:c r="AV161" s="49"/>
      <x:c r="AW161" s="49"/>
      <x:c r="AX161" s="49"/>
      <x:c r="AY161" s="49"/>
      <x:c r="AZ161" s="49"/>
    </x:row>
    <x:row r="162">
      <x:c r="A162" s="49"/>
      <x:c r="B162" s="49"/>
      <x:c r="C162" s="49"/>
      <x:c r="D162" s="49"/>
      <x:c r="E162" s="49"/>
      <x:c r="F162" s="49"/>
      <x:c r="G162" s="49"/>
      <x:c r="H162" s="49"/>
      <x:c r="I162" s="49"/>
      <x:c r="J162" s="49"/>
      <x:c r="K162" s="49"/>
      <x:c r="L162" s="49"/>
      <x:c r="M162" s="49"/>
      <x:c r="N162" s="49"/>
      <x:c r="O162" s="49"/>
      <x:c r="P162" s="49"/>
      <x:c r="Q162" s="49"/>
      <x:c r="R162" s="49"/>
      <x:c r="S162" s="49"/>
      <x:c r="T162" s="49"/>
      <x:c r="U162" s="49"/>
      <x:c r="V162" s="49"/>
      <x:c r="W162" s="49"/>
      <x:c r="X162" s="49"/>
      <x:c r="Y162" s="49"/>
      <x:c r="Z162" s="49"/>
      <x:c r="AA162" s="49"/>
      <x:c r="AB162" s="49"/>
      <x:c r="AC162" s="49"/>
      <x:c r="AD162" s="49"/>
      <x:c r="AE162" s="49"/>
      <x:c r="AF162" s="49"/>
      <x:c r="AG162" s="49"/>
      <x:c r="AH162" s="49"/>
      <x:c r="AI162" s="49"/>
      <x:c r="AJ162" s="49"/>
      <x:c r="AK162" s="49"/>
      <x:c r="AL162" s="49"/>
      <x:c r="AM162" s="49"/>
      <x:c r="AN162" s="49"/>
      <x:c r="AO162" s="49"/>
      <x:c r="AP162" s="49"/>
      <x:c r="AQ162" s="49"/>
      <x:c r="AR162" s="49"/>
      <x:c r="AS162" s="49"/>
      <x:c r="AT162" s="49"/>
      <x:c r="AU162" s="49"/>
      <x:c r="AV162" s="49"/>
      <x:c r="AW162" s="49"/>
      <x:c r="AX162" s="49"/>
      <x:c r="AY162" s="49"/>
      <x:c r="AZ162" s="49"/>
    </x:row>
    <x:row r="163">
      <x:c r="A163" s="49"/>
      <x:c r="B163" s="49"/>
      <x:c r="C163" s="49"/>
      <x:c r="D163" s="49"/>
      <x:c r="E163" s="49"/>
      <x:c r="F163" s="49"/>
      <x:c r="G163" s="49"/>
      <x:c r="H163" s="49"/>
      <x:c r="I163" s="49"/>
      <x:c r="J163" s="49"/>
      <x:c r="K163" s="49"/>
      <x:c r="L163" s="49"/>
      <x:c r="M163" s="49"/>
      <x:c r="N163" s="49"/>
      <x:c r="O163" s="49"/>
      <x:c r="P163" s="49"/>
      <x:c r="Q163" s="49"/>
      <x:c r="R163" s="49"/>
      <x:c r="S163" s="49"/>
      <x:c r="T163" s="49"/>
      <x:c r="U163" s="49"/>
      <x:c r="V163" s="49"/>
      <x:c r="W163" s="49"/>
      <x:c r="X163" s="49"/>
      <x:c r="Y163" s="49"/>
      <x:c r="Z163" s="49"/>
      <x:c r="AA163" s="49"/>
      <x:c r="AB163" s="49"/>
      <x:c r="AC163" s="49"/>
      <x:c r="AD163" s="49"/>
      <x:c r="AE163" s="49"/>
      <x:c r="AF163" s="49"/>
      <x:c r="AG163" s="49"/>
      <x:c r="AH163" s="49"/>
      <x:c r="AI163" s="49"/>
      <x:c r="AJ163" s="49"/>
      <x:c r="AK163" s="49"/>
      <x:c r="AL163" s="49"/>
      <x:c r="AM163" s="49"/>
      <x:c r="AN163" s="49"/>
      <x:c r="AO163" s="49"/>
      <x:c r="AP163" s="49"/>
      <x:c r="AQ163" s="49"/>
      <x:c r="AR163" s="49"/>
      <x:c r="AS163" s="49"/>
      <x:c r="AT163" s="49"/>
      <x:c r="AU163" s="49"/>
      <x:c r="AV163" s="49"/>
      <x:c r="AW163" s="49"/>
      <x:c r="AX163" s="49"/>
      <x:c r="AY163" s="49"/>
      <x:c r="AZ163" s="49"/>
    </x:row>
    <x:row r="164">
      <x:c r="A164" s="49"/>
      <x:c r="B164" s="49"/>
      <x:c r="C164" s="49"/>
      <x:c r="D164" s="49"/>
      <x:c r="E164" s="49"/>
      <x:c r="F164" s="49"/>
      <x:c r="G164" s="49"/>
      <x:c r="H164" s="49"/>
      <x:c r="I164" s="49"/>
      <x:c r="J164" s="49"/>
      <x:c r="K164" s="49"/>
      <x:c r="L164" s="49"/>
      <x:c r="M164" s="49"/>
      <x:c r="N164" s="49"/>
      <x:c r="O164" s="49"/>
      <x:c r="P164" s="49"/>
      <x:c r="Q164" s="49"/>
      <x:c r="R164" s="49"/>
      <x:c r="S164" s="49"/>
      <x:c r="T164" s="49"/>
      <x:c r="U164" s="49"/>
      <x:c r="V164" s="49"/>
      <x:c r="W164" s="49"/>
      <x:c r="X164" s="49"/>
      <x:c r="Y164" s="49"/>
      <x:c r="Z164" s="49"/>
      <x:c r="AA164" s="49"/>
      <x:c r="AB164" s="49"/>
      <x:c r="AC164" s="49"/>
      <x:c r="AD164" s="49"/>
      <x:c r="AE164" s="49"/>
      <x:c r="AF164" s="49"/>
      <x:c r="AG164" s="49"/>
      <x:c r="AH164" s="49"/>
      <x:c r="AI164" s="49"/>
      <x:c r="AJ164" s="49"/>
      <x:c r="AK164" s="49"/>
      <x:c r="AL164" s="49"/>
      <x:c r="AM164" s="49"/>
      <x:c r="AN164" s="49"/>
      <x:c r="AO164" s="49"/>
      <x:c r="AP164" s="49"/>
      <x:c r="AQ164" s="49"/>
      <x:c r="AR164" s="49"/>
      <x:c r="AS164" s="49"/>
      <x:c r="AT164" s="49"/>
      <x:c r="AU164" s="49"/>
      <x:c r="AV164" s="49"/>
      <x:c r="AW164" s="49"/>
      <x:c r="AX164" s="49"/>
      <x:c r="AY164" s="49"/>
      <x:c r="AZ164" s="49"/>
    </x:row>
    <x:row r="165">
      <x:c r="A165" s="49"/>
      <x:c r="B165" s="49"/>
      <x:c r="C165" s="49"/>
      <x:c r="D165" s="49"/>
      <x:c r="E165" s="49"/>
      <x:c r="F165" s="49"/>
      <x:c r="G165" s="49"/>
      <x:c r="H165" s="49"/>
      <x:c r="I165" s="49"/>
      <x:c r="J165" s="49"/>
      <x:c r="K165" s="49"/>
      <x:c r="L165" s="49"/>
      <x:c r="M165" s="49"/>
      <x:c r="N165" s="49"/>
      <x:c r="O165" s="49"/>
      <x:c r="P165" s="49"/>
      <x:c r="Q165" s="49"/>
      <x:c r="R165" s="49"/>
      <x:c r="S165" s="49"/>
      <x:c r="T165" s="49"/>
      <x:c r="U165" s="49"/>
      <x:c r="V165" s="49"/>
      <x:c r="W165" s="49"/>
      <x:c r="X165" s="49"/>
      <x:c r="Y165" s="49"/>
      <x:c r="Z165" s="49"/>
      <x:c r="AA165" s="49"/>
      <x:c r="AB165" s="49"/>
      <x:c r="AC165" s="49"/>
      <x:c r="AD165" s="49"/>
      <x:c r="AE165" s="49"/>
      <x:c r="AF165" s="49"/>
      <x:c r="AG165" s="49"/>
      <x:c r="AH165" s="49"/>
      <x:c r="AI165" s="49"/>
      <x:c r="AJ165" s="49"/>
      <x:c r="AK165" s="49"/>
      <x:c r="AL165" s="49"/>
      <x:c r="AM165" s="49"/>
      <x:c r="AN165" s="49"/>
      <x:c r="AO165" s="49"/>
      <x:c r="AP165" s="49"/>
      <x:c r="AQ165" s="49"/>
      <x:c r="AR165" s="49"/>
      <x:c r="AS165" s="49"/>
      <x:c r="AT165" s="49"/>
      <x:c r="AU165" s="49"/>
      <x:c r="AV165" s="49"/>
      <x:c r="AW165" s="49"/>
      <x:c r="AX165" s="49"/>
      <x:c r="AY165" s="49"/>
      <x:c r="AZ165" s="49"/>
    </x:row>
    <x:row r="166">
      <x:c r="A166" s="49"/>
      <x:c r="B166" s="49"/>
      <x:c r="C166" s="49"/>
      <x:c r="D166" s="49"/>
      <x:c r="E166" s="49"/>
      <x:c r="F166" s="49"/>
      <x:c r="G166" s="49"/>
      <x:c r="H166" s="49"/>
      <x:c r="I166" s="49"/>
      <x:c r="J166" s="49"/>
      <x:c r="K166" s="49"/>
      <x:c r="L166" s="49"/>
      <x:c r="M166" s="49"/>
      <x:c r="N166" s="49"/>
      <x:c r="O166" s="49"/>
      <x:c r="P166" s="49"/>
      <x:c r="Q166" s="49"/>
      <x:c r="R166" s="49"/>
      <x:c r="S166" s="49"/>
      <x:c r="T166" s="49"/>
      <x:c r="U166" s="49"/>
      <x:c r="V166" s="49"/>
      <x:c r="W166" s="49"/>
      <x:c r="X166" s="49"/>
      <x:c r="Y166" s="49"/>
      <x:c r="Z166" s="49"/>
      <x:c r="AA166" s="49"/>
      <x:c r="AB166" s="49"/>
      <x:c r="AC166" s="49"/>
      <x:c r="AD166" s="49"/>
      <x:c r="AE166" s="49"/>
      <x:c r="AF166" s="49"/>
      <x:c r="AG166" s="49"/>
      <x:c r="AH166" s="49"/>
      <x:c r="AI166" s="49"/>
      <x:c r="AJ166" s="49"/>
      <x:c r="AK166" s="49"/>
      <x:c r="AL166" s="49"/>
      <x:c r="AM166" s="49"/>
      <x:c r="AN166" s="49"/>
      <x:c r="AO166" s="49"/>
      <x:c r="AP166" s="49"/>
      <x:c r="AQ166" s="49"/>
      <x:c r="AR166" s="49"/>
      <x:c r="AS166" s="49"/>
      <x:c r="AT166" s="49"/>
      <x:c r="AU166" s="49"/>
      <x:c r="AV166" s="49"/>
      <x:c r="AW166" s="49"/>
      <x:c r="AX166" s="49"/>
      <x:c r="AY166" s="49"/>
      <x:c r="AZ166" s="49"/>
    </x:row>
    <x:row r="167">
      <x:c r="A167" s="49"/>
      <x:c r="B167" s="49"/>
      <x:c r="C167" s="49"/>
      <x:c r="D167" s="49"/>
      <x:c r="E167" s="49"/>
      <x:c r="F167" s="49"/>
      <x:c r="G167" s="49"/>
      <x:c r="H167" s="49"/>
      <x:c r="I167" s="49"/>
      <x:c r="J167" s="49"/>
      <x:c r="K167" s="49"/>
      <x:c r="L167" s="49"/>
      <x:c r="M167" s="49"/>
      <x:c r="N167" s="49"/>
      <x:c r="O167" s="49"/>
      <x:c r="P167" s="49"/>
      <x:c r="Q167" s="49"/>
      <x:c r="R167" s="49"/>
      <x:c r="S167" s="49"/>
      <x:c r="T167" s="49"/>
      <x:c r="U167" s="49"/>
      <x:c r="V167" s="49"/>
      <x:c r="W167" s="49"/>
      <x:c r="X167" s="49"/>
      <x:c r="Y167" s="49"/>
      <x:c r="Z167" s="49"/>
      <x:c r="AA167" s="49"/>
      <x:c r="AB167" s="49"/>
      <x:c r="AC167" s="49"/>
      <x:c r="AD167" s="49"/>
      <x:c r="AE167" s="49"/>
      <x:c r="AF167" s="49"/>
      <x:c r="AG167" s="49"/>
      <x:c r="AH167" s="49"/>
      <x:c r="AI167" s="49"/>
      <x:c r="AJ167" s="49"/>
      <x:c r="AK167" s="49"/>
      <x:c r="AL167" s="49"/>
      <x:c r="AM167" s="49"/>
      <x:c r="AN167" s="49"/>
      <x:c r="AO167" s="49"/>
      <x:c r="AP167" s="49"/>
      <x:c r="AQ167" s="49"/>
      <x:c r="AR167" s="49"/>
      <x:c r="AS167" s="49"/>
      <x:c r="AT167" s="49"/>
      <x:c r="AU167" s="49"/>
      <x:c r="AV167" s="49"/>
      <x:c r="AW167" s="49"/>
      <x:c r="AX167" s="49"/>
      <x:c r="AY167" s="49"/>
      <x:c r="AZ167" s="49"/>
    </x:row>
    <x:row r="168">
      <x:c r="A168" s="49"/>
      <x:c r="B168" s="49"/>
      <x:c r="C168" s="49"/>
      <x:c r="D168" s="49"/>
      <x:c r="E168" s="49"/>
      <x:c r="F168" s="49"/>
      <x:c r="G168" s="49"/>
      <x:c r="H168" s="49"/>
      <x:c r="I168" s="49"/>
      <x:c r="J168" s="49"/>
      <x:c r="K168" s="49"/>
      <x:c r="L168" s="49"/>
      <x:c r="M168" s="49"/>
      <x:c r="N168" s="49"/>
      <x:c r="O168" s="49"/>
      <x:c r="P168" s="49"/>
      <x:c r="Q168" s="49"/>
      <x:c r="R168" s="49"/>
      <x:c r="S168" s="49"/>
      <x:c r="T168" s="49"/>
      <x:c r="U168" s="49"/>
      <x:c r="V168" s="49"/>
      <x:c r="W168" s="49"/>
      <x:c r="X168" s="49"/>
      <x:c r="Y168" s="49"/>
      <x:c r="Z168" s="49"/>
      <x:c r="AA168" s="49"/>
      <x:c r="AB168" s="49"/>
      <x:c r="AC168" s="49"/>
      <x:c r="AD168" s="49"/>
      <x:c r="AE168" s="49"/>
      <x:c r="AF168" s="49"/>
      <x:c r="AG168" s="49"/>
      <x:c r="AH168" s="49"/>
      <x:c r="AI168" s="49"/>
      <x:c r="AJ168" s="49"/>
      <x:c r="AK168" s="49"/>
      <x:c r="AL168" s="49"/>
      <x:c r="AM168" s="49"/>
      <x:c r="AN168" s="49"/>
      <x:c r="AO168" s="49"/>
      <x:c r="AP168" s="49"/>
      <x:c r="AQ168" s="49"/>
      <x:c r="AR168" s="49"/>
      <x:c r="AS168" s="49"/>
      <x:c r="AT168" s="49"/>
      <x:c r="AU168" s="49"/>
      <x:c r="AV168" s="49"/>
      <x:c r="AW168" s="49"/>
      <x:c r="AX168" s="49"/>
      <x:c r="AY168" s="49"/>
      <x:c r="AZ168" s="49"/>
    </x:row>
    <x:row r="169">
      <x:c r="A169" s="49"/>
      <x:c r="B169" s="49"/>
      <x:c r="C169" s="49"/>
      <x:c r="D169" s="49"/>
      <x:c r="E169" s="49"/>
      <x:c r="F169" s="49"/>
      <x:c r="G169" s="49"/>
      <x:c r="H169" s="49"/>
      <x:c r="I169" s="49"/>
      <x:c r="J169" s="49"/>
      <x:c r="K169" s="49"/>
      <x:c r="L169" s="49"/>
      <x:c r="M169" s="49"/>
      <x:c r="N169" s="49"/>
      <x:c r="O169" s="49"/>
      <x:c r="P169" s="49"/>
      <x:c r="Q169" s="49"/>
      <x:c r="R169" s="49"/>
      <x:c r="S169" s="49"/>
      <x:c r="T169" s="49"/>
      <x:c r="U169" s="49"/>
      <x:c r="V169" s="49"/>
      <x:c r="W169" s="49"/>
      <x:c r="X169" s="49"/>
      <x:c r="Y169" s="49"/>
      <x:c r="Z169" s="49"/>
      <x:c r="AA169" s="49"/>
      <x:c r="AB169" s="49"/>
      <x:c r="AC169" s="49"/>
      <x:c r="AD169" s="49"/>
      <x:c r="AE169" s="49"/>
      <x:c r="AF169" s="49"/>
      <x:c r="AG169" s="49"/>
      <x:c r="AH169" s="49"/>
      <x:c r="AI169" s="49"/>
      <x:c r="AJ169" s="49"/>
      <x:c r="AK169" s="49"/>
      <x:c r="AL169" s="49"/>
      <x:c r="AM169" s="49"/>
      <x:c r="AN169" s="49"/>
      <x:c r="AO169" s="49"/>
      <x:c r="AP169" s="49"/>
      <x:c r="AQ169" s="49"/>
      <x:c r="AR169" s="49"/>
      <x:c r="AS169" s="49"/>
      <x:c r="AT169" s="49"/>
      <x:c r="AU169" s="49"/>
      <x:c r="AV169" s="49"/>
      <x:c r="AW169" s="49"/>
      <x:c r="AX169" s="49"/>
      <x:c r="AY169" s="49"/>
      <x:c r="AZ169" s="49"/>
    </x:row>
    <x:row r="170">
      <x:c r="A170" s="49"/>
      <x:c r="B170" s="49"/>
      <x:c r="C170" s="49"/>
      <x:c r="D170" s="49"/>
      <x:c r="E170" s="49"/>
      <x:c r="F170" s="49"/>
      <x:c r="G170" s="49"/>
      <x:c r="H170" s="49"/>
      <x:c r="I170" s="49"/>
      <x:c r="J170" s="49"/>
      <x:c r="K170" s="49"/>
      <x:c r="L170" s="49"/>
      <x:c r="M170" s="49"/>
      <x:c r="N170" s="49"/>
      <x:c r="O170" s="49"/>
      <x:c r="P170" s="49"/>
      <x:c r="Q170" s="49"/>
      <x:c r="R170" s="49"/>
      <x:c r="S170" s="49"/>
      <x:c r="T170" s="49"/>
      <x:c r="U170" s="49"/>
      <x:c r="V170" s="49"/>
      <x:c r="W170" s="49"/>
      <x:c r="X170" s="49"/>
      <x:c r="Y170" s="49"/>
      <x:c r="Z170" s="49"/>
      <x:c r="AA170" s="49"/>
      <x:c r="AB170" s="49"/>
      <x:c r="AC170" s="49"/>
      <x:c r="AD170" s="49"/>
      <x:c r="AE170" s="49"/>
      <x:c r="AF170" s="49"/>
      <x:c r="AG170" s="49"/>
      <x:c r="AH170" s="49"/>
      <x:c r="AI170" s="49"/>
      <x:c r="AJ170" s="49"/>
      <x:c r="AK170" s="49"/>
      <x:c r="AL170" s="49"/>
      <x:c r="AM170" s="49"/>
      <x:c r="AN170" s="49"/>
      <x:c r="AO170" s="49"/>
      <x:c r="AP170" s="49"/>
      <x:c r="AQ170" s="49"/>
      <x:c r="AR170" s="49"/>
      <x:c r="AS170" s="49"/>
      <x:c r="AT170" s="49"/>
      <x:c r="AU170" s="49"/>
      <x:c r="AV170" s="49"/>
      <x:c r="AW170" s="49"/>
      <x:c r="AX170" s="49"/>
      <x:c r="AY170" s="49"/>
      <x:c r="AZ170" s="49"/>
    </x:row>
    <x:row r="171">
      <x:c r="A171" s="49"/>
      <x:c r="B171" s="49"/>
      <x:c r="C171" s="49"/>
      <x:c r="D171" s="49"/>
      <x:c r="E171" s="49"/>
      <x:c r="F171" s="49"/>
      <x:c r="G171" s="49"/>
      <x:c r="H171" s="49"/>
      <x:c r="I171" s="49"/>
      <x:c r="J171" s="49"/>
      <x:c r="K171" s="49"/>
      <x:c r="L171" s="49"/>
      <x:c r="M171" s="49"/>
      <x:c r="N171" s="49"/>
      <x:c r="O171" s="49"/>
      <x:c r="P171" s="49"/>
      <x:c r="Q171" s="49"/>
      <x:c r="R171" s="49"/>
      <x:c r="S171" s="49"/>
      <x:c r="T171" s="49"/>
      <x:c r="U171" s="49"/>
      <x:c r="V171" s="49"/>
      <x:c r="W171" s="49"/>
      <x:c r="X171" s="49"/>
      <x:c r="Y171" s="49"/>
      <x:c r="Z171" s="49"/>
      <x:c r="AA171" s="49"/>
      <x:c r="AB171" s="49"/>
      <x:c r="AC171" s="49"/>
      <x:c r="AD171" s="49"/>
      <x:c r="AE171" s="49"/>
      <x:c r="AF171" s="49"/>
      <x:c r="AG171" s="49"/>
      <x:c r="AH171" s="49"/>
      <x:c r="AI171" s="49"/>
      <x:c r="AJ171" s="49"/>
      <x:c r="AK171" s="49"/>
      <x:c r="AL171" s="49"/>
      <x:c r="AM171" s="49"/>
      <x:c r="AN171" s="49"/>
      <x:c r="AO171" s="49"/>
      <x:c r="AP171" s="49"/>
      <x:c r="AQ171" s="49"/>
      <x:c r="AR171" s="49"/>
      <x:c r="AS171" s="49"/>
      <x:c r="AT171" s="49"/>
      <x:c r="AU171" s="49"/>
      <x:c r="AV171" s="49"/>
      <x:c r="AW171" s="49"/>
      <x:c r="AX171" s="49"/>
      <x:c r="AY171" s="49"/>
      <x:c r="AZ171" s="49"/>
    </x:row>
    <x:row r="172">
      <x:c r="A172" s="49"/>
      <x:c r="B172" s="49"/>
      <x:c r="C172" s="49"/>
      <x:c r="D172" s="49"/>
      <x:c r="E172" s="49"/>
      <x:c r="F172" s="49"/>
      <x:c r="G172" s="49"/>
      <x:c r="H172" s="49"/>
      <x:c r="I172" s="49"/>
      <x:c r="J172" s="49"/>
      <x:c r="K172" s="49"/>
      <x:c r="L172" s="49"/>
      <x:c r="M172" s="49"/>
      <x:c r="N172" s="49"/>
      <x:c r="O172" s="49"/>
      <x:c r="P172" s="49"/>
      <x:c r="Q172" s="49"/>
      <x:c r="R172" s="49"/>
      <x:c r="S172" s="49"/>
      <x:c r="T172" s="49"/>
      <x:c r="U172" s="49"/>
      <x:c r="V172" s="49"/>
      <x:c r="W172" s="49"/>
      <x:c r="X172" s="49"/>
      <x:c r="Y172" s="49"/>
      <x:c r="Z172" s="49"/>
      <x:c r="AA172" s="49"/>
      <x:c r="AB172" s="49"/>
      <x:c r="AC172" s="49"/>
      <x:c r="AD172" s="49"/>
      <x:c r="AE172" s="49"/>
      <x:c r="AF172" s="49"/>
      <x:c r="AG172" s="49"/>
      <x:c r="AH172" s="49"/>
      <x:c r="AI172" s="49"/>
      <x:c r="AJ172" s="49"/>
      <x:c r="AK172" s="49"/>
      <x:c r="AL172" s="49"/>
      <x:c r="AM172" s="49"/>
      <x:c r="AN172" s="49"/>
      <x:c r="AO172" s="49"/>
      <x:c r="AP172" s="49"/>
      <x:c r="AQ172" s="49"/>
      <x:c r="AR172" s="49"/>
      <x:c r="AS172" s="49"/>
      <x:c r="AT172" s="49"/>
      <x:c r="AU172" s="49"/>
      <x:c r="AV172" s="49"/>
      <x:c r="AW172" s="49"/>
      <x:c r="AX172" s="49"/>
      <x:c r="AY172" s="49"/>
      <x:c r="AZ172" s="49"/>
    </x:row>
    <x:row r="173">
      <x:c r="A173" s="49"/>
      <x:c r="B173" s="49"/>
      <x:c r="C173" s="49"/>
      <x:c r="D173" s="49"/>
      <x:c r="E173" s="49"/>
      <x:c r="F173" s="49"/>
      <x:c r="G173" s="49"/>
      <x:c r="H173" s="49"/>
      <x:c r="I173" s="49"/>
      <x:c r="J173" s="49"/>
      <x:c r="K173" s="49"/>
      <x:c r="L173" s="49"/>
      <x:c r="M173" s="49"/>
      <x:c r="N173" s="49"/>
      <x:c r="O173" s="49"/>
      <x:c r="P173" s="49"/>
      <x:c r="Q173" s="49"/>
      <x:c r="R173" s="49"/>
      <x:c r="S173" s="49"/>
      <x:c r="T173" s="49"/>
      <x:c r="U173" s="49"/>
      <x:c r="V173" s="49"/>
      <x:c r="W173" s="49"/>
      <x:c r="X173" s="49"/>
      <x:c r="Y173" s="49"/>
      <x:c r="Z173" s="49"/>
      <x:c r="AA173" s="49"/>
      <x:c r="AB173" s="49"/>
      <x:c r="AC173" s="49"/>
      <x:c r="AD173" s="49"/>
      <x:c r="AE173" s="49"/>
      <x:c r="AF173" s="49"/>
      <x:c r="AG173" s="49"/>
      <x:c r="AH173" s="49"/>
      <x:c r="AI173" s="49"/>
      <x:c r="AJ173" s="49"/>
      <x:c r="AK173" s="49"/>
      <x:c r="AL173" s="49"/>
      <x:c r="AM173" s="49"/>
      <x:c r="AN173" s="49"/>
      <x:c r="AO173" s="49"/>
      <x:c r="AP173" s="49"/>
      <x:c r="AQ173" s="49"/>
      <x:c r="AR173" s="49"/>
      <x:c r="AS173" s="49"/>
      <x:c r="AT173" s="49"/>
      <x:c r="AU173" s="49"/>
      <x:c r="AV173" s="49"/>
      <x:c r="AW173" s="49"/>
      <x:c r="AX173" s="49"/>
      <x:c r="AY173" s="49"/>
      <x:c r="AZ173" s="49"/>
    </x:row>
    <x:row r="174">
      <x:c r="A174" s="49"/>
      <x:c r="B174" s="49"/>
      <x:c r="C174" s="49"/>
      <x:c r="D174" s="49"/>
      <x:c r="E174" s="49"/>
      <x:c r="F174" s="49"/>
      <x:c r="G174" s="49"/>
      <x:c r="H174" s="49"/>
      <x:c r="I174" s="49"/>
      <x:c r="J174" s="49"/>
      <x:c r="K174" s="49"/>
      <x:c r="L174" s="49"/>
      <x:c r="M174" s="49"/>
      <x:c r="N174" s="49"/>
      <x:c r="O174" s="49"/>
      <x:c r="P174" s="49"/>
      <x:c r="Q174" s="49"/>
      <x:c r="R174" s="49"/>
      <x:c r="S174" s="49"/>
      <x:c r="T174" s="49"/>
      <x:c r="U174" s="49"/>
      <x:c r="V174" s="49"/>
      <x:c r="W174" s="49"/>
      <x:c r="X174" s="49"/>
      <x:c r="Y174" s="49"/>
      <x:c r="Z174" s="49"/>
      <x:c r="AA174" s="49"/>
      <x:c r="AB174" s="49"/>
      <x:c r="AC174" s="49"/>
      <x:c r="AD174" s="49"/>
      <x:c r="AE174" s="49"/>
      <x:c r="AF174" s="49"/>
      <x:c r="AG174" s="49"/>
      <x:c r="AH174" s="49"/>
      <x:c r="AI174" s="49"/>
      <x:c r="AJ174" s="49"/>
      <x:c r="AK174" s="49"/>
      <x:c r="AL174" s="49"/>
      <x:c r="AM174" s="49"/>
      <x:c r="AN174" s="49"/>
      <x:c r="AO174" s="49"/>
      <x:c r="AP174" s="49"/>
      <x:c r="AQ174" s="49"/>
      <x:c r="AR174" s="49"/>
      <x:c r="AS174" s="49"/>
      <x:c r="AT174" s="49"/>
      <x:c r="AU174" s="49"/>
      <x:c r="AV174" s="49"/>
      <x:c r="AW174" s="49"/>
      <x:c r="AX174" s="49"/>
      <x:c r="AY174" s="49"/>
      <x:c r="AZ174" s="49"/>
    </x:row>
    <x:row r="175">
      <x:c r="A175" s="49"/>
      <x:c r="B175" s="49"/>
      <x:c r="C175" s="49"/>
      <x:c r="D175" s="49"/>
      <x:c r="E175" s="49"/>
      <x:c r="F175" s="49"/>
      <x:c r="G175" s="49"/>
      <x:c r="H175" s="49"/>
      <x:c r="I175" s="49"/>
      <x:c r="J175" s="49"/>
      <x:c r="K175" s="49"/>
      <x:c r="L175" s="49"/>
      <x:c r="M175" s="49"/>
      <x:c r="N175" s="49"/>
      <x:c r="O175" s="49"/>
      <x:c r="P175" s="49"/>
      <x:c r="Q175" s="49"/>
      <x:c r="R175" s="49"/>
      <x:c r="S175" s="49"/>
      <x:c r="T175" s="49"/>
      <x:c r="U175" s="49"/>
      <x:c r="V175" s="49"/>
      <x:c r="W175" s="49"/>
      <x:c r="X175" s="49"/>
      <x:c r="Y175" s="49"/>
      <x:c r="Z175" s="49"/>
      <x:c r="AA175" s="49"/>
      <x:c r="AB175" s="49"/>
      <x:c r="AC175" s="49"/>
      <x:c r="AD175" s="49"/>
      <x:c r="AE175" s="49"/>
      <x:c r="AF175" s="49"/>
      <x:c r="AG175" s="49"/>
      <x:c r="AH175" s="49"/>
      <x:c r="AI175" s="49"/>
      <x:c r="AJ175" s="49"/>
      <x:c r="AK175" s="49"/>
      <x:c r="AL175" s="49"/>
      <x:c r="AM175" s="49"/>
      <x:c r="AN175" s="49"/>
      <x:c r="AO175" s="49"/>
      <x:c r="AP175" s="49"/>
      <x:c r="AQ175" s="49"/>
      <x:c r="AR175" s="49"/>
      <x:c r="AS175" s="49"/>
      <x:c r="AT175" s="49"/>
      <x:c r="AU175" s="49"/>
      <x:c r="AV175" s="49"/>
      <x:c r="AW175" s="49"/>
      <x:c r="AX175" s="49"/>
      <x:c r="AY175" s="49"/>
      <x:c r="AZ175" s="49"/>
    </x:row>
    <x:row r="176">
      <x:c r="A176" s="49"/>
      <x:c r="B176" s="49"/>
      <x:c r="C176" s="49"/>
      <x:c r="D176" s="49"/>
      <x:c r="E176" s="49"/>
      <x:c r="F176" s="49"/>
      <x:c r="G176" s="49"/>
      <x:c r="H176" s="49"/>
      <x:c r="I176" s="49"/>
      <x:c r="J176" s="49"/>
      <x:c r="K176" s="49"/>
      <x:c r="L176" s="49"/>
      <x:c r="M176" s="49"/>
      <x:c r="N176" s="49"/>
      <x:c r="O176" s="49"/>
      <x:c r="P176" s="49"/>
      <x:c r="Q176" s="49"/>
      <x:c r="R176" s="49"/>
      <x:c r="S176" s="49"/>
      <x:c r="T176" s="49"/>
      <x:c r="U176" s="49"/>
      <x:c r="V176" s="49"/>
      <x:c r="W176" s="49"/>
      <x:c r="X176" s="49"/>
      <x:c r="Y176" s="49"/>
      <x:c r="Z176" s="49"/>
      <x:c r="AA176" s="49"/>
      <x:c r="AB176" s="49"/>
      <x:c r="AC176" s="49"/>
      <x:c r="AD176" s="49"/>
      <x:c r="AE176" s="49"/>
      <x:c r="AF176" s="49"/>
      <x:c r="AG176" s="49"/>
      <x:c r="AH176" s="49"/>
      <x:c r="AI176" s="49"/>
      <x:c r="AJ176" s="49"/>
      <x:c r="AK176" s="49"/>
      <x:c r="AL176" s="49"/>
      <x:c r="AM176" s="49"/>
      <x:c r="AN176" s="49"/>
      <x:c r="AO176" s="49"/>
      <x:c r="AP176" s="49"/>
      <x:c r="AQ176" s="49"/>
      <x:c r="AR176" s="49"/>
      <x:c r="AS176" s="49"/>
      <x:c r="AT176" s="49"/>
      <x:c r="AU176" s="49"/>
      <x:c r="AV176" s="49"/>
      <x:c r="AW176" s="49"/>
      <x:c r="AX176" s="49"/>
      <x:c r="AY176" s="49"/>
      <x:c r="AZ176" s="49"/>
    </x:row>
    <x:row r="177">
      <x:c r="A177" s="49"/>
      <x:c r="B177" s="49"/>
      <x:c r="C177" s="49"/>
      <x:c r="D177" s="49"/>
      <x:c r="E177" s="49"/>
      <x:c r="F177" s="49"/>
      <x:c r="G177" s="49"/>
      <x:c r="H177" s="49"/>
      <x:c r="I177" s="49"/>
      <x:c r="J177" s="49"/>
      <x:c r="K177" s="49"/>
      <x:c r="L177" s="49"/>
      <x:c r="M177" s="49"/>
      <x:c r="N177" s="49"/>
      <x:c r="O177" s="49"/>
      <x:c r="P177" s="49"/>
      <x:c r="Q177" s="49"/>
      <x:c r="R177" s="49"/>
      <x:c r="S177" s="49"/>
      <x:c r="T177" s="49"/>
      <x:c r="U177" s="49"/>
      <x:c r="V177" s="49"/>
      <x:c r="W177" s="49"/>
      <x:c r="X177" s="49"/>
      <x:c r="Y177" s="49"/>
      <x:c r="Z177" s="49"/>
      <x:c r="AA177" s="49"/>
      <x:c r="AB177" s="49"/>
      <x:c r="AC177" s="49"/>
      <x:c r="AD177" s="49"/>
      <x:c r="AE177" s="49"/>
      <x:c r="AF177" s="49"/>
      <x:c r="AG177" s="49"/>
      <x:c r="AH177" s="49"/>
      <x:c r="AI177" s="49"/>
      <x:c r="AJ177" s="49"/>
      <x:c r="AK177" s="49"/>
      <x:c r="AL177" s="49"/>
      <x:c r="AM177" s="49"/>
      <x:c r="AN177" s="49"/>
      <x:c r="AO177" s="49"/>
      <x:c r="AP177" s="49"/>
      <x:c r="AQ177" s="49"/>
      <x:c r="AR177" s="49"/>
      <x:c r="AS177" s="49"/>
      <x:c r="AT177" s="49"/>
      <x:c r="AU177" s="49"/>
      <x:c r="AV177" s="49"/>
      <x:c r="AW177" s="49"/>
      <x:c r="AX177" s="49"/>
      <x:c r="AY177" s="49"/>
      <x:c r="AZ177" s="49"/>
    </x:row>
    <x:row r="178">
      <x:c r="A178" s="49"/>
      <x:c r="B178" s="49"/>
      <x:c r="C178" s="49"/>
      <x:c r="D178" s="49"/>
      <x:c r="E178" s="49"/>
      <x:c r="F178" s="49"/>
      <x:c r="G178" s="49"/>
      <x:c r="H178" s="49"/>
      <x:c r="I178" s="49"/>
      <x:c r="J178" s="49"/>
      <x:c r="K178" s="49"/>
      <x:c r="L178" s="49"/>
      <x:c r="M178" s="49"/>
      <x:c r="N178" s="49"/>
      <x:c r="O178" s="49"/>
      <x:c r="P178" s="49"/>
      <x:c r="Q178" s="49"/>
      <x:c r="R178" s="49"/>
      <x:c r="S178" s="49"/>
      <x:c r="T178" s="49"/>
      <x:c r="U178" s="49"/>
      <x:c r="V178" s="49"/>
      <x:c r="W178" s="49"/>
      <x:c r="X178" s="49"/>
      <x:c r="Y178" s="49"/>
      <x:c r="Z178" s="49"/>
      <x:c r="AA178" s="49"/>
      <x:c r="AB178" s="49"/>
      <x:c r="AC178" s="49"/>
      <x:c r="AD178" s="49"/>
      <x:c r="AE178" s="49"/>
      <x:c r="AF178" s="49"/>
      <x:c r="AG178" s="49"/>
      <x:c r="AH178" s="49"/>
      <x:c r="AI178" s="49"/>
      <x:c r="AJ178" s="49"/>
      <x:c r="AK178" s="49"/>
      <x:c r="AL178" s="49"/>
      <x:c r="AM178" s="49"/>
      <x:c r="AN178" s="49"/>
      <x:c r="AO178" s="49"/>
      <x:c r="AP178" s="49"/>
      <x:c r="AQ178" s="49"/>
      <x:c r="AR178" s="49"/>
      <x:c r="AS178" s="49"/>
      <x:c r="AT178" s="49"/>
      <x:c r="AU178" s="49"/>
      <x:c r="AV178" s="49"/>
      <x:c r="AW178" s="49"/>
      <x:c r="AX178" s="49"/>
      <x:c r="AY178" s="49"/>
      <x:c r="AZ178" s="49"/>
    </x:row>
    <x:row r="179">
      <x:c r="A179" s="49"/>
      <x:c r="B179" s="49"/>
      <x:c r="C179" s="49"/>
      <x:c r="D179" s="49"/>
      <x:c r="E179" s="49"/>
      <x:c r="F179" s="49"/>
      <x:c r="G179" s="49"/>
      <x:c r="H179" s="49"/>
      <x:c r="I179" s="49"/>
      <x:c r="J179" s="49"/>
      <x:c r="K179" s="49"/>
      <x:c r="L179" s="49"/>
      <x:c r="M179" s="49"/>
      <x:c r="N179" s="49"/>
      <x:c r="O179" s="49"/>
      <x:c r="P179" s="49"/>
      <x:c r="Q179" s="49"/>
      <x:c r="R179" s="49"/>
      <x:c r="S179" s="49"/>
      <x:c r="T179" s="49"/>
      <x:c r="U179" s="49"/>
      <x:c r="V179" s="49"/>
      <x:c r="W179" s="49"/>
      <x:c r="X179" s="49"/>
      <x:c r="Y179" s="49"/>
      <x:c r="Z179" s="49"/>
      <x:c r="AA179" s="49"/>
      <x:c r="AB179" s="49"/>
      <x:c r="AC179" s="49"/>
      <x:c r="AD179" s="49"/>
      <x:c r="AE179" s="49"/>
      <x:c r="AF179" s="49"/>
      <x:c r="AG179" s="49"/>
      <x:c r="AH179" s="49"/>
      <x:c r="AI179" s="49"/>
      <x:c r="AJ179" s="49"/>
      <x:c r="AK179" s="49"/>
      <x:c r="AL179" s="49"/>
      <x:c r="AM179" s="49"/>
      <x:c r="AN179" s="49"/>
      <x:c r="AO179" s="49"/>
      <x:c r="AP179" s="49"/>
      <x:c r="AQ179" s="49"/>
      <x:c r="AR179" s="49"/>
      <x:c r="AS179" s="49"/>
      <x:c r="AT179" s="49"/>
      <x:c r="AU179" s="49"/>
      <x:c r="AV179" s="49"/>
      <x:c r="AW179" s="49"/>
      <x:c r="AX179" s="49"/>
      <x:c r="AY179" s="49"/>
      <x:c r="AZ179" s="49"/>
    </x:row>
    <x:row r="180">
      <x:c r="A180" s="49"/>
      <x:c r="B180" s="49"/>
      <x:c r="C180" s="49"/>
      <x:c r="D180" s="49"/>
      <x:c r="E180" s="49"/>
      <x:c r="F180" s="49"/>
      <x:c r="G180" s="49"/>
      <x:c r="H180" s="49"/>
      <x:c r="I180" s="49"/>
      <x:c r="J180" s="49"/>
      <x:c r="K180" s="49"/>
      <x:c r="L180" s="49"/>
      <x:c r="M180" s="49"/>
      <x:c r="N180" s="49"/>
      <x:c r="O180" s="49"/>
      <x:c r="P180" s="49"/>
      <x:c r="Q180" s="49"/>
      <x:c r="R180" s="49"/>
      <x:c r="S180" s="49"/>
      <x:c r="T180" s="49"/>
      <x:c r="U180" s="49"/>
      <x:c r="V180" s="49"/>
      <x:c r="W180" s="49"/>
      <x:c r="X180" s="49"/>
      <x:c r="Y180" s="49"/>
      <x:c r="Z180" s="49"/>
      <x:c r="AA180" s="49"/>
      <x:c r="AB180" s="49"/>
      <x:c r="AC180" s="49"/>
      <x:c r="AD180" s="49"/>
      <x:c r="AE180" s="49"/>
      <x:c r="AF180" s="49"/>
      <x:c r="AG180" s="49"/>
      <x:c r="AH180" s="49"/>
      <x:c r="AI180" s="49"/>
      <x:c r="AJ180" s="49"/>
      <x:c r="AK180" s="49"/>
      <x:c r="AL180" s="49"/>
      <x:c r="AM180" s="49"/>
      <x:c r="AN180" s="49"/>
      <x:c r="AO180" s="49"/>
      <x:c r="AP180" s="49"/>
      <x:c r="AQ180" s="49"/>
      <x:c r="AR180" s="49"/>
      <x:c r="AS180" s="49"/>
      <x:c r="AT180" s="49"/>
      <x:c r="AU180" s="49"/>
      <x:c r="AV180" s="49"/>
      <x:c r="AW180" s="49"/>
      <x:c r="AX180" s="49"/>
      <x:c r="AY180" s="49"/>
      <x:c r="AZ180" s="49"/>
    </x:row>
    <x:row r="181">
      <x:c r="A181" s="49"/>
      <x:c r="B181" s="49"/>
      <x:c r="C181" s="49"/>
      <x:c r="D181" s="49"/>
      <x:c r="E181" s="49"/>
      <x:c r="F181" s="49"/>
      <x:c r="G181" s="49"/>
      <x:c r="H181" s="49"/>
      <x:c r="I181" s="49"/>
      <x:c r="J181" s="49"/>
      <x:c r="K181" s="49"/>
      <x:c r="L181" s="49"/>
      <x:c r="M181" s="49"/>
      <x:c r="N181" s="49"/>
      <x:c r="O181" s="49"/>
      <x:c r="P181" s="49"/>
      <x:c r="Q181" s="49"/>
      <x:c r="R181" s="49"/>
      <x:c r="S181" s="49"/>
      <x:c r="T181" s="49"/>
      <x:c r="U181" s="49"/>
      <x:c r="V181" s="49"/>
      <x:c r="W181" s="49"/>
      <x:c r="X181" s="49"/>
      <x:c r="Y181" s="49"/>
      <x:c r="Z181" s="49"/>
      <x:c r="AA181" s="49"/>
      <x:c r="AB181" s="49"/>
      <x:c r="AC181" s="49"/>
      <x:c r="AD181" s="49"/>
      <x:c r="AE181" s="49"/>
      <x:c r="AF181" s="49"/>
      <x:c r="AG181" s="49"/>
      <x:c r="AH181" s="49"/>
      <x:c r="AI181" s="49"/>
      <x:c r="AJ181" s="49"/>
      <x:c r="AK181" s="49"/>
      <x:c r="AL181" s="49"/>
      <x:c r="AM181" s="49"/>
      <x:c r="AN181" s="49"/>
      <x:c r="AO181" s="49"/>
      <x:c r="AP181" s="49"/>
      <x:c r="AQ181" s="49"/>
      <x:c r="AR181" s="49"/>
      <x:c r="AS181" s="49"/>
      <x:c r="AT181" s="49"/>
      <x:c r="AU181" s="49"/>
      <x:c r="AV181" s="49"/>
      <x:c r="AW181" s="49"/>
      <x:c r="AX181" s="49"/>
      <x:c r="AY181" s="49"/>
      <x:c r="AZ181" s="49"/>
    </x:row>
    <x:row r="182">
      <x:c r="A182" s="49"/>
      <x:c r="B182" s="49"/>
      <x:c r="C182" s="49"/>
      <x:c r="D182" s="49"/>
      <x:c r="E182" s="49"/>
      <x:c r="F182" s="49"/>
      <x:c r="G182" s="49"/>
      <x:c r="H182" s="49"/>
      <x:c r="I182" s="49"/>
      <x:c r="J182" s="49"/>
      <x:c r="K182" s="49"/>
      <x:c r="L182" s="49"/>
      <x:c r="M182" s="49"/>
      <x:c r="N182" s="49"/>
      <x:c r="O182" s="49"/>
      <x:c r="P182" s="49"/>
      <x:c r="Q182" s="49"/>
      <x:c r="R182" s="49"/>
      <x:c r="S182" s="49"/>
      <x:c r="T182" s="49"/>
      <x:c r="U182" s="49"/>
      <x:c r="V182" s="49"/>
      <x:c r="W182" s="49"/>
      <x:c r="X182" s="49"/>
      <x:c r="Y182" s="49"/>
      <x:c r="Z182" s="49"/>
      <x:c r="AA182" s="49"/>
      <x:c r="AB182" s="49"/>
      <x:c r="AC182" s="49"/>
      <x:c r="AD182" s="49"/>
      <x:c r="AE182" s="49"/>
      <x:c r="AF182" s="49"/>
      <x:c r="AG182" s="49"/>
      <x:c r="AH182" s="49"/>
      <x:c r="AI182" s="49"/>
      <x:c r="AJ182" s="49"/>
      <x:c r="AK182" s="49"/>
      <x:c r="AL182" s="49"/>
      <x:c r="AM182" s="49"/>
      <x:c r="AN182" s="49"/>
      <x:c r="AO182" s="49"/>
      <x:c r="AP182" s="49"/>
      <x:c r="AQ182" s="49"/>
      <x:c r="AR182" s="49"/>
      <x:c r="AS182" s="49"/>
      <x:c r="AT182" s="49"/>
      <x:c r="AU182" s="49"/>
      <x:c r="AV182" s="49"/>
      <x:c r="AW182" s="49"/>
      <x:c r="AX182" s="49"/>
      <x:c r="AY182" s="49"/>
      <x:c r="AZ182" s="49"/>
    </x:row>
    <x:row r="183">
      <x:c r="A183" s="49"/>
      <x:c r="B183" s="49"/>
      <x:c r="C183" s="49"/>
      <x:c r="D183" s="49"/>
      <x:c r="E183" s="49"/>
      <x:c r="F183" s="49"/>
      <x:c r="G183" s="49"/>
      <x:c r="H183" s="49"/>
      <x:c r="I183" s="49"/>
      <x:c r="J183" s="49"/>
      <x:c r="K183" s="49"/>
      <x:c r="L183" s="49"/>
      <x:c r="M183" s="49"/>
      <x:c r="N183" s="49"/>
      <x:c r="O183" s="49"/>
      <x:c r="P183" s="49"/>
      <x:c r="Q183" s="49"/>
      <x:c r="R183" s="49"/>
      <x:c r="S183" s="49"/>
      <x:c r="T183" s="49"/>
      <x:c r="U183" s="49"/>
      <x:c r="V183" s="49"/>
      <x:c r="W183" s="49"/>
      <x:c r="X183" s="49"/>
      <x:c r="Y183" s="49"/>
      <x:c r="Z183" s="49"/>
      <x:c r="AA183" s="49"/>
      <x:c r="AB183" s="49"/>
      <x:c r="AC183" s="49"/>
      <x:c r="AD183" s="49"/>
      <x:c r="AE183" s="49"/>
      <x:c r="AF183" s="49"/>
      <x:c r="AG183" s="49"/>
      <x:c r="AH183" s="49"/>
      <x:c r="AI183" s="49"/>
      <x:c r="AJ183" s="49"/>
      <x:c r="AK183" s="49"/>
      <x:c r="AL183" s="49"/>
      <x:c r="AM183" s="49"/>
      <x:c r="AN183" s="49"/>
      <x:c r="AO183" s="49"/>
      <x:c r="AP183" s="49"/>
      <x:c r="AQ183" s="49"/>
      <x:c r="AR183" s="49"/>
      <x:c r="AS183" s="49"/>
      <x:c r="AT183" s="49"/>
      <x:c r="AU183" s="49"/>
      <x:c r="AV183" s="49"/>
      <x:c r="AW183" s="49"/>
      <x:c r="AX183" s="49"/>
      <x:c r="AY183" s="49"/>
      <x:c r="AZ183" s="49"/>
    </x:row>
    <x:row r="184">
      <x:c r="A184" s="49"/>
      <x:c r="B184" s="49"/>
      <x:c r="C184" s="49"/>
      <x:c r="D184" s="49"/>
      <x:c r="E184" s="49"/>
      <x:c r="F184" s="49"/>
      <x:c r="G184" s="49"/>
      <x:c r="H184" s="49"/>
      <x:c r="I184" s="49"/>
      <x:c r="J184" s="49"/>
      <x:c r="K184" s="49"/>
      <x:c r="L184" s="49"/>
      <x:c r="M184" s="49"/>
      <x:c r="N184" s="49"/>
      <x:c r="O184" s="49"/>
      <x:c r="P184" s="49"/>
      <x:c r="Q184" s="49"/>
      <x:c r="R184" s="49"/>
      <x:c r="S184" s="49"/>
      <x:c r="T184" s="49"/>
      <x:c r="U184" s="49"/>
      <x:c r="V184" s="49"/>
      <x:c r="W184" s="49"/>
      <x:c r="X184" s="49"/>
      <x:c r="Y184" s="49"/>
      <x:c r="Z184" s="49"/>
      <x:c r="AA184" s="49"/>
      <x:c r="AB184" s="49"/>
      <x:c r="AC184" s="49"/>
      <x:c r="AD184" s="49"/>
      <x:c r="AE184" s="49"/>
      <x:c r="AF184" s="49"/>
      <x:c r="AG184" s="49"/>
      <x:c r="AH184" s="49"/>
      <x:c r="AI184" s="49"/>
      <x:c r="AJ184" s="49"/>
      <x:c r="AK184" s="49"/>
      <x:c r="AL184" s="49"/>
      <x:c r="AM184" s="49"/>
      <x:c r="AN184" s="49"/>
      <x:c r="AO184" s="49"/>
      <x:c r="AP184" s="49"/>
      <x:c r="AQ184" s="49"/>
      <x:c r="AR184" s="49"/>
      <x:c r="AS184" s="49"/>
      <x:c r="AT184" s="49"/>
      <x:c r="AU184" s="49"/>
      <x:c r="AV184" s="49"/>
      <x:c r="AW184" s="49"/>
      <x:c r="AX184" s="49"/>
      <x:c r="AY184" s="49"/>
      <x:c r="AZ184" s="49"/>
    </x:row>
    <x:row r="185">
      <x:c r="A185" s="49"/>
      <x:c r="B185" s="49"/>
      <x:c r="C185" s="49"/>
      <x:c r="D185" s="49"/>
      <x:c r="E185" s="49"/>
      <x:c r="F185" s="49"/>
      <x:c r="G185" s="49"/>
      <x:c r="H185" s="49"/>
      <x:c r="I185" s="49"/>
      <x:c r="J185" s="49"/>
      <x:c r="K185" s="49"/>
      <x:c r="L185" s="49"/>
      <x:c r="M185" s="49"/>
      <x:c r="N185" s="49"/>
      <x:c r="O185" s="49"/>
      <x:c r="P185" s="49"/>
      <x:c r="Q185" s="49"/>
      <x:c r="R185" s="49"/>
      <x:c r="S185" s="49"/>
      <x:c r="T185" s="49"/>
      <x:c r="U185" s="49"/>
      <x:c r="V185" s="49"/>
      <x:c r="W185" s="49"/>
      <x:c r="X185" s="49"/>
      <x:c r="Y185" s="49"/>
      <x:c r="Z185" s="49"/>
      <x:c r="AA185" s="49"/>
      <x:c r="AB185" s="49"/>
      <x:c r="AC185" s="49"/>
      <x:c r="AD185" s="49"/>
      <x:c r="AE185" s="49"/>
      <x:c r="AF185" s="49"/>
      <x:c r="AG185" s="49"/>
      <x:c r="AH185" s="49"/>
      <x:c r="AI185" s="49"/>
      <x:c r="AJ185" s="49"/>
      <x:c r="AK185" s="49"/>
      <x:c r="AL185" s="49"/>
      <x:c r="AM185" s="49"/>
      <x:c r="AN185" s="49"/>
      <x:c r="AO185" s="49"/>
      <x:c r="AP185" s="49"/>
      <x:c r="AQ185" s="49"/>
      <x:c r="AR185" s="49"/>
      <x:c r="AS185" s="49"/>
      <x:c r="AT185" s="49"/>
      <x:c r="AU185" s="49"/>
      <x:c r="AV185" s="49"/>
      <x:c r="AW185" s="49"/>
      <x:c r="AX185" s="49"/>
      <x:c r="AY185" s="49"/>
      <x:c r="AZ185" s="49"/>
    </x:row>
    <x:row r="186">
      <x:c r="A186" s="49"/>
      <x:c r="B186" s="49"/>
      <x:c r="C186" s="49"/>
      <x:c r="D186" s="49"/>
      <x:c r="E186" s="49"/>
      <x:c r="F186" s="49"/>
      <x:c r="G186" s="49"/>
      <x:c r="H186" s="49"/>
      <x:c r="I186" s="49"/>
      <x:c r="J186" s="49"/>
      <x:c r="K186" s="49"/>
      <x:c r="L186" s="49"/>
      <x:c r="M186" s="49"/>
      <x:c r="N186" s="49"/>
      <x:c r="O186" s="49"/>
      <x:c r="P186" s="49"/>
      <x:c r="Q186" s="49"/>
      <x:c r="R186" s="49"/>
      <x:c r="S186" s="49"/>
      <x:c r="T186" s="49"/>
      <x:c r="U186" s="49"/>
      <x:c r="V186" s="49"/>
      <x:c r="W186" s="49"/>
      <x:c r="X186" s="49"/>
      <x:c r="Y186" s="49"/>
      <x:c r="Z186" s="49"/>
      <x:c r="AA186" s="49"/>
      <x:c r="AB186" s="49"/>
      <x:c r="AC186" s="49"/>
      <x:c r="AD186" s="49"/>
      <x:c r="AE186" s="49"/>
      <x:c r="AF186" s="49"/>
      <x:c r="AG186" s="49"/>
      <x:c r="AH186" s="49"/>
      <x:c r="AI186" s="49"/>
      <x:c r="AJ186" s="49"/>
      <x:c r="AK186" s="49"/>
      <x:c r="AL186" s="49"/>
      <x:c r="AM186" s="49"/>
      <x:c r="AN186" s="49"/>
      <x:c r="AO186" s="49"/>
      <x:c r="AP186" s="49"/>
      <x:c r="AQ186" s="49"/>
      <x:c r="AR186" s="49"/>
      <x:c r="AS186" s="49"/>
      <x:c r="AT186" s="49"/>
      <x:c r="AU186" s="49"/>
      <x:c r="AV186" s="49"/>
      <x:c r="AW186" s="49"/>
      <x:c r="AX186" s="49"/>
      <x:c r="AY186" s="49"/>
      <x:c r="AZ186" s="49"/>
    </x:row>
    <x:row r="187">
      <x:c r="A187" s="49"/>
      <x:c r="B187" s="49"/>
      <x:c r="C187" s="49"/>
      <x:c r="D187" s="49"/>
      <x:c r="E187" s="49"/>
      <x:c r="F187" s="49"/>
      <x:c r="G187" s="49"/>
      <x:c r="H187" s="49"/>
      <x:c r="I187" s="49"/>
      <x:c r="J187" s="49"/>
      <x:c r="K187" s="49"/>
      <x:c r="L187" s="49"/>
      <x:c r="M187" s="49"/>
      <x:c r="N187" s="49"/>
      <x:c r="O187" s="49"/>
      <x:c r="P187" s="49"/>
      <x:c r="Q187" s="49"/>
      <x:c r="R187" s="49"/>
      <x:c r="S187" s="49"/>
      <x:c r="T187" s="49"/>
      <x:c r="U187" s="49"/>
      <x:c r="V187" s="49"/>
      <x:c r="W187" s="49"/>
      <x:c r="X187" s="49"/>
      <x:c r="Y187" s="49"/>
      <x:c r="Z187" s="49"/>
      <x:c r="AA187" s="49"/>
      <x:c r="AB187" s="49"/>
      <x:c r="AC187" s="49"/>
      <x:c r="AD187" s="49"/>
      <x:c r="AE187" s="49"/>
      <x:c r="AF187" s="49"/>
      <x:c r="AG187" s="49"/>
      <x:c r="AH187" s="49"/>
      <x:c r="AI187" s="49"/>
      <x:c r="AJ187" s="49"/>
      <x:c r="AK187" s="49"/>
      <x:c r="AL187" s="49"/>
      <x:c r="AM187" s="49"/>
      <x:c r="AN187" s="49"/>
      <x:c r="AO187" s="49"/>
      <x:c r="AP187" s="49"/>
      <x:c r="AQ187" s="49"/>
      <x:c r="AR187" s="49"/>
      <x:c r="AS187" s="49"/>
      <x:c r="AT187" s="49"/>
      <x:c r="AU187" s="49"/>
      <x:c r="AV187" s="49"/>
      <x:c r="AW187" s="49"/>
      <x:c r="AX187" s="49"/>
      <x:c r="AY187" s="49"/>
      <x:c r="AZ187" s="49"/>
    </x:row>
    <x:row r="188">
      <x:c r="A188" s="49"/>
      <x:c r="B188" s="49"/>
      <x:c r="C188" s="49"/>
      <x:c r="D188" s="49"/>
      <x:c r="E188" s="49"/>
      <x:c r="F188" s="49"/>
      <x:c r="G188" s="49"/>
      <x:c r="H188" s="49"/>
      <x:c r="I188" s="49"/>
      <x:c r="J188" s="49"/>
      <x:c r="K188" s="49"/>
      <x:c r="L188" s="49"/>
      <x:c r="M188" s="49"/>
      <x:c r="N188" s="49"/>
      <x:c r="O188" s="49"/>
      <x:c r="P188" s="49"/>
      <x:c r="Q188" s="49"/>
      <x:c r="R188" s="49"/>
      <x:c r="S188" s="49"/>
      <x:c r="T188" s="49"/>
      <x:c r="U188" s="49"/>
      <x:c r="V188" s="49"/>
      <x:c r="W188" s="49"/>
      <x:c r="X188" s="49"/>
      <x:c r="Y188" s="49"/>
      <x:c r="Z188" s="49"/>
      <x:c r="AA188" s="49"/>
      <x:c r="AB188" s="49"/>
      <x:c r="AC188" s="49"/>
      <x:c r="AD188" s="49"/>
      <x:c r="AE188" s="49"/>
      <x:c r="AF188" s="49"/>
      <x:c r="AG188" s="49"/>
      <x:c r="AH188" s="49"/>
      <x:c r="AI188" s="49"/>
      <x:c r="AJ188" s="49"/>
      <x:c r="AK188" s="49"/>
      <x:c r="AL188" s="49"/>
      <x:c r="AM188" s="49"/>
      <x:c r="AN188" s="49"/>
      <x:c r="AO188" s="49"/>
      <x:c r="AP188" s="49"/>
      <x:c r="AQ188" s="49"/>
      <x:c r="AR188" s="49"/>
      <x:c r="AS188" s="49"/>
      <x:c r="AT188" s="49"/>
      <x:c r="AU188" s="49"/>
      <x:c r="AV188" s="49"/>
      <x:c r="AW188" s="49"/>
      <x:c r="AX188" s="49"/>
      <x:c r="AY188" s="49"/>
      <x:c r="AZ188" s="49"/>
    </x:row>
    <x:row r="189">
      <x:c r="A189" s="49"/>
      <x:c r="B189" s="49"/>
      <x:c r="C189" s="49"/>
      <x:c r="D189" s="49"/>
      <x:c r="E189" s="49"/>
      <x:c r="F189" s="49"/>
      <x:c r="G189" s="49"/>
      <x:c r="H189" s="49"/>
      <x:c r="I189" s="49"/>
      <x:c r="J189" s="49"/>
      <x:c r="K189" s="49"/>
      <x:c r="L189" s="49"/>
      <x:c r="M189" s="49"/>
      <x:c r="N189" s="49"/>
      <x:c r="O189" s="49"/>
      <x:c r="P189" s="49"/>
      <x:c r="Q189" s="49"/>
      <x:c r="R189" s="49"/>
      <x:c r="S189" s="49"/>
      <x:c r="T189" s="49"/>
      <x:c r="U189" s="49"/>
      <x:c r="V189" s="49"/>
      <x:c r="W189" s="49"/>
      <x:c r="X189" s="49"/>
      <x:c r="Y189" s="49"/>
      <x:c r="Z189" s="49"/>
      <x:c r="AA189" s="49"/>
      <x:c r="AB189" s="49"/>
      <x:c r="AC189" s="49"/>
      <x:c r="AD189" s="49"/>
      <x:c r="AE189" s="49"/>
      <x:c r="AF189" s="49"/>
      <x:c r="AG189" s="49"/>
      <x:c r="AH189" s="49"/>
      <x:c r="AI189" s="49"/>
      <x:c r="AJ189" s="49"/>
      <x:c r="AK189" s="49"/>
      <x:c r="AL189" s="49"/>
      <x:c r="AM189" s="49"/>
      <x:c r="AN189" s="49"/>
      <x:c r="AO189" s="49"/>
      <x:c r="AP189" s="49"/>
      <x:c r="AQ189" s="49"/>
      <x:c r="AR189" s="49"/>
      <x:c r="AS189" s="49"/>
      <x:c r="AT189" s="49"/>
      <x:c r="AU189" s="49"/>
      <x:c r="AV189" s="49"/>
      <x:c r="AW189" s="49"/>
      <x:c r="AX189" s="49"/>
      <x:c r="AY189" s="49"/>
      <x:c r="AZ189" s="49"/>
    </x:row>
    <x:row r="190">
      <x:c r="A190" s="49"/>
      <x:c r="B190" s="49"/>
      <x:c r="C190" s="49"/>
      <x:c r="D190" s="49"/>
      <x:c r="E190" s="49"/>
      <x:c r="F190" s="49"/>
      <x:c r="G190" s="49"/>
      <x:c r="H190" s="49"/>
      <x:c r="I190" s="49"/>
      <x:c r="J190" s="49"/>
      <x:c r="K190" s="49"/>
      <x:c r="L190" s="49"/>
      <x:c r="M190" s="49"/>
      <x:c r="N190" s="49"/>
      <x:c r="O190" s="49"/>
      <x:c r="P190" s="49"/>
      <x:c r="Q190" s="49"/>
      <x:c r="R190" s="49"/>
      <x:c r="S190" s="49"/>
      <x:c r="T190" s="49"/>
      <x:c r="U190" s="49"/>
      <x:c r="V190" s="49"/>
      <x:c r="W190" s="49"/>
      <x:c r="X190" s="49"/>
      <x:c r="Y190" s="49"/>
      <x:c r="Z190" s="49"/>
      <x:c r="AA190" s="49"/>
      <x:c r="AB190" s="49"/>
      <x:c r="AC190" s="49"/>
      <x:c r="AD190" s="49"/>
      <x:c r="AE190" s="49"/>
      <x:c r="AF190" s="49"/>
      <x:c r="AG190" s="49"/>
      <x:c r="AH190" s="49"/>
      <x:c r="AI190" s="49"/>
      <x:c r="AJ190" s="49"/>
      <x:c r="AK190" s="49"/>
      <x:c r="AL190" s="49"/>
      <x:c r="AM190" s="49"/>
      <x:c r="AN190" s="49"/>
      <x:c r="AO190" s="49"/>
      <x:c r="AP190" s="49"/>
      <x:c r="AQ190" s="49"/>
      <x:c r="AR190" s="49"/>
      <x:c r="AS190" s="49"/>
      <x:c r="AT190" s="49"/>
      <x:c r="AU190" s="49"/>
      <x:c r="AV190" s="49"/>
      <x:c r="AW190" s="49"/>
      <x:c r="AX190" s="49"/>
      <x:c r="AY190" s="49"/>
      <x:c r="AZ190" s="49"/>
    </x:row>
    <x:row r="191">
      <x:c r="A191" s="49"/>
      <x:c r="B191" s="49"/>
      <x:c r="C191" s="49"/>
      <x:c r="D191" s="49"/>
      <x:c r="E191" s="49"/>
      <x:c r="F191" s="49"/>
      <x:c r="G191" s="49"/>
      <x:c r="H191" s="49"/>
      <x:c r="I191" s="49"/>
      <x:c r="J191" s="49"/>
      <x:c r="K191" s="49"/>
      <x:c r="L191" s="49"/>
      <x:c r="M191" s="49"/>
      <x:c r="N191" s="49"/>
      <x:c r="O191" s="49"/>
      <x:c r="P191" s="49"/>
      <x:c r="Q191" s="49"/>
      <x:c r="R191" s="49"/>
      <x:c r="S191" s="49"/>
      <x:c r="T191" s="49"/>
      <x:c r="U191" s="49"/>
      <x:c r="V191" s="49"/>
      <x:c r="W191" s="49"/>
      <x:c r="X191" s="49"/>
      <x:c r="Y191" s="49"/>
      <x:c r="Z191" s="49"/>
      <x:c r="AA191" s="49"/>
      <x:c r="AB191" s="49"/>
      <x:c r="AC191" s="49"/>
      <x:c r="AD191" s="49"/>
      <x:c r="AE191" s="49"/>
      <x:c r="AF191" s="49"/>
      <x:c r="AG191" s="49"/>
      <x:c r="AH191" s="49"/>
      <x:c r="AI191" s="49"/>
      <x:c r="AJ191" s="49"/>
      <x:c r="AK191" s="49"/>
      <x:c r="AL191" s="49"/>
      <x:c r="AM191" s="49"/>
      <x:c r="AN191" s="49"/>
      <x:c r="AO191" s="49"/>
      <x:c r="AP191" s="49"/>
      <x:c r="AQ191" s="49"/>
      <x:c r="AR191" s="49"/>
      <x:c r="AS191" s="49"/>
      <x:c r="AT191" s="49"/>
      <x:c r="AU191" s="49"/>
      <x:c r="AV191" s="49"/>
      <x:c r="AW191" s="49"/>
      <x:c r="AX191" s="49"/>
      <x:c r="AY191" s="49"/>
      <x:c r="AZ191" s="49"/>
    </x:row>
    <x:row r="192">
      <x:c r="A192" s="49"/>
      <x:c r="B192" s="49"/>
      <x:c r="C192" s="49"/>
      <x:c r="D192" s="49"/>
      <x:c r="E192" s="49"/>
      <x:c r="F192" s="49"/>
      <x:c r="G192" s="49"/>
      <x:c r="H192" s="49"/>
      <x:c r="I192" s="49"/>
      <x:c r="J192" s="49"/>
      <x:c r="K192" s="49"/>
      <x:c r="L192" s="49"/>
      <x:c r="M192" s="49"/>
      <x:c r="N192" s="49"/>
      <x:c r="O192" s="49"/>
      <x:c r="P192" s="49"/>
      <x:c r="Q192" s="49"/>
      <x:c r="R192" s="49"/>
      <x:c r="S192" s="49"/>
      <x:c r="T192" s="49"/>
      <x:c r="U192" s="49"/>
      <x:c r="V192" s="49"/>
      <x:c r="W192" s="49"/>
      <x:c r="X192" s="49"/>
      <x:c r="Y192" s="49"/>
      <x:c r="Z192" s="49"/>
      <x:c r="AA192" s="49"/>
      <x:c r="AB192" s="49"/>
      <x:c r="AC192" s="49"/>
      <x:c r="AD192" s="49"/>
      <x:c r="AE192" s="49"/>
      <x:c r="AF192" s="49"/>
      <x:c r="AG192" s="49"/>
      <x:c r="AH192" s="49"/>
      <x:c r="AI192" s="49"/>
      <x:c r="AJ192" s="49"/>
      <x:c r="AK192" s="49"/>
      <x:c r="AL192" s="49"/>
      <x:c r="AM192" s="49"/>
      <x:c r="AN192" s="49"/>
      <x:c r="AO192" s="49"/>
      <x:c r="AP192" s="49"/>
      <x:c r="AQ192" s="49"/>
      <x:c r="AR192" s="49"/>
      <x:c r="AS192" s="49"/>
      <x:c r="AT192" s="49"/>
      <x:c r="AU192" s="49"/>
      <x:c r="AV192" s="49"/>
      <x:c r="AW192" s="49"/>
      <x:c r="AX192" s="49"/>
      <x:c r="AY192" s="49"/>
      <x:c r="AZ192" s="49"/>
    </x:row>
    <x:row r="193">
      <x:c r="A193" s="49"/>
      <x:c r="B193" s="49"/>
      <x:c r="C193" s="49"/>
      <x:c r="D193" s="49"/>
      <x:c r="E193" s="49"/>
      <x:c r="F193" s="49"/>
      <x:c r="G193" s="49"/>
      <x:c r="H193" s="49"/>
      <x:c r="I193" s="49"/>
      <x:c r="J193" s="49"/>
      <x:c r="K193" s="49"/>
      <x:c r="L193" s="49"/>
      <x:c r="M193" s="49"/>
      <x:c r="N193" s="49"/>
      <x:c r="O193" s="49"/>
      <x:c r="P193" s="49"/>
      <x:c r="Q193" s="49"/>
      <x:c r="R193" s="49"/>
      <x:c r="S193" s="49"/>
      <x:c r="T193" s="49"/>
      <x:c r="U193" s="49"/>
      <x:c r="V193" s="49"/>
      <x:c r="W193" s="49"/>
      <x:c r="X193" s="49"/>
      <x:c r="Y193" s="49"/>
      <x:c r="Z193" s="49"/>
      <x:c r="AA193" s="49"/>
      <x:c r="AB193" s="49"/>
      <x:c r="AC193" s="49"/>
      <x:c r="AD193" s="49"/>
      <x:c r="AE193" s="49"/>
      <x:c r="AF193" s="49"/>
      <x:c r="AG193" s="49"/>
      <x:c r="AH193" s="49"/>
      <x:c r="AI193" s="49"/>
      <x:c r="AJ193" s="49"/>
      <x:c r="AK193" s="49"/>
      <x:c r="AL193" s="49"/>
      <x:c r="AM193" s="49"/>
      <x:c r="AN193" s="49"/>
      <x:c r="AO193" s="49"/>
      <x:c r="AP193" s="49"/>
      <x:c r="AQ193" s="49"/>
      <x:c r="AR193" s="49"/>
      <x:c r="AS193" s="49"/>
      <x:c r="AT193" s="49"/>
      <x:c r="AU193" s="49"/>
      <x:c r="AV193" s="49"/>
      <x:c r="AW193" s="49"/>
      <x:c r="AX193" s="49"/>
      <x:c r="AY193" s="49"/>
      <x:c r="AZ193" s="49"/>
    </x:row>
    <x:row r="194">
      <x:c r="A194" s="49"/>
      <x:c r="B194" s="49"/>
      <x:c r="C194" s="49"/>
      <x:c r="D194" s="49"/>
      <x:c r="E194" s="49"/>
      <x:c r="F194" s="49"/>
      <x:c r="G194" s="49"/>
      <x:c r="H194" s="49"/>
      <x:c r="I194" s="49"/>
      <x:c r="J194" s="49"/>
      <x:c r="K194" s="49"/>
      <x:c r="L194" s="49"/>
      <x:c r="M194" s="49"/>
      <x:c r="N194" s="49"/>
      <x:c r="O194" s="49"/>
      <x:c r="P194" s="49"/>
      <x:c r="Q194" s="49"/>
      <x:c r="R194" s="49"/>
      <x:c r="S194" s="49"/>
      <x:c r="T194" s="49"/>
      <x:c r="U194" s="49"/>
      <x:c r="V194" s="49"/>
      <x:c r="W194" s="49"/>
      <x:c r="X194" s="49"/>
      <x:c r="Y194" s="49"/>
      <x:c r="Z194" s="49"/>
      <x:c r="AA194" s="49"/>
      <x:c r="AB194" s="49"/>
      <x:c r="AC194" s="49"/>
      <x:c r="AD194" s="49"/>
      <x:c r="AE194" s="49"/>
      <x:c r="AF194" s="49"/>
      <x:c r="AG194" s="49"/>
      <x:c r="AH194" s="49"/>
      <x:c r="AI194" s="49"/>
      <x:c r="AJ194" s="49"/>
      <x:c r="AK194" s="49"/>
      <x:c r="AL194" s="49"/>
      <x:c r="AM194" s="49"/>
      <x:c r="AN194" s="49"/>
      <x:c r="AO194" s="49"/>
      <x:c r="AP194" s="49"/>
      <x:c r="AQ194" s="49"/>
      <x:c r="AR194" s="49"/>
      <x:c r="AS194" s="49"/>
      <x:c r="AT194" s="49"/>
      <x:c r="AU194" s="49"/>
      <x:c r="AV194" s="49"/>
      <x:c r="AW194" s="49"/>
      <x:c r="AX194" s="49"/>
      <x:c r="AY194" s="49"/>
      <x:c r="AZ194" s="49"/>
    </x:row>
    <x:row r="195">
      <x:c r="A195" s="49"/>
      <x:c r="B195" s="49"/>
      <x:c r="C195" s="49"/>
      <x:c r="D195" s="49"/>
      <x:c r="E195" s="49"/>
      <x:c r="F195" s="49"/>
      <x:c r="G195" s="49"/>
      <x:c r="H195" s="49"/>
      <x:c r="I195" s="49"/>
      <x:c r="J195" s="49"/>
      <x:c r="K195" s="49"/>
      <x:c r="L195" s="49"/>
      <x:c r="M195" s="49"/>
      <x:c r="N195" s="49"/>
      <x:c r="O195" s="49"/>
      <x:c r="P195" s="49"/>
      <x:c r="Q195" s="49"/>
      <x:c r="R195" s="49"/>
      <x:c r="S195" s="49"/>
      <x:c r="T195" s="49"/>
      <x:c r="U195" s="49"/>
      <x:c r="V195" s="49"/>
      <x:c r="W195" s="49"/>
      <x:c r="X195" s="49"/>
      <x:c r="Y195" s="49"/>
      <x:c r="Z195" s="49"/>
      <x:c r="AA195" s="49"/>
      <x:c r="AB195" s="49"/>
      <x:c r="AC195" s="49"/>
      <x:c r="AD195" s="49"/>
      <x:c r="AE195" s="49"/>
      <x:c r="AF195" s="49"/>
      <x:c r="AG195" s="49"/>
      <x:c r="AH195" s="49"/>
      <x:c r="AI195" s="49"/>
      <x:c r="AJ195" s="49"/>
      <x:c r="AK195" s="49"/>
      <x:c r="AL195" s="49"/>
      <x:c r="AM195" s="49"/>
      <x:c r="AN195" s="49"/>
      <x:c r="AO195" s="49"/>
      <x:c r="AP195" s="49"/>
      <x:c r="AQ195" s="49"/>
      <x:c r="AR195" s="49"/>
      <x:c r="AS195" s="49"/>
      <x:c r="AT195" s="49"/>
      <x:c r="AU195" s="49"/>
      <x:c r="AV195" s="49"/>
      <x:c r="AW195" s="49"/>
      <x:c r="AX195" s="49"/>
      <x:c r="AY195" s="49"/>
      <x:c r="AZ195" s="49"/>
    </x:row>
    <x:row r="196">
      <x:c r="A196" s="49"/>
      <x:c r="B196" s="49"/>
      <x:c r="C196" s="49"/>
      <x:c r="D196" s="49"/>
      <x:c r="E196" s="49"/>
      <x:c r="F196" s="49"/>
      <x:c r="G196" s="49"/>
      <x:c r="H196" s="49"/>
      <x:c r="I196" s="49"/>
      <x:c r="J196" s="49"/>
      <x:c r="K196" s="49"/>
      <x:c r="L196" s="49"/>
      <x:c r="M196" s="49"/>
      <x:c r="N196" s="49"/>
      <x:c r="O196" s="49"/>
      <x:c r="P196" s="49"/>
      <x:c r="Q196" s="49"/>
      <x:c r="R196" s="49"/>
      <x:c r="S196" s="49"/>
      <x:c r="T196" s="49"/>
      <x:c r="U196" s="49"/>
      <x:c r="V196" s="49"/>
      <x:c r="W196" s="49"/>
      <x:c r="X196" s="49"/>
      <x:c r="Y196" s="49"/>
      <x:c r="Z196" s="49"/>
      <x:c r="AA196" s="49"/>
      <x:c r="AB196" s="49"/>
      <x:c r="AC196" s="49"/>
      <x:c r="AD196" s="49"/>
      <x:c r="AE196" s="49"/>
      <x:c r="AF196" s="49"/>
      <x:c r="AG196" s="49"/>
      <x:c r="AH196" s="49"/>
      <x:c r="AI196" s="49"/>
      <x:c r="AJ196" s="49"/>
      <x:c r="AK196" s="49"/>
      <x:c r="AL196" s="49"/>
      <x:c r="AM196" s="49"/>
      <x:c r="AN196" s="49"/>
      <x:c r="AO196" s="49"/>
      <x:c r="AP196" s="49"/>
      <x:c r="AQ196" s="49"/>
      <x:c r="AR196" s="49"/>
      <x:c r="AS196" s="49"/>
      <x:c r="AT196" s="49"/>
      <x:c r="AU196" s="49"/>
      <x:c r="AV196" s="49"/>
      <x:c r="AW196" s="49"/>
      <x:c r="AX196" s="49"/>
      <x:c r="AY196" s="49"/>
      <x:c r="AZ196" s="49"/>
    </x:row>
    <x:row r="197">
      <x:c r="A197" s="49"/>
      <x:c r="B197" s="49"/>
      <x:c r="C197" s="49"/>
      <x:c r="D197" s="49"/>
      <x:c r="E197" s="49"/>
      <x:c r="F197" s="49"/>
      <x:c r="G197" s="49"/>
      <x:c r="H197" s="49"/>
      <x:c r="I197" s="49"/>
      <x:c r="J197" s="49"/>
      <x:c r="K197" s="49"/>
      <x:c r="L197" s="49"/>
      <x:c r="M197" s="49"/>
      <x:c r="N197" s="49"/>
      <x:c r="O197" s="49"/>
      <x:c r="P197" s="49"/>
      <x:c r="Q197" s="49"/>
      <x:c r="R197" s="49"/>
      <x:c r="S197" s="49"/>
      <x:c r="T197" s="49"/>
      <x:c r="U197" s="49"/>
      <x:c r="V197" s="49"/>
      <x:c r="W197" s="49"/>
      <x:c r="X197" s="49"/>
      <x:c r="Y197" s="49"/>
      <x:c r="Z197" s="49"/>
      <x:c r="AA197" s="49"/>
      <x:c r="AB197" s="49"/>
      <x:c r="AC197" s="49"/>
      <x:c r="AD197" s="49"/>
      <x:c r="AE197" s="49"/>
      <x:c r="AF197" s="49"/>
      <x:c r="AG197" s="49"/>
      <x:c r="AH197" s="49"/>
      <x:c r="AI197" s="49"/>
      <x:c r="AJ197" s="49"/>
      <x:c r="AK197" s="49"/>
      <x:c r="AL197" s="49"/>
      <x:c r="AM197" s="49"/>
      <x:c r="AN197" s="49"/>
      <x:c r="AO197" s="49"/>
      <x:c r="AP197" s="49"/>
      <x:c r="AQ197" s="49"/>
      <x:c r="AR197" s="49"/>
      <x:c r="AS197" s="49"/>
      <x:c r="AT197" s="49"/>
      <x:c r="AU197" s="49"/>
      <x:c r="AV197" s="49"/>
      <x:c r="AW197" s="49"/>
      <x:c r="AX197" s="49"/>
      <x:c r="AY197" s="49"/>
      <x:c r="AZ197" s="49"/>
    </x:row>
    <x:row r="198">
      <x:c r="A198" s="49"/>
      <x:c r="B198" s="49"/>
      <x:c r="C198" s="49"/>
      <x:c r="D198" s="49"/>
      <x:c r="E198" s="49"/>
      <x:c r="F198" s="49"/>
      <x:c r="G198" s="49"/>
      <x:c r="H198" s="49"/>
      <x:c r="I198" s="49"/>
      <x:c r="J198" s="49"/>
      <x:c r="K198" s="49"/>
      <x:c r="L198" s="49"/>
      <x:c r="M198" s="49"/>
      <x:c r="N198" s="49"/>
      <x:c r="O198" s="49"/>
      <x:c r="P198" s="49"/>
      <x:c r="Q198" s="49"/>
      <x:c r="R198" s="49"/>
      <x:c r="S198" s="49"/>
      <x:c r="T198" s="49"/>
      <x:c r="U198" s="49"/>
      <x:c r="V198" s="49"/>
      <x:c r="W198" s="49"/>
      <x:c r="X198" s="49"/>
      <x:c r="Y198" s="49"/>
      <x:c r="Z198" s="49"/>
      <x:c r="AA198" s="49"/>
      <x:c r="AB198" s="49"/>
      <x:c r="AC198" s="49"/>
      <x:c r="AD198" s="49"/>
      <x:c r="AE198" s="49"/>
      <x:c r="AF198" s="49"/>
      <x:c r="AG198" s="49"/>
      <x:c r="AH198" s="49"/>
      <x:c r="AI198" s="49"/>
      <x:c r="AJ198" s="49"/>
      <x:c r="AK198" s="49"/>
      <x:c r="AL198" s="49"/>
      <x:c r="AM198" s="49"/>
      <x:c r="AN198" s="49"/>
      <x:c r="AO198" s="49"/>
      <x:c r="AP198" s="49"/>
      <x:c r="AQ198" s="49"/>
      <x:c r="AR198" s="49"/>
      <x:c r="AS198" s="49"/>
      <x:c r="AT198" s="49"/>
      <x:c r="AU198" s="49"/>
      <x:c r="AV198" s="49"/>
      <x:c r="AW198" s="49"/>
      <x:c r="AX198" s="49"/>
      <x:c r="AY198" s="49"/>
      <x:c r="AZ198" s="49"/>
    </x:row>
    <x:row r="199">
      <x:c r="A199" s="49"/>
      <x:c r="B199" s="49"/>
      <x:c r="C199" s="49"/>
      <x:c r="D199" s="49"/>
      <x:c r="E199" s="49"/>
      <x:c r="F199" s="49"/>
      <x:c r="G199" s="49"/>
      <x:c r="H199" s="49"/>
      <x:c r="I199" s="49"/>
      <x:c r="J199" s="49"/>
      <x:c r="K199" s="49"/>
      <x:c r="L199" s="49"/>
      <x:c r="M199" s="49"/>
      <x:c r="N199" s="49"/>
      <x:c r="O199" s="49"/>
      <x:c r="P199" s="49"/>
      <x:c r="Q199" s="49"/>
      <x:c r="R199" s="49"/>
      <x:c r="S199" s="49"/>
      <x:c r="T199" s="49"/>
      <x:c r="U199" s="49"/>
      <x:c r="V199" s="49"/>
      <x:c r="W199" s="49"/>
      <x:c r="X199" s="49"/>
      <x:c r="Y199" s="49"/>
      <x:c r="Z199" s="49"/>
      <x:c r="AA199" s="49"/>
      <x:c r="AB199" s="49"/>
      <x:c r="AC199" s="49"/>
      <x:c r="AD199" s="49"/>
      <x:c r="AE199" s="49"/>
      <x:c r="AF199" s="49"/>
      <x:c r="AG199" s="49"/>
      <x:c r="AH199" s="49"/>
      <x:c r="AI199" s="49"/>
      <x:c r="AJ199" s="49"/>
      <x:c r="AK199" s="49"/>
      <x:c r="AL199" s="49"/>
      <x:c r="AM199" s="49"/>
      <x:c r="AN199" s="49"/>
      <x:c r="AO199" s="49"/>
      <x:c r="AP199" s="49"/>
      <x:c r="AQ199" s="49"/>
      <x:c r="AR199" s="49"/>
      <x:c r="AS199" s="49"/>
      <x:c r="AT199" s="49"/>
      <x:c r="AU199" s="49"/>
      <x:c r="AV199" s="49"/>
      <x:c r="AW199" s="49"/>
      <x:c r="AX199" s="49"/>
      <x:c r="AY199" s="49"/>
      <x:c r="AZ199" s="49"/>
    </x:row>
    <x:row r="200">
      <x:c r="A200" s="49"/>
      <x:c r="B200" s="49"/>
      <x:c r="C200" s="49"/>
      <x:c r="D200" s="49"/>
      <x:c r="E200" s="49"/>
      <x:c r="F200" s="49"/>
      <x:c r="G200" s="49"/>
      <x:c r="H200" s="49"/>
      <x:c r="I200" s="49"/>
      <x:c r="J200" s="49"/>
      <x:c r="K200" s="49"/>
      <x:c r="L200" s="49"/>
      <x:c r="M200" s="49"/>
      <x:c r="N200" s="49"/>
      <x:c r="O200" s="49"/>
      <x:c r="P200" s="49"/>
      <x:c r="Q200" s="49"/>
      <x:c r="R200" s="49"/>
      <x:c r="S200" s="49"/>
      <x:c r="T200" s="49"/>
      <x:c r="U200" s="49"/>
      <x:c r="V200" s="49"/>
      <x:c r="W200" s="49"/>
      <x:c r="X200" s="49"/>
      <x:c r="Y200" s="49"/>
      <x:c r="Z200" s="49"/>
      <x:c r="AA200" s="49"/>
      <x:c r="AB200" s="49"/>
      <x:c r="AC200" s="49"/>
      <x:c r="AD200" s="49"/>
      <x:c r="AE200" s="49"/>
      <x:c r="AF200" s="49"/>
      <x:c r="AG200" s="49"/>
      <x:c r="AH200" s="49"/>
      <x:c r="AI200" s="49"/>
      <x:c r="AJ200" s="49"/>
      <x:c r="AK200" s="49"/>
      <x:c r="AL200" s="49"/>
      <x:c r="AM200" s="49"/>
      <x:c r="AN200" s="49"/>
      <x:c r="AO200" s="49"/>
      <x:c r="AP200" s="49"/>
      <x:c r="AQ200" s="49"/>
      <x:c r="AR200" s="49"/>
      <x:c r="AS200" s="49"/>
      <x:c r="AT200" s="49"/>
      <x:c r="AU200" s="49"/>
      <x:c r="AV200" s="49"/>
      <x:c r="AW200" s="49"/>
      <x:c r="AX200" s="49"/>
      <x:c r="AY200" s="49"/>
      <x:c r="AZ200" s="49"/>
    </x:row>
  </x:sheetData>
  <x:mergeCells>
    <x:mergeCell ref="A1:I1"/>
    <x:mergeCell ref="A2:I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10" hidden="0" customWidth="1"/>
    <x:col min="4" max="4" width="18" hidden="0" customWidth="1"/>
    <x:col min="5" max="5" width="8" hidden="0" customWidth="1"/>
    <x:col min="6" max="6" width="9" hidden="0" customWidth="1"/>
    <x:col min="7" max="7" width="11" hidden="0" customWidth="1"/>
    <x:col min="8" max="8" width="14" hidden="0" customWidth="1"/>
    <x:col min="9" max="9" width="11" hidden="0" customWidth="1"/>
    <x:col min="10" max="10" width="10" hidden="0" customWidth="1"/>
    <x:col min="11" max="11" width="12" hidden="0" customWidth="1"/>
    <x:col min="12" max="12" width="10" hidden="0" customWidth="1"/>
    <x:col min="13" max="13" width="13" hidden="0" customWidth="1"/>
    <x:col min="14" max="14" width="11" hidden="0" customWidth="1"/>
    <x:col min="15" max="15" width="11" hidden="0" customWidth="1"/>
    <x:col min="16" max="16" width="14" hidden="0" customWidth="1"/>
    <x:col min="17" max="17" width="15" hidden="0" customWidth="1"/>
    <x:col min="18" max="18" width="11" hidden="0" customWidth="1"/>
    <x:col min="19" max="19" width="15" hidden="0" customWidth="1"/>
    <x:col min="20" max="20" width="10" hidden="0" customWidth="1"/>
    <x:col min="21" max="21" width="12" hidden="0" customWidth="1"/>
    <x:col min="22" max="22" width="14" hidden="0" customWidth="1"/>
    <x:col min="23" max="23" width="12" hidden="0" customWidth="1"/>
    <x:col min="24" max="24" width="15" hidden="0" customWidth="1"/>
    <x:col min="25" max="25" width="10" hidden="0" customWidth="1"/>
    <x:col min="26" max="26" width="12" hidden="0" customWidth="1"/>
    <x:col min="27" max="27" width="10" hidden="0" customWidth="1"/>
    <x:col min="28" max="28" width="10" hidden="0" customWidth="1"/>
    <x:col min="29" max="29" width="10" hidden="0" customWidth="1"/>
    <x:col min="30" max="30" width="11" hidden="0" customWidth="1"/>
    <x:col min="31" max="31" width="10" hidden="0" customWidth="1"/>
    <x:col min="32" max="32" width="9" hidden="0" customWidth="1"/>
    <x:col min="33" max="33" width="14" hidden="0" customWidth="1"/>
    <x:col min="34" max="34" width="11" hidden="0" customWidth="1"/>
    <x:col min="35" max="35" width="13" hidden="0" customWidth="1"/>
    <x:col min="36" max="36" width="12" hidden="0" customWidth="1"/>
    <x:col min="37" max="37" width="11" hidden="0" customWidth="1"/>
    <x:col min="38" max="38" width="13" hidden="0" customWidth="1"/>
    <x:col min="39" max="39" width="14" hidden="0" customWidth="1"/>
    <x:col min="40" max="40" width="13" hidden="0" customWidth="1"/>
    <x:col min="41" max="41" width="15" hidden="0" customWidth="1"/>
    <x:col min="42" max="42" width="12" hidden="0" customWidth="1"/>
    <x:col min="43" max="43" width="12" hidden="0" customWidth="1"/>
    <x:col min="44" max="44" width="15" hidden="0" customWidth="1"/>
    <x:col min="45" max="45" width="15" hidden="0" customWidth="1"/>
    <x:col min="46" max="46" width="13" hidden="0" customWidth="1"/>
    <x:col min="47" max="47" width="12" hidden="0" customWidth="1"/>
  </x:cols>
  <x:sheetData>
    <x:row r="1" ht="28" customHeight="1">
      <x:c r="A1" s="226" t="str">
        <x:v>供应商成本 / 风险 / 分配动态模型</x:v>
      </x:c>
      <x:c r="B1" s="132"/>
      <x:c r="C1" s="132"/>
      <x:c r="D1" s="132"/>
      <x:c r="E1" s="132"/>
      <x:c r="F1" s="132"/>
      <x:c r="G1" s="132"/>
      <x:c r="H1" s="132"/>
      <x:c r="I1" s="132"/>
      <x:c r="J1" s="132"/>
      <x:c r="K1" s="132"/>
      <x:c r="L1" s="132"/>
      <x:c r="M1" s="132"/>
      <x:c r="N1" s="132"/>
      <x:c r="O1" s="132"/>
      <x:c r="P1" s="132"/>
      <x:c r="Q1" s="132"/>
      <x:c r="R1" s="132"/>
      <x:c r="S1" s="132"/>
      <x:c r="T1" s="132"/>
      <x:c r="U1" s="132"/>
      <x:c r="V1" s="132"/>
      <x:c r="W1" s="132"/>
      <x:c r="X1" s="132"/>
      <x:c r="Y1" s="132"/>
      <x:c r="Z1" s="132"/>
      <x:c r="AA1" s="132"/>
      <x:c r="AB1" s="132"/>
      <x:c r="AC1" s="132"/>
      <x:c r="AD1" s="132"/>
      <x:c r="AE1" s="132"/>
      <x:c r="AF1" s="132"/>
      <x:c r="AG1" s="132"/>
      <x:c r="AH1" s="132"/>
      <x:c r="AI1" s="132"/>
      <x:c r="AJ1" s="132"/>
      <x:c r="AK1" s="132"/>
      <x:c r="AL1" s="132"/>
      <x:c r="AM1" s="132"/>
      <x:c r="AN1" s="132"/>
      <x:c r="AO1" s="132"/>
      <x:c r="AP1" s="132"/>
      <x:c r="AQ1" s="132"/>
      <x:c r="AR1" s="132"/>
      <x:c r="AS1" s="132"/>
      <x:c r="AT1" s="132"/>
      <x:c r="AU1" s="132"/>
      <x:c r="AV1" s="49"/>
      <x:c r="AW1" s="49"/>
      <x:c r="AX1" s="49"/>
      <x:c r="AY1" s="49"/>
      <x:c r="AZ1" s="49"/>
    </x:row>
    <x:row r="2" ht="22" customHeight="1">
      <x:c r="A2" s="45" t="str">
        <x:v>公式驱动模型。黄色输入来自供应商主数据与参数设置；蓝色列为计算结果。风险评分为 0–100 的分析指数，并非真实发生概率。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  <x:c r="AA2" s="45"/>
      <x:c r="AB2" s="45"/>
      <x:c r="AC2" s="45"/>
      <x:c r="AD2" s="45"/>
      <x:c r="AE2" s="45"/>
      <x:c r="AF2" s="45"/>
      <x:c r="AG2" s="45"/>
      <x:c r="AH2" s="45"/>
      <x:c r="AI2" s="45"/>
      <x:c r="AJ2" s="45"/>
      <x:c r="AK2" s="45"/>
      <x:c r="AL2" s="45"/>
      <x:c r="AM2" s="45"/>
      <x:c r="AN2" s="45"/>
      <x:c r="AO2" s="45"/>
      <x:c r="AP2" s="45"/>
      <x:c r="AQ2" s="45"/>
      <x:c r="AR2" s="45"/>
      <x:c r="AS2" s="45"/>
      <x:c r="AT2" s="45"/>
      <x:c r="AU2" s="45"/>
      <x:c r="AV2" s="49"/>
      <x:c r="AW2" s="49"/>
      <x:c r="AX2" s="49"/>
      <x:c r="AY2" s="49"/>
      <x:c r="AZ2" s="49"/>
    </x:row>
    <x:row r="3" ht="22" customHeight="1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  <x:c r="AA3" s="45"/>
      <x:c r="AB3" s="45"/>
      <x:c r="AC3" s="45"/>
      <x:c r="AD3" s="45"/>
      <x:c r="AE3" s="45"/>
      <x:c r="AF3" s="45"/>
      <x:c r="AG3" s="45"/>
      <x:c r="AH3" s="45"/>
      <x:c r="AI3" s="45"/>
      <x:c r="AJ3" s="45"/>
      <x:c r="AK3" s="45"/>
      <x:c r="AL3" s="45"/>
      <x:c r="AM3" s="45"/>
      <x:c r="AN3" s="45"/>
      <x:c r="AO3" s="45"/>
      <x:c r="AP3" s="45"/>
      <x:c r="AQ3" s="45"/>
      <x:c r="AR3" s="45"/>
      <x:c r="AS3" s="45"/>
      <x:c r="AT3" s="45"/>
      <x:c r="AU3" s="45"/>
      <x:c r="AV3" s="49"/>
      <x:c r="AW3" s="49"/>
      <x:c r="AX3" s="49"/>
      <x:c r="AY3" s="49"/>
      <x:c r="AZ3" s="49"/>
    </x:row>
    <x:row r="4">
      <x:c r="A4" s="49"/>
      <x:c r="B4" s="49"/>
      <x:c r="C4" s="49"/>
      <x:c r="D4" s="49"/>
      <x:c r="E4" s="49"/>
      <x:c r="F4" s="49"/>
      <x:c r="G4" s="49"/>
      <x:c r="H4" s="49"/>
      <x:c r="I4" s="49"/>
      <x:c r="J4" s="49"/>
      <x:c r="K4" s="49"/>
      <x:c r="L4" s="49"/>
      <x:c r="M4" s="49"/>
      <x:c r="N4" s="49"/>
      <x:c r="O4" s="49"/>
      <x:c r="P4" s="49"/>
      <x:c r="Q4" s="49"/>
      <x:c r="R4" s="49"/>
      <x:c r="S4" s="49"/>
      <x:c r="T4" s="49"/>
      <x:c r="U4" s="49"/>
      <x:c r="V4" s="49"/>
      <x:c r="W4" s="49"/>
      <x:c r="X4" s="49"/>
      <x:c r="Y4" s="49"/>
      <x:c r="Z4" s="49"/>
      <x:c r="AA4" s="49"/>
      <x:c r="AB4" s="49"/>
      <x:c r="AC4" s="49"/>
      <x:c r="AD4" s="49"/>
      <x:c r="AE4" s="49"/>
      <x:c r="AF4" s="49"/>
      <x:c r="AG4" s="49"/>
      <x:c r="AH4" s="49"/>
      <x:c r="AI4" s="49"/>
      <x:c r="AJ4" s="49"/>
      <x:c r="AK4" s="49"/>
      <x:c r="AL4" s="49"/>
      <x:c r="AM4" s="49"/>
      <x:c r="AN4" s="49"/>
      <x:c r="AO4" s="49"/>
      <x:c r="AP4" s="49"/>
      <x:c r="AQ4" s="49"/>
      <x:c r="AR4" s="49"/>
      <x:c r="AS4" s="49"/>
      <x:c r="AT4" s="49"/>
      <x:c r="AU4" s="49"/>
      <x:c r="AV4" s="49"/>
      <x:c r="AW4" s="49"/>
      <x:c r="AX4" s="49"/>
      <x:c r="AY4" s="49"/>
      <x:c r="AZ4" s="49"/>
    </x:row>
    <x:row r="5">
      <x:c r="A5" s="144" t="str">
        <x:v>物料编号</x:v>
      </x:c>
      <x:c r="B5" s="144" t="str">
        <x:v>物料名称</x:v>
      </x:c>
      <x:c r="C5" s="144" t="str">
        <x:v>供应商编号</x:v>
      </x:c>
      <x:c r="D5" s="144" t="str">
        <x:v>供应商名称</x:v>
      </x:c>
      <x:c r="E5" s="144" t="str">
        <x:v>地区</x:v>
      </x:c>
      <x:c r="F5" s="144" t="str">
        <x:v>币种</x:v>
      </x:c>
      <x:c r="G5" s="144" t="str">
        <x:v>交期(天)</x:v>
      </x:c>
      <x:c r="H5" s="144" t="str">
        <x:v>月产能</x:v>
      </x:c>
      <x:c r="I5" s="144" t="str">
        <x:v>质量 PPM</x:v>
      </x:c>
      <x:c r="J5" s="144" t="str">
        <x:v>准时交付率</x:v>
      </x:c>
      <x:c r="K5" s="144" t="str">
        <x:v>单一来源风险</x:v>
      </x:c>
      <x:c r="L5" s="144" t="str">
        <x:v>地缘风险</x:v>
      </x:c>
      <x:c r="M5" s="144" t="str">
        <x:v>单价</x:v>
      </x:c>
      <x:c r="N5" s="144" t="str">
        <x:v>单位运费</x:v>
      </x:c>
      <x:c r="O5" s="144" t="str">
        <x:v>折算 CNY 汇率</x:v>
      </x:c>
      <x:c r="P5" s="144" t="str">
        <x:v>基准到岸成本(CNY)</x:v>
      </x:c>
      <x:c r="Q5" s="144" t="str">
        <x:v>年度基准需求</x:v>
      </x:c>
      <x:c r="R5" s="144" t="str">
        <x:v>需求乘数</x:v>
      </x:c>
      <x:c r="S5" s="144" t="str">
        <x:v>调整后年度需求</x:v>
      </x:c>
      <x:c r="T5" s="144" t="str">
        <x:v>价格乘数</x:v>
      </x:c>
      <x:c r="U5" s="144" t="str">
        <x:v>外币汇率乘数</x:v>
      </x:c>
      <x:c r="V5" s="144" t="str">
        <x:v>调整后到岸成本</x:v>
      </x:c>
      <x:c r="W5" s="144" t="str">
        <x:v>产能乘数</x:v>
      </x:c>
      <x:c r="X5" s="144" t="str">
        <x:v>调整后年产能</x:v>
      </x:c>
      <x:c r="Y5" s="144" t="str">
        <x:v>交期乘数</x:v>
      </x:c>
      <x:c r="Z5" s="144" t="str">
        <x:v>调整后交期</x:v>
      </x:c>
      <x:c r="AA5" s="144" t="str">
        <x:v>交期风险</x:v>
      </x:c>
      <x:c r="AB5" s="144" t="str">
        <x:v>OTD 风险</x:v>
      </x:c>
      <x:c r="AC5" s="144" t="str">
        <x:v>质量风险</x:v>
      </x:c>
      <x:c r="AD5" s="144" t="str">
        <x:v>产能风险</x:v>
      </x:c>
      <x:c r="AE5" s="144" t="str">
        <x:v>单一来源风险</x:v>
      </x:c>
      <x:c r="AF5" s="144" t="str">
        <x:v>地缘风险</x:v>
      </x:c>
      <x:c r="AG5" s="144" t="str">
        <x:v>供应风险评分(0-100)</x:v>
      </x:c>
      <x:c r="AH5" s="144" t="str">
        <x:v>成本指数</x:v>
      </x:c>
      <x:c r="AI5" s="144" t="str">
        <x:v>策略评分</x:v>
      </x:c>
      <x:c r="AJ5" s="144" t="str">
        <x:v>策略排名</x:v>
      </x:c>
      <x:c r="AK5" s="144" t="str">
        <x:v>目标份额</x:v>
      </x:c>
      <x:c r="AL5" s="144" t="str">
        <x:v>初始分配</x:v>
      </x:c>
      <x:c r="AM5" s="144" t="str">
        <x:v>初始缺口</x:v>
      </x:c>
      <x:c r="AN5" s="144" t="str">
        <x:v>剩余产能</x:v>
      </x:c>
      <x:c r="AO5" s="144" t="str">
        <x:v>物料剩余总产能</x:v>
      </x:c>
      <x:c r="AP5" s="144" t="str">
        <x:v>追加分配</x:v>
      </x:c>
      <x:c r="AQ5" s="144" t="str">
        <x:v>最终分配</x:v>
      </x:c>
      <x:c r="AR5" s="144" t="str">
        <x:v>分配成本(CNY)</x:v>
      </x:c>
      <x:c r="AS5" s="144" t="str">
        <x:v>成本加权风险</x:v>
      </x:c>
      <x:c r="AT5" s="144" t="str">
        <x:v>集中度贡献</x:v>
      </x:c>
      <x:c r="AU5" s="144" t="str">
        <x:v>模拟标记</x:v>
      </x:c>
      <x:c r="AV5" s="49"/>
      <x:c r="AW5" s="49"/>
      <x:c r="AX5" s="49"/>
      <x:c r="AY5" s="49"/>
      <x:c r="AZ5" s="49"/>
    </x:row>
    <x:row r="6">
      <x:c r="A6" s="49" t="str">
        <x:v>M001</x:v>
      </x:c>
      <x:c r="B6" s="49" t="str">
        <x:v>硅晶圆</x:v>
      </x:c>
      <x:c r="C6" s="49" t="str">
        <x:v>S001</x:v>
      </x:c>
      <x:c r="D6" s="49" t="str">
        <x:v>Supplier_S001_SG</x:v>
      </x:c>
      <x:c r="E6" s="49" t="str">
        <x:v>SG</x:v>
      </x:c>
      <x:c r="F6" s="49" t="str">
        <x:v>SGD</x:v>
      </x:c>
      <x:c r="G6" s="134" t="n">
        <x:v>43</x:v>
      </x:c>
      <x:c r="H6" s="134" t="n">
        <x:v>2544</x:v>
      </x:c>
      <x:c r="I6" s="134" t="n">
        <x:v>275</x:v>
      </x:c>
      <x:c r="J6" s="164" t="n">
        <x:v>0.9937</x:v>
      </x:c>
      <x:c r="K6" s="134" t="n">
        <x:v>3</x:v>
      </x:c>
      <x:c r="L6" s="134" t="n">
        <x:v>1</x:v>
      </x:c>
      <x:c r="M6" s="134" t="n">
        <x:v>148.3342</x:v>
      </x:c>
      <x:c r="N6" s="134" t="n">
        <x:v>1.4743</x:v>
      </x:c>
      <x:c r="O6" s="194" t="n">
        <x:f>VLOOKUP(F6,'01_Assumptions'!$F$15:$G$20,2,FALSE)</x:f>
        <x:v>5.35</x:v>
      </x:c>
      <x:c r="P6" s="194" t="n">
        <x:f>(M6+N6)*O6</x:f>
        <x:v>801.475475</x:v>
      </x:c>
      <x:c r="Q6" s="195" t="n">
        <x:f>SUMIFS('03_Demand_Forecast'!$E$6:$E$101,'03_Demand_Forecast'!$B$6:$B$101,A6)</x:f>
        <x:v>43334</x:v>
      </x:c>
      <x:c r="R6" s="196" t="n">
        <x:f>'01_Assumptions'!$B$8</x:f>
        <x:v>1</x:v>
      </x:c>
      <x:c r="S6" s="195" t="n">
        <x:f>Q6*R6</x:f>
        <x:v>43334</x:v>
      </x:c>
      <x:c r="T6" s="196" t="n">
        <x:f>'01_Assumptions'!$B$9</x:f>
        <x:v>1</x:v>
      </x:c>
      <x:c r="U6" s="196" t="n">
        <x:f>IF(F6="CNY",1,'01_Assumptions'!$B$12)</x:f>
        <x:v>1</x:v>
      </x:c>
      <x:c r="V6" s="194" t="n">
        <x:f>P6*T6*U6</x:f>
        <x:v>801.475475</x:v>
      </x:c>
      <x:c r="W6" s="196" t="n">
        <x:f>'01_Assumptions'!$B$10</x:f>
        <x:v>1</x:v>
      </x:c>
      <x:c r="X6" s="195" t="n">
        <x:f>H6*12*W6</x:f>
        <x:v>30528</x:v>
      </x:c>
      <x:c r="Y6" s="196" t="n">
        <x:f>'01_Assumptions'!$B$11</x:f>
        <x:v>1</x:v>
      </x:c>
      <x:c r="Z6" s="196" t="n">
        <x:f>G6*Y6</x:f>
        <x:v>43</x:v>
      </x:c>
      <x:c r="AA6" s="196" t="n">
        <x:f>MIN(1,Z6/90)</x:f>
        <x:v>0.4777777777777778</x:v>
      </x:c>
      <x:c r="AB6" s="197" t="n">
        <x:f>1-J6</x:f>
        <x:v>0.006299999999999972</x:v>
      </x:c>
      <x:c r="AC6" s="197" t="n">
        <x:f>MIN(1,I6/500)</x:f>
        <x:v>0.55</x:v>
      </x:c>
      <x:c r="AD6" s="197" t="n">
        <x:f>MAX(0,1-MIN(1,X6/S6))</x:f>
        <x:v>0.29551853048414645</x:v>
      </x:c>
      <x:c r="AE6" s="197" t="n">
        <x:f>(K6-1)/4</x:f>
        <x:v>0.5</x:v>
      </x:c>
      <x:c r="AF6" s="197" t="n">
        <x:f>(L6-1)/4</x:f>
        <x:v>0</x:v>
      </x:c>
      <x:c r="AG6" s="198" t="n">
        <x:f>100*(AA6*0.18+AB6*0.20+AC6*0.18+AD6*0.20+AE6*0.12+AF6*0.12)</x:f>
        <x:v>30.536370609682926</x:v>
      </x:c>
      <x:c r="AH6" s="199" t="n">
        <x:f>V6/MINIFS($V$6:$V$29,$A$6:$A$29,A6)-1</x:f>
        <x:v>0.09217380716730506</x:v>
      </x:c>
      <x:c r="AI6" s="199" t="n">
        <x:f>IF('01_Assumptions'!$B$7="最低成本",AH6,IF('01_Assumptions'!$B$7="均衡",0.55*AH6+0.45*AG6/100,0.30*AH6+0.70*AG6/100))</x:f>
        <x:v>0.18810926168559094</x:v>
      </x:c>
      <x:c r="AJ6" s="196" t="n">
        <x:f>1+COUNTIFS($A$6:$A$29,A6,$AI$6:$AI$29,"&lt;"&amp;AI6)</x:f>
        <x:v>2</x:v>
      </x:c>
      <x:c r="AK6" s="197" t="n">
        <x:f>IF('01_Assumptions'!$B$7="最低成本",IF(AJ6=1,1,0),IF('01_Assumptions'!$B$7="均衡",IF(AJ6=1,0.75,IF(AJ6=2,0.25,0)),IF(AJ6=1,0.60,IF(AJ6=2,0.30,IF(AJ6=3,0.10,0)))))</x:f>
        <x:v>0.25</x:v>
      </x:c>
      <x:c r="AL6" s="195" t="n">
        <x:f>MIN(S6*AK6,X6)</x:f>
        <x:v>10833.5</x:v>
      </x:c>
      <x:c r="AM6" s="195" t="n">
        <x:f>MAX(0,S6-SUMIFS($AL$6:$AL$29,$A$6:$A$29,A6))</x:f>
        <x:v>0</x:v>
      </x:c>
      <x:c r="AN6" s="195" t="n">
        <x:f>MAX(0,X6-AL6)</x:f>
        <x:v>19694.5</x:v>
      </x:c>
      <x:c r="AO6" s="195" t="n">
        <x:f>SUMIFS($AN$6:$AN$29,$A$6:$A$29,A6)</x:f>
        <x:v>61990</x:v>
      </x:c>
      <x:c r="AP6" s="195" t="n">
        <x:f>IF(AO6=0,0,MIN(AN6,AM6*AN6/AO6))</x:f>
        <x:v>0</x:v>
      </x:c>
      <x:c r="AQ6" s="195" t="n">
        <x:f>AL6+AP6</x:f>
        <x:v>10833.5</x:v>
      </x:c>
      <x:c r="AR6" s="195" t="n">
        <x:f>AQ6*V6</x:f>
        <x:v>8682784.5584125</x:v>
      </x:c>
      <x:c r="AS6" s="195" t="n">
        <x:f>AR6*AG6</x:f>
        <x:v>265140727.1997162</x:v>
      </x:c>
      <x:c r="AT6" s="197" t="n">
        <x:f>IF(SUMIFS($AQ$6:$AQ$29,$A$6:$A$29,A6)=0,0,(AQ6/SUMIFS($AQ$6:$AQ$29,$A$6:$A$29,A6))^2)</x:f>
        <x:v>0.0625</x:v>
      </x:c>
      <x:c r="AU6" s="166" t="b">
        <x:v>1</x:v>
      </x:c>
      <x:c r="AV6" s="49"/>
      <x:c r="AW6" s="49"/>
      <x:c r="AX6" s="49"/>
      <x:c r="AY6" s="49"/>
      <x:c r="AZ6" s="49"/>
    </x:row>
    <x:row r="7">
      <x:c r="A7" s="49" t="str">
        <x:v>M001</x:v>
      </x:c>
      <x:c r="B7" s="49" t="str">
        <x:v>硅晶圆</x:v>
      </x:c>
      <x:c r="C7" s="49" t="str">
        <x:v>S002</x:v>
      </x:c>
      <x:c r="D7" s="49" t="str">
        <x:v>Supplier_S002_DE</x:v>
      </x:c>
      <x:c r="E7" s="49" t="str">
        <x:v>DE</x:v>
      </x:c>
      <x:c r="F7" s="49" t="str">
        <x:v>EUR</x:v>
      </x:c>
      <x:c r="G7" s="134" t="n">
        <x:v>41</x:v>
      </x:c>
      <x:c r="H7" s="134" t="n">
        <x:v>2645</x:v>
      </x:c>
      <x:c r="I7" s="134" t="n">
        <x:v>179</x:v>
      </x:c>
      <x:c r="J7" s="164" t="n">
        <x:v>0.9525</x:v>
      </x:c>
      <x:c r="K7" s="134" t="n">
        <x:v>1</x:v>
      </x:c>
      <x:c r="L7" s="134" t="n">
        <x:v>2</x:v>
      </x:c>
      <x:c r="M7" s="134" t="n">
        <x:v>112.1083</x:v>
      </x:c>
      <x:c r="N7" s="134" t="n">
        <x:v>1.6138</x:v>
      </x:c>
      <x:c r="O7" s="194" t="n">
        <x:f>VLOOKUP(F7,'01_Assumptions'!$F$15:$G$20,2,FALSE)</x:f>
        <x:v>7.75</x:v>
      </x:c>
      <x:c r="P7" s="194" t="n">
        <x:f>(M7+N7)*O7</x:f>
        <x:v>881.346275</x:v>
      </x:c>
      <x:c r="Q7" s="195" t="n">
        <x:f>SUMIFS('03_Demand_Forecast'!$E$6:$E$101,'03_Demand_Forecast'!$B$6:$B$101,A7)</x:f>
        <x:v>43334</x:v>
      </x:c>
      <x:c r="R7" s="196" t="n">
        <x:f>'01_Assumptions'!$B$8</x:f>
        <x:v>1</x:v>
      </x:c>
      <x:c r="S7" s="195" t="n">
        <x:f>Q7*R7</x:f>
        <x:v>43334</x:v>
      </x:c>
      <x:c r="T7" s="196" t="n">
        <x:f>'01_Assumptions'!$B$9</x:f>
        <x:v>1</x:v>
      </x:c>
      <x:c r="U7" s="196" t="n">
        <x:f>IF(F7="CNY",1,'01_Assumptions'!$B$12)</x:f>
        <x:v>1</x:v>
      </x:c>
      <x:c r="V7" s="194" t="n">
        <x:f>P7*T7*U7</x:f>
        <x:v>881.346275</x:v>
      </x:c>
      <x:c r="W7" s="196" t="n">
        <x:f>'01_Assumptions'!$B$10</x:f>
        <x:v>1</x:v>
      </x:c>
      <x:c r="X7" s="195" t="n">
        <x:f>H7*12*W7</x:f>
        <x:v>31740</x:v>
      </x:c>
      <x:c r="Y7" s="196" t="n">
        <x:f>'01_Assumptions'!$B$11</x:f>
        <x:v>1</x:v>
      </x:c>
      <x:c r="Z7" s="196" t="n">
        <x:f>G7*Y7</x:f>
        <x:v>41</x:v>
      </x:c>
      <x:c r="AA7" s="196" t="n">
        <x:f>MIN(1,Z7/90)</x:f>
        <x:v>0.45555555555555555</x:v>
      </x:c>
      <x:c r="AB7" s="197" t="n">
        <x:f>1-J7</x:f>
        <x:v>0.04749999999999999</x:v>
      </x:c>
      <x:c r="AC7" s="197" t="n">
        <x:f>MIN(1,I7/500)</x:f>
        <x:v>0.358</x:v>
      </x:c>
      <x:c r="AD7" s="197" t="n">
        <x:f>MAX(0,1-MIN(1,X7/S7))</x:f>
        <x:v>0.26754973000415383</x:v>
      </x:c>
      <x:c r="AE7" s="197" t="n">
        <x:f>(K7-1)/4</x:f>
        <x:v>0</x:v>
      </x:c>
      <x:c r="AF7" s="197" t="n">
        <x:f>(L7-1)/4</x:f>
        <x:v>0.25</x:v>
      </x:c>
      <x:c r="AG7" s="198" t="n">
        <x:f>100*(AA7*0.18+AB7*0.20+AC7*0.18+AD7*0.20+AE7*0.12+AF7*0.12)</x:f>
        <x:v>23.94499460008307</x:v>
      </x:c>
      <x:c r="AH7" s="199" t="n">
        <x:f>V7/MINIFS($V$6:$V$29,$A$6:$A$29,A7)-1</x:f>
        <x:v>0.20101406296864233</x:v>
      </x:c>
      <x:c r="AI7" s="199" t="n">
        <x:f>IF('01_Assumptions'!$B$7="最低成本",AH7,IF('01_Assumptions'!$B$7="均衡",0.55*AH7+0.45*AG7/100,0.30*AH7+0.70*AG7/100))</x:f>
        <x:v>0.2183102103331271</x:v>
      </x:c>
      <x:c r="AJ7" s="196" t="n">
        <x:f>1+COUNTIFS($A$6:$A$29,A7,$AI$6:$AI$29,"&lt;"&amp;AI7)</x:f>
        <x:v>3</x:v>
      </x:c>
      <x:c r="AK7" s="197" t="n">
        <x:f>IF('01_Assumptions'!$B$7="最低成本",IF(AJ7=1,1,0),IF('01_Assumptions'!$B$7="均衡",IF(AJ7=1,0.75,IF(AJ7=2,0.25,0)),IF(AJ7=1,0.60,IF(AJ7=2,0.30,IF(AJ7=3,0.10,0)))))</x:f>
        <x:v>0</x:v>
      </x:c>
      <x:c r="AL7" s="195" t="n">
        <x:f>MIN(S7*AK7,X7)</x:f>
        <x:v>0</x:v>
      </x:c>
      <x:c r="AM7" s="195" t="n">
        <x:f>MAX(0,S7-SUMIFS($AL$6:$AL$29,$A$6:$A$29,A7))</x:f>
        <x:v>0</x:v>
      </x:c>
      <x:c r="AN7" s="195" t="n">
        <x:f>MAX(0,X7-AL7)</x:f>
        <x:v>31740</x:v>
      </x:c>
      <x:c r="AO7" s="195" t="n">
        <x:f>SUMIFS($AN$6:$AN$29,$A$6:$A$29,A7)</x:f>
        <x:v>61990</x:v>
      </x:c>
      <x:c r="AP7" s="195" t="n">
        <x:f>IF(AO7=0,0,MIN(AN7,AM7*AN7/AO7))</x:f>
        <x:v>0</x:v>
      </x:c>
      <x:c r="AQ7" s="195" t="n">
        <x:f>AL7+AP7</x:f>
        <x:v>0</x:v>
      </x:c>
      <x:c r="AR7" s="195" t="n">
        <x:f>AQ7*V7</x:f>
        <x:v>0</x:v>
      </x:c>
      <x:c r="AS7" s="195" t="n">
        <x:f>AR7*AG7</x:f>
        <x:v>0</x:v>
      </x:c>
      <x:c r="AT7" s="197" t="n">
        <x:f>IF(SUMIFS($AQ$6:$AQ$29,$A$6:$A$29,A7)=0,0,(AQ7/SUMIFS($AQ$6:$AQ$29,$A$6:$A$29,A7))^2)</x:f>
        <x:v>0</x:v>
      </x:c>
      <x:c r="AU7" s="166" t="b">
        <x:v>1</x:v>
      </x:c>
      <x:c r="AV7" s="49"/>
      <x:c r="AW7" s="49"/>
      <x:c r="AX7" s="49"/>
      <x:c r="AY7" s="49"/>
      <x:c r="AZ7" s="49"/>
    </x:row>
    <x:row r="8">
      <x:c r="A8" s="49" t="str">
        <x:v>M001</x:v>
      </x:c>
      <x:c r="B8" s="49" t="str">
        <x:v>硅晶圆</x:v>
      </x:c>
      <x:c r="C8" s="49" t="str">
        <x:v>S003</x:v>
      </x:c>
      <x:c r="D8" s="49" t="str">
        <x:v>Supplier_S003_CN</x:v>
      </x:c>
      <x:c r="E8" s="49" t="str">
        <x:v>CN</x:v>
      </x:c>
      <x:c r="F8" s="49" t="str">
        <x:v>CNY</x:v>
      </x:c>
      <x:c r="G8" s="134" t="n">
        <x:v>56</x:v>
      </x:c>
      <x:c r="H8" s="134" t="n">
        <x:v>3588</x:v>
      </x:c>
      <x:c r="I8" s="134" t="n">
        <x:v>318</x:v>
      </x:c>
      <x:c r="J8" s="164" t="n">
        <x:v>0.9234</x:v>
      </x:c>
      <x:c r="K8" s="134" t="n">
        <x:v>5</x:v>
      </x:c>
      <x:c r="L8" s="134" t="n">
        <x:v>1</x:v>
      </x:c>
      <x:c r="M8" s="134" t="n">
        <x:v>723.2894</x:v>
      </x:c>
      <x:c r="N8" s="134" t="n">
        <x:v>10.5457</x:v>
      </x:c>
      <x:c r="O8" s="194" t="n">
        <x:f>VLOOKUP(F8,'01_Assumptions'!$F$15:$G$20,2,FALSE)</x:f>
        <x:v>1</x:v>
      </x:c>
      <x:c r="P8" s="194" t="n">
        <x:f>(M8+N8)*O8</x:f>
        <x:v>733.8351</x:v>
      </x:c>
      <x:c r="Q8" s="195" t="n">
        <x:f>SUMIFS('03_Demand_Forecast'!$E$6:$E$101,'03_Demand_Forecast'!$B$6:$B$101,A8)</x:f>
        <x:v>43334</x:v>
      </x:c>
      <x:c r="R8" s="196" t="n">
        <x:f>'01_Assumptions'!$B$8</x:f>
        <x:v>1</x:v>
      </x:c>
      <x:c r="S8" s="195" t="n">
        <x:f>Q8*R8</x:f>
        <x:v>43334</x:v>
      </x:c>
      <x:c r="T8" s="196" t="n">
        <x:f>'01_Assumptions'!$B$9</x:f>
        <x:v>1</x:v>
      </x:c>
      <x:c r="U8" s="196" t="n">
        <x:f>IF(F8="CNY",1,'01_Assumptions'!$B$12)</x:f>
        <x:v>1</x:v>
      </x:c>
      <x:c r="V8" s="194" t="n">
        <x:f>P8*T8*U8</x:f>
        <x:v>733.8351</x:v>
      </x:c>
      <x:c r="W8" s="196" t="n">
        <x:f>'01_Assumptions'!$B$10</x:f>
        <x:v>1</x:v>
      </x:c>
      <x:c r="X8" s="195" t="n">
        <x:f>H8*12*W8</x:f>
        <x:v>43056</x:v>
      </x:c>
      <x:c r="Y8" s="196" t="n">
        <x:f>'01_Assumptions'!$B$11</x:f>
        <x:v>1</x:v>
      </x:c>
      <x:c r="Z8" s="196" t="n">
        <x:f>G8*Y8</x:f>
        <x:v>56</x:v>
      </x:c>
      <x:c r="AA8" s="196" t="n">
        <x:f>MIN(1,Z8/90)</x:f>
        <x:v>0.6222222222222222</x:v>
      </x:c>
      <x:c r="AB8" s="197" t="n">
        <x:f>1-J8</x:f>
        <x:v>0.0766</x:v>
      </x:c>
      <x:c r="AC8" s="197" t="n">
        <x:f>MIN(1,I8/500)</x:f>
        <x:v>0.636</x:v>
      </x:c>
      <x:c r="AD8" s="197" t="n">
        <x:f>MAX(0,1-MIN(1,X8/S8))</x:f>
        <x:v>0.006415285918678126</x:v>
      </x:c>
      <x:c r="AE8" s="197" t="n">
        <x:f>(K8-1)/4</x:f>
        <x:v>1</x:v>
      </x:c>
      <x:c r="AF8" s="197" t="n">
        <x:f>(L8-1)/4</x:f>
        <x:v>0</x:v>
      </x:c>
      <x:c r="AG8" s="198" t="n">
        <x:f>100*(AA8*0.18+AB8*0.20+AC8*0.18+AD8*0.20+AE8*0.12+AF8*0.12)</x:f>
        <x:v>36.30830571837356</x:v>
      </x:c>
      <x:c r="AH8" s="199" t="n">
        <x:f>V8/MINIFS($V$6:$V$29,$A$6:$A$29,A8)-1</x:f>
        <x:v>0</x:v>
      </x:c>
      <x:c r="AI8" s="199" t="n">
        <x:f>IF('01_Assumptions'!$B$7="最低成本",AH8,IF('01_Assumptions'!$B$7="均衡",0.55*AH8+0.45*AG8/100,0.30*AH8+0.70*AG8/100))</x:f>
        <x:v>0.16338737573268103</x:v>
      </x:c>
      <x:c r="AJ8" s="196" t="n">
        <x:f>1+COUNTIFS($A$6:$A$29,A8,$AI$6:$AI$29,"&lt;"&amp;AI8)</x:f>
        <x:v>1</x:v>
      </x:c>
      <x:c r="AK8" s="197" t="n">
        <x:f>IF('01_Assumptions'!$B$7="最低成本",IF(AJ8=1,1,0),IF('01_Assumptions'!$B$7="均衡",IF(AJ8=1,0.75,IF(AJ8=2,0.25,0)),IF(AJ8=1,0.60,IF(AJ8=2,0.30,IF(AJ8=3,0.10,0)))))</x:f>
        <x:v>0.75</x:v>
      </x:c>
      <x:c r="AL8" s="195" t="n">
        <x:f>MIN(S8*AK8,X8)</x:f>
        <x:v>32500.5</x:v>
      </x:c>
      <x:c r="AM8" s="195" t="n">
        <x:f>MAX(0,S8-SUMIFS($AL$6:$AL$29,$A$6:$A$29,A8))</x:f>
        <x:v>0</x:v>
      </x:c>
      <x:c r="AN8" s="195" t="n">
        <x:f>MAX(0,X8-AL8)</x:f>
        <x:v>10555.5</x:v>
      </x:c>
      <x:c r="AO8" s="195" t="n">
        <x:f>SUMIFS($AN$6:$AN$29,$A$6:$A$29,A8)</x:f>
        <x:v>61990</x:v>
      </x:c>
      <x:c r="AP8" s="195" t="n">
        <x:f>IF(AO8=0,0,MIN(AN8,AM8*AN8/AO8))</x:f>
        <x:v>0</x:v>
      </x:c>
      <x:c r="AQ8" s="195" t="n">
        <x:f>AL8+AP8</x:f>
        <x:v>32500.5</x:v>
      </x:c>
      <x:c r="AR8" s="195" t="n">
        <x:f>AQ8*V8</x:f>
        <x:v>23850007.66755</x:v>
      </x:c>
      <x:c r="AS8" s="195" t="n">
        <x:f>AR8*AG8</x:f>
        <x:v>865953369.7789589</x:v>
      </x:c>
      <x:c r="AT8" s="197" t="n">
        <x:f>IF(SUMIFS($AQ$6:$AQ$29,$A$6:$A$29,A8)=0,0,(AQ8/SUMIFS($AQ$6:$AQ$29,$A$6:$A$29,A8))^2)</x:f>
        <x:v>0.5625</x:v>
      </x:c>
      <x:c r="AU8" s="166" t="b">
        <x:v>1</x:v>
      </x:c>
      <x:c r="AV8" s="49"/>
      <x:c r="AW8" s="49"/>
      <x:c r="AX8" s="49"/>
      <x:c r="AY8" s="49"/>
      <x:c r="AZ8" s="49"/>
    </x:row>
    <x:row r="9">
      <x:c r="A9" s="49" t="str">
        <x:v>M002</x:v>
      </x:c>
      <x:c r="B9" s="49" t="str">
        <x:v>光刻胶</x:v>
      </x:c>
      <x:c r="C9" s="49" t="str">
        <x:v>S004</x:v>
      </x:c>
      <x:c r="D9" s="49" t="str">
        <x:v>Supplier_S004_CN</x:v>
      </x:c>
      <x:c r="E9" s="49" t="str">
        <x:v>CN</x:v>
      </x:c>
      <x:c r="F9" s="49" t="str">
        <x:v>CNY</x:v>
      </x:c>
      <x:c r="G9" s="134" t="n">
        <x:v>59</x:v>
      </x:c>
      <x:c r="H9" s="134" t="n">
        <x:v>2699</x:v>
      </x:c>
      <x:c r="I9" s="134" t="n">
        <x:v>174</x:v>
      </x:c>
      <x:c r="J9" s="164" t="n">
        <x:v>0.9801</x:v>
      </x:c>
      <x:c r="K9" s="134" t="n">
        <x:v>2</x:v>
      </x:c>
      <x:c r="L9" s="134" t="n">
        <x:v>1</x:v>
      </x:c>
      <x:c r="M9" s="134" t="n">
        <x:v>383.4254</x:v>
      </x:c>
      <x:c r="N9" s="134" t="n">
        <x:v>6.2609</x:v>
      </x:c>
      <x:c r="O9" s="194" t="n">
        <x:f>VLOOKUP(F9,'01_Assumptions'!$F$15:$G$20,2,FALSE)</x:f>
        <x:v>1</x:v>
      </x:c>
      <x:c r="P9" s="194" t="n">
        <x:f>(M9+N9)*O9</x:f>
        <x:v>389.6863</x:v>
      </x:c>
      <x:c r="Q9" s="195" t="n">
        <x:f>SUMIFS('03_Demand_Forecast'!$E$6:$E$101,'03_Demand_Forecast'!$B$6:$B$101,A9)</x:f>
        <x:v>34547</x:v>
      </x:c>
      <x:c r="R9" s="196" t="n">
        <x:f>'01_Assumptions'!$B$8</x:f>
        <x:v>1</x:v>
      </x:c>
      <x:c r="S9" s="195" t="n">
        <x:f>Q9*R9</x:f>
        <x:v>34547</x:v>
      </x:c>
      <x:c r="T9" s="196" t="n">
        <x:f>'01_Assumptions'!$B$9</x:f>
        <x:v>1</x:v>
      </x:c>
      <x:c r="U9" s="196" t="n">
        <x:f>IF(F9="CNY",1,'01_Assumptions'!$B$12)</x:f>
        <x:v>1</x:v>
      </x:c>
      <x:c r="V9" s="194" t="n">
        <x:f>P9*T9*U9</x:f>
        <x:v>389.6863</x:v>
      </x:c>
      <x:c r="W9" s="196" t="n">
        <x:f>'01_Assumptions'!$B$10</x:f>
        <x:v>1</x:v>
      </x:c>
      <x:c r="X9" s="195" t="n">
        <x:f>H9*12*W9</x:f>
        <x:v>32388</x:v>
      </x:c>
      <x:c r="Y9" s="196" t="n">
        <x:f>'01_Assumptions'!$B$11</x:f>
        <x:v>1</x:v>
      </x:c>
      <x:c r="Z9" s="196" t="n">
        <x:f>G9*Y9</x:f>
        <x:v>59</x:v>
      </x:c>
      <x:c r="AA9" s="196" t="n">
        <x:f>MIN(1,Z9/90)</x:f>
        <x:v>0.6555555555555556</x:v>
      </x:c>
      <x:c r="AB9" s="197" t="n">
        <x:f>1-J9</x:f>
        <x:v>0.01990000000000003</x:v>
      </x:c>
      <x:c r="AC9" s="197" t="n">
        <x:f>MIN(1,I9/500)</x:f>
        <x:v>0.348</x:v>
      </x:c>
      <x:c r="AD9" s="197" t="n">
        <x:f>MAX(0,1-MIN(1,X9/S9))</x:f>
        <x:v>0.06249457261122526</x:v>
      </x:c>
      <x:c r="AE9" s="197" t="n">
        <x:f>(K9-1)/4</x:f>
        <x:v>0.25</x:v>
      </x:c>
      <x:c r="AF9" s="197" t="n">
        <x:f>(L9-1)/4</x:f>
        <x:v>0</x:v>
      </x:c>
      <x:c r="AG9" s="198" t="n">
        <x:f>100*(AA9*0.18+AB9*0.20+AC9*0.18+AD9*0.20+AE9*0.12+AF9*0.12)</x:f>
        <x:v>22.711891452224506</x:v>
      </x:c>
      <x:c r="AH9" s="199" t="n">
        <x:f>V9/MINIFS($V$6:$V$29,$A$6:$A$29,A9)-1</x:f>
        <x:v>0</x:v>
      </x:c>
      <x:c r="AI9" s="199" t="n">
        <x:f>IF('01_Assumptions'!$B$7="最低成本",AH9,IF('01_Assumptions'!$B$7="均衡",0.55*AH9+0.45*AG9/100,0.30*AH9+0.70*AG9/100))</x:f>
        <x:v>0.10220351153501028</x:v>
      </x:c>
      <x:c r="AJ9" s="196" t="n">
        <x:f>1+COUNTIFS($A$6:$A$29,A9,$AI$6:$AI$29,"&lt;"&amp;AI9)</x:f>
        <x:v>1</x:v>
      </x:c>
      <x:c r="AK9" s="197" t="n">
        <x:f>IF('01_Assumptions'!$B$7="最低成本",IF(AJ9=1,1,0),IF('01_Assumptions'!$B$7="均衡",IF(AJ9=1,0.75,IF(AJ9=2,0.25,0)),IF(AJ9=1,0.60,IF(AJ9=2,0.30,IF(AJ9=3,0.10,0)))))</x:f>
        <x:v>0.75</x:v>
      </x:c>
      <x:c r="AL9" s="195" t="n">
        <x:f>MIN(S9*AK9,X9)</x:f>
        <x:v>25910.25</x:v>
      </x:c>
      <x:c r="AM9" s="195" t="n">
        <x:f>MAX(0,S9-SUMIFS($AL$6:$AL$29,$A$6:$A$29,A9))</x:f>
        <x:v>0</x:v>
      </x:c>
      <x:c r="AN9" s="195" t="n">
        <x:f>MAX(0,X9-AL9)</x:f>
        <x:v>6477.75</x:v>
      </x:c>
      <x:c r="AO9" s="195" t="n">
        <x:f>SUMIFS($AN$6:$AN$29,$A$6:$A$29,A9)</x:f>
        <x:v>57697</x:v>
      </x:c>
      <x:c r="AP9" s="195" t="n">
        <x:f>IF(AO9=0,0,MIN(AN9,AM9*AN9/AO9))</x:f>
        <x:v>0</x:v>
      </x:c>
      <x:c r="AQ9" s="195" t="n">
        <x:f>AL9+AP9</x:f>
        <x:v>25910.25</x:v>
      </x:c>
      <x:c r="AR9" s="195" t="n">
        <x:f>AQ9*V9</x:f>
        <x:v>10096869.454575</x:v>
      </x:c>
      <x:c r="AS9" s="195" t="n">
        <x:f>AR9*AG9</x:f>
        <x:v>229319003.05958867</x:v>
      </x:c>
      <x:c r="AT9" s="197" t="n">
        <x:f>IF(SUMIFS($AQ$6:$AQ$29,$A$6:$A$29,A9)=0,0,(AQ9/SUMIFS($AQ$6:$AQ$29,$A$6:$A$29,A9))^2)</x:f>
        <x:v>0.5625</x:v>
      </x:c>
      <x:c r="AU9" s="166" t="b">
        <x:v>1</x:v>
      </x:c>
      <x:c r="AV9" s="49"/>
      <x:c r="AW9" s="49"/>
      <x:c r="AX9" s="49"/>
      <x:c r="AY9" s="49"/>
      <x:c r="AZ9" s="49"/>
    </x:row>
    <x:row r="10">
      <x:c r="A10" s="49" t="str">
        <x:v>M002</x:v>
      </x:c>
      <x:c r="B10" s="49" t="str">
        <x:v>光刻胶</x:v>
      </x:c>
      <x:c r="C10" s="49" t="str">
        <x:v>S005</x:v>
      </x:c>
      <x:c r="D10" s="49" t="str">
        <x:v>Supplier_S005_JP</x:v>
      </x:c>
      <x:c r="E10" s="49" t="str">
        <x:v>JP</x:v>
      </x:c>
      <x:c r="F10" s="49" t="str">
        <x:v>JPY</x:v>
      </x:c>
      <x:c r="G10" s="134" t="n">
        <x:v>40</x:v>
      </x:c>
      <x:c r="H10" s="134" t="n">
        <x:v>2131</x:v>
      </x:c>
      <x:c r="I10" s="134" t="n">
        <x:v>296</x:v>
      </x:c>
      <x:c r="J10" s="164" t="n">
        <x:v>0.901</x:v>
      </x:c>
      <x:c r="K10" s="134" t="n">
        <x:v>5</x:v>
      </x:c>
      <x:c r="L10" s="134" t="n">
        <x:v>3</x:v>
      </x:c>
      <x:c r="M10" s="134" t="n">
        <x:v>9144.7791</x:v>
      </x:c>
      <x:c r="N10" s="134" t="n">
        <x:v>123.9712</x:v>
      </x:c>
      <x:c r="O10" s="194" t="n">
        <x:f>VLOOKUP(F10,'01_Assumptions'!$F$15:$G$20,2,FALSE)</x:f>
        <x:v>0.049</x:v>
      </x:c>
      <x:c r="P10" s="194" t="n">
        <x:f>(M10+N10)*O10</x:f>
        <x:v>454.1687647</x:v>
      </x:c>
      <x:c r="Q10" s="195" t="n">
        <x:f>SUMIFS('03_Demand_Forecast'!$E$6:$E$101,'03_Demand_Forecast'!$B$6:$B$101,A10)</x:f>
        <x:v>34547</x:v>
      </x:c>
      <x:c r="R10" s="196" t="n">
        <x:f>'01_Assumptions'!$B$8</x:f>
        <x:v>1</x:v>
      </x:c>
      <x:c r="S10" s="195" t="n">
        <x:f>Q10*R10</x:f>
        <x:v>34547</x:v>
      </x:c>
      <x:c r="T10" s="196" t="n">
        <x:f>'01_Assumptions'!$B$9</x:f>
        <x:v>1</x:v>
      </x:c>
      <x:c r="U10" s="196" t="n">
        <x:f>IF(F10="CNY",1,'01_Assumptions'!$B$12)</x:f>
        <x:v>1</x:v>
      </x:c>
      <x:c r="V10" s="194" t="n">
        <x:f>P10*T10*U10</x:f>
        <x:v>454.1687647</x:v>
      </x:c>
      <x:c r="W10" s="196" t="n">
        <x:f>'01_Assumptions'!$B$10</x:f>
        <x:v>1</x:v>
      </x:c>
      <x:c r="X10" s="195" t="n">
        <x:f>H10*12*W10</x:f>
        <x:v>25572</x:v>
      </x:c>
      <x:c r="Y10" s="196" t="n">
        <x:f>'01_Assumptions'!$B$11</x:f>
        <x:v>1</x:v>
      </x:c>
      <x:c r="Z10" s="196" t="n">
        <x:f>G10*Y10</x:f>
        <x:v>40</x:v>
      </x:c>
      <x:c r="AA10" s="196" t="n">
        <x:f>MIN(1,Z10/90)</x:f>
        <x:v>0.4444444444444444</x:v>
      </x:c>
      <x:c r="AB10" s="197" t="n">
        <x:f>1-J10</x:f>
        <x:v>0.09899999999999998</x:v>
      </x:c>
      <x:c r="AC10" s="197" t="n">
        <x:f>MIN(1,I10/500)</x:f>
        <x:v>0.592</x:v>
      </x:c>
      <x:c r="AD10" s="197" t="n">
        <x:f>MAX(0,1-MIN(1,X10/S10))</x:f>
        <x:v>0.25979100934958177</x:v>
      </x:c>
      <x:c r="AE10" s="197" t="n">
        <x:f>(K10-1)/4</x:f>
        <x:v>1</x:v>
      </x:c>
      <x:c r="AF10" s="197" t="n">
        <x:f>(L10-1)/4</x:f>
        <x:v>0.5</x:v>
      </x:c>
      <x:c r="AG10" s="198" t="n">
        <x:f>100*(AA10*0.18+AB10*0.20+AC10*0.18+AD10*0.20+AE10*0.12+AF10*0.12)</x:f>
        <x:v>43.831820186991635</x:v>
      </x:c>
      <x:c r="AH10" s="199" t="n">
        <x:f>V10/MINIFS($V$6:$V$29,$A$6:$A$29,A10)-1</x:f>
        <x:v>0.1654727525704649</x:v>
      </x:c>
      <x:c r="AI10" s="199" t="n">
        <x:f>IF('01_Assumptions'!$B$7="最低成本",AH10,IF('01_Assumptions'!$B$7="均衡",0.55*AH10+0.45*AG10/100,0.30*AH10+0.70*AG10/100))</x:f>
        <x:v>0.2882532047552181</x:v>
      </x:c>
      <x:c r="AJ10" s="196" t="n">
        <x:f>1+COUNTIFS($A$6:$A$29,A10,$AI$6:$AI$29,"&lt;"&amp;AI10)</x:f>
        <x:v>3</x:v>
      </x:c>
      <x:c r="AK10" s="197" t="n">
        <x:f>IF('01_Assumptions'!$B$7="最低成本",IF(AJ10=1,1,0),IF('01_Assumptions'!$B$7="均衡",IF(AJ10=1,0.75,IF(AJ10=2,0.25,0)),IF(AJ10=1,0.60,IF(AJ10=2,0.30,IF(AJ10=3,0.10,0)))))</x:f>
        <x:v>0</x:v>
      </x:c>
      <x:c r="AL10" s="195" t="n">
        <x:f>MIN(S10*AK10,X10)</x:f>
        <x:v>0</x:v>
      </x:c>
      <x:c r="AM10" s="195" t="n">
        <x:f>MAX(0,S10-SUMIFS($AL$6:$AL$29,$A$6:$A$29,A10))</x:f>
        <x:v>0</x:v>
      </x:c>
      <x:c r="AN10" s="195" t="n">
        <x:f>MAX(0,X10-AL10)</x:f>
        <x:v>25572</x:v>
      </x:c>
      <x:c r="AO10" s="195" t="n">
        <x:f>SUMIFS($AN$6:$AN$29,$A$6:$A$29,A10)</x:f>
        <x:v>57697</x:v>
      </x:c>
      <x:c r="AP10" s="195" t="n">
        <x:f>IF(AO10=0,0,MIN(AN10,AM10*AN10/AO10))</x:f>
        <x:v>0</x:v>
      </x:c>
      <x:c r="AQ10" s="195" t="n">
        <x:f>AL10+AP10</x:f>
        <x:v>0</x:v>
      </x:c>
      <x:c r="AR10" s="195" t="n">
        <x:f>AQ10*V10</x:f>
        <x:v>0</x:v>
      </x:c>
      <x:c r="AS10" s="195" t="n">
        <x:f>AR10*AG10</x:f>
        <x:v>0</x:v>
      </x:c>
      <x:c r="AT10" s="197" t="n">
        <x:f>IF(SUMIFS($AQ$6:$AQ$29,$A$6:$A$29,A10)=0,0,(AQ10/SUMIFS($AQ$6:$AQ$29,$A$6:$A$29,A10))^2)</x:f>
        <x:v>0</x:v>
      </x:c>
      <x:c r="AU10" s="166" t="b">
        <x:v>1</x:v>
      </x:c>
      <x:c r="AV10" s="49"/>
      <x:c r="AW10" s="49"/>
      <x:c r="AX10" s="49"/>
      <x:c r="AY10" s="49"/>
      <x:c r="AZ10" s="49"/>
    </x:row>
    <x:row r="11">
      <x:c r="A11" s="49" t="str">
        <x:v>M002</x:v>
      </x:c>
      <x:c r="B11" s="49" t="str">
        <x:v>光刻胶</x:v>
      </x:c>
      <x:c r="C11" s="49" t="str">
        <x:v>S006</x:v>
      </x:c>
      <x:c r="D11" s="49" t="str">
        <x:v>Supplier_S006_KR</x:v>
      </x:c>
      <x:c r="E11" s="49" t="str">
        <x:v>KR</x:v>
      </x:c>
      <x:c r="F11" s="49" t="str">
        <x:v>KRW</x:v>
      </x:c>
      <x:c r="G11" s="134" t="n">
        <x:v>51</x:v>
      </x:c>
      <x:c r="H11" s="134" t="n">
        <x:v>2857</x:v>
      </x:c>
      <x:c r="I11" s="134" t="n">
        <x:v>99</x:v>
      </x:c>
      <x:c r="J11" s="164" t="n">
        <x:v>0.8874</x:v>
      </x:c>
      <x:c r="K11" s="134" t="n">
        <x:v>4</x:v>
      </x:c>
      <x:c r="L11" s="134" t="n">
        <x:v>3</x:v>
      </x:c>
      <x:c r="M11" s="134" t="n">
        <x:v>78266.9554</x:v>
      </x:c>
      <x:c r="N11" s="134" t="n">
        <x:v>1038.6997</x:v>
      </x:c>
      <x:c r="O11" s="194" t="n">
        <x:f>VLOOKUP(F11,'01_Assumptions'!$F$15:$G$20,2,FALSE)</x:f>
        <x:v>0.0052</x:v>
      </x:c>
      <x:c r="P11" s="194" t="n">
        <x:f>(M11+N11)*O11</x:f>
        <x:v>412.38940652</x:v>
      </x:c>
      <x:c r="Q11" s="195" t="n">
        <x:f>SUMIFS('03_Demand_Forecast'!$E$6:$E$101,'03_Demand_Forecast'!$B$6:$B$101,A11)</x:f>
        <x:v>34547</x:v>
      </x:c>
      <x:c r="R11" s="196" t="n">
        <x:f>'01_Assumptions'!$B$8</x:f>
        <x:v>1</x:v>
      </x:c>
      <x:c r="S11" s="195" t="n">
        <x:f>Q11*R11</x:f>
        <x:v>34547</x:v>
      </x:c>
      <x:c r="T11" s="196" t="n">
        <x:f>'01_Assumptions'!$B$9</x:f>
        <x:v>1</x:v>
      </x:c>
      <x:c r="U11" s="196" t="n">
        <x:f>IF(F11="CNY",1,'01_Assumptions'!$B$12)</x:f>
        <x:v>1</x:v>
      </x:c>
      <x:c r="V11" s="194" t="n">
        <x:f>P11*T11*U11</x:f>
        <x:v>412.38940652</x:v>
      </x:c>
      <x:c r="W11" s="196" t="n">
        <x:f>'01_Assumptions'!$B$10</x:f>
        <x:v>1</x:v>
      </x:c>
      <x:c r="X11" s="195" t="n">
        <x:f>H11*12*W11</x:f>
        <x:v>34284</x:v>
      </x:c>
      <x:c r="Y11" s="196" t="n">
        <x:f>'01_Assumptions'!$B$11</x:f>
        <x:v>1</x:v>
      </x:c>
      <x:c r="Z11" s="196" t="n">
        <x:f>G11*Y11</x:f>
        <x:v>51</x:v>
      </x:c>
      <x:c r="AA11" s="196" t="n">
        <x:f>MIN(1,Z11/90)</x:f>
        <x:v>0.5666666666666667</x:v>
      </x:c>
      <x:c r="AB11" s="197" t="n">
        <x:f>1-J11</x:f>
        <x:v>0.11260000000000003</x:v>
      </x:c>
      <x:c r="AC11" s="197" t="n">
        <x:f>MIN(1,I11/500)</x:f>
        <x:v>0.198</x:v>
      </x:c>
      <x:c r="AD11" s="197" t="n">
        <x:f>MAX(0,1-MIN(1,X11/S11))</x:f>
        <x:v>0.007612817321330345</x:v>
      </x:c>
      <x:c r="AE11" s="197" t="n">
        <x:f>(K11-1)/4</x:f>
        <x:v>0.75</x:v>
      </x:c>
      <x:c r="AF11" s="197" t="n">
        <x:f>(L11-1)/4</x:f>
        <x:v>0.5</x:v>
      </x:c>
      <x:c r="AG11" s="198" t="n">
        <x:f>100*(AA11*0.18+AB11*0.20+AC11*0.18+AD11*0.20+AE11*0.12+AF11*0.12)</x:f>
        <x:v>31.16825634642661</x:v>
      </x:c>
      <x:c r="AH11" s="199" t="n">
        <x:f>V11/MINIFS($V$6:$V$29,$A$6:$A$29,A11)-1</x:f>
        <x:v>0.05825995555912544</x:v>
      </x:c>
      <x:c r="AI11" s="199" t="n">
        <x:f>IF('01_Assumptions'!$B$7="最低成本",AH11,IF('01_Assumptions'!$B$7="均衡",0.55*AH11+0.45*AG11/100,0.30*AH11+0.70*AG11/100))</x:f>
        <x:v>0.17230012911643877</x:v>
      </x:c>
      <x:c r="AJ11" s="196" t="n">
        <x:f>1+COUNTIFS($A$6:$A$29,A11,$AI$6:$AI$29,"&lt;"&amp;AI11)</x:f>
        <x:v>2</x:v>
      </x:c>
      <x:c r="AK11" s="197" t="n">
        <x:f>IF('01_Assumptions'!$B$7="最低成本",IF(AJ11=1,1,0),IF('01_Assumptions'!$B$7="均衡",IF(AJ11=1,0.75,IF(AJ11=2,0.25,0)),IF(AJ11=1,0.60,IF(AJ11=2,0.30,IF(AJ11=3,0.10,0)))))</x:f>
        <x:v>0.25</x:v>
      </x:c>
      <x:c r="AL11" s="195" t="n">
        <x:f>MIN(S11*AK11,X11)</x:f>
        <x:v>8636.75</x:v>
      </x:c>
      <x:c r="AM11" s="195" t="n">
        <x:f>MAX(0,S11-SUMIFS($AL$6:$AL$29,$A$6:$A$29,A11))</x:f>
        <x:v>0</x:v>
      </x:c>
      <x:c r="AN11" s="195" t="n">
        <x:f>MAX(0,X11-AL11)</x:f>
        <x:v>25647.25</x:v>
      </x:c>
      <x:c r="AO11" s="195" t="n">
        <x:f>SUMIFS($AN$6:$AN$29,$A$6:$A$29,A11)</x:f>
        <x:v>57697</x:v>
      </x:c>
      <x:c r="AP11" s="195" t="n">
        <x:f>IF(AO11=0,0,MIN(AN11,AM11*AN11/AO11))</x:f>
        <x:v>0</x:v>
      </x:c>
      <x:c r="AQ11" s="195" t="n">
        <x:f>AL11+AP11</x:f>
        <x:v>8636.75</x:v>
      </x:c>
      <x:c r="AR11" s="195" t="n">
        <x:f>AQ11*V11</x:f>
        <x:v>3561704.20676161</x:v>
      </x:c>
      <x:c r="AS11" s="195" t="n">
        <x:f>AR11*AG11</x:f>
        <x:v>111012109.74649191</x:v>
      </x:c>
      <x:c r="AT11" s="197" t="n">
        <x:f>IF(SUMIFS($AQ$6:$AQ$29,$A$6:$A$29,A11)=0,0,(AQ11/SUMIFS($AQ$6:$AQ$29,$A$6:$A$29,A11))^2)</x:f>
        <x:v>0.0625</x:v>
      </x:c>
      <x:c r="AU11" s="166" t="b">
        <x:v>1</x:v>
      </x:c>
      <x:c r="AV11" s="49"/>
      <x:c r="AW11" s="49"/>
      <x:c r="AX11" s="49"/>
      <x:c r="AY11" s="49"/>
      <x:c r="AZ11" s="49"/>
    </x:row>
    <x:row r="12">
      <x:c r="A12" s="49" t="str">
        <x:v>M003</x:v>
      </x:c>
      <x:c r="B12" s="49" t="str">
        <x:v>工艺气体</x:v>
      </x:c>
      <x:c r="C12" s="49" t="str">
        <x:v>S007</x:v>
      </x:c>
      <x:c r="D12" s="49" t="str">
        <x:v>Supplier_S007_KR</x:v>
      </x:c>
      <x:c r="E12" s="49" t="str">
        <x:v>KR</x:v>
      </x:c>
      <x:c r="F12" s="49" t="str">
        <x:v>KRW</x:v>
      </x:c>
      <x:c r="G12" s="134" t="n">
        <x:v>62</x:v>
      </x:c>
      <x:c r="H12" s="134" t="n">
        <x:v>683</x:v>
      </x:c>
      <x:c r="I12" s="134" t="n">
        <x:v>158</x:v>
      </x:c>
      <x:c r="J12" s="164" t="n">
        <x:v>0.9057</x:v>
      </x:c>
      <x:c r="K12" s="134" t="n">
        <x:v>5</x:v>
      </x:c>
      <x:c r="L12" s="134" t="n">
        <x:v>2</x:v>
      </x:c>
      <x:c r="M12" s="134" t="n">
        <x:v>104545.4844</x:v>
      </x:c>
      <x:c r="N12" s="134" t="n">
        <x:v>2544.2867</x:v>
      </x:c>
      <x:c r="O12" s="194" t="n">
        <x:f>VLOOKUP(F12,'01_Assumptions'!$F$15:$G$20,2,FALSE)</x:f>
        <x:v>0.0052</x:v>
      </x:c>
      <x:c r="P12" s="194" t="n">
        <x:f>(M12+N12)*O12</x:f>
        <x:v>556.86680972</x:v>
      </x:c>
      <x:c r="Q12" s="195" t="n">
        <x:f>SUMIFS('03_Demand_Forecast'!$E$6:$E$101,'03_Demand_Forecast'!$B$6:$B$101,A12)</x:f>
        <x:v>9493</x:v>
      </x:c>
      <x:c r="R12" s="196" t="n">
        <x:f>'01_Assumptions'!$B$8</x:f>
        <x:v>1</x:v>
      </x:c>
      <x:c r="S12" s="195" t="n">
        <x:f>Q12*R12</x:f>
        <x:v>9493</x:v>
      </x:c>
      <x:c r="T12" s="196" t="n">
        <x:f>'01_Assumptions'!$B$9</x:f>
        <x:v>1</x:v>
      </x:c>
      <x:c r="U12" s="196" t="n">
        <x:f>IF(F12="CNY",1,'01_Assumptions'!$B$12)</x:f>
        <x:v>1</x:v>
      </x:c>
      <x:c r="V12" s="194" t="n">
        <x:f>P12*T12*U12</x:f>
        <x:v>556.86680972</x:v>
      </x:c>
      <x:c r="W12" s="196" t="n">
        <x:f>'01_Assumptions'!$B$10</x:f>
        <x:v>1</x:v>
      </x:c>
      <x:c r="X12" s="195" t="n">
        <x:f>H12*12*W12</x:f>
        <x:v>8196</x:v>
      </x:c>
      <x:c r="Y12" s="196" t="n">
        <x:f>'01_Assumptions'!$B$11</x:f>
        <x:v>1</x:v>
      </x:c>
      <x:c r="Z12" s="196" t="n">
        <x:f>G12*Y12</x:f>
        <x:v>62</x:v>
      </x:c>
      <x:c r="AA12" s="196" t="n">
        <x:f>MIN(1,Z12/90)</x:f>
        <x:v>0.6888888888888889</x:v>
      </x:c>
      <x:c r="AB12" s="197" t="n">
        <x:f>1-J12</x:f>
        <x:v>0.09430000000000005</x:v>
      </x:c>
      <x:c r="AC12" s="197" t="n">
        <x:f>MIN(1,I12/500)</x:f>
        <x:v>0.316</x:v>
      </x:c>
      <x:c r="AD12" s="197" t="n">
        <x:f>MAX(0,1-MIN(1,X12/S12))</x:f>
        <x:v>0.13662698830717368</x:v>
      </x:c>
      <x:c r="AE12" s="197" t="n">
        <x:f>(K12-1)/4</x:f>
        <x:v>1</x:v>
      </x:c>
      <x:c r="AF12" s="197" t="n">
        <x:f>(L12-1)/4</x:f>
        <x:v>0.25</x:v>
      </x:c>
      <x:c r="AG12" s="198" t="n">
        <x:f>100*(AA12*0.18+AB12*0.20+AC12*0.18+AD12*0.20+AE12*0.12+AF12*0.12)</x:f>
        <x:v>37.70653976614348</x:v>
      </x:c>
      <x:c r="AH12" s="199" t="n">
        <x:f>V12/MINIFS($V$6:$V$29,$A$6:$A$29,A12)-1</x:f>
        <x:v>0.05757569437192056</x:v>
      </x:c>
      <x:c r="AI12" s="199" t="n">
        <x:f>IF('01_Assumptions'!$B$7="最低成本",AH12,IF('01_Assumptions'!$B$7="均衡",0.55*AH12+0.45*AG12/100,0.30*AH12+0.70*AG12/100))</x:f>
        <x:v>0.20134606085220197</x:v>
      </x:c>
      <x:c r="AJ12" s="196" t="n">
        <x:f>1+COUNTIFS($A$6:$A$29,A12,$AI$6:$AI$29,"&lt;"&amp;AI12)</x:f>
        <x:v>3</x:v>
      </x:c>
      <x:c r="AK12" s="197" t="n">
        <x:f>IF('01_Assumptions'!$B$7="最低成本",IF(AJ12=1,1,0),IF('01_Assumptions'!$B$7="均衡",IF(AJ12=1,0.75,IF(AJ12=2,0.25,0)),IF(AJ12=1,0.60,IF(AJ12=2,0.30,IF(AJ12=3,0.10,0)))))</x:f>
        <x:v>0</x:v>
      </x:c>
      <x:c r="AL12" s="195" t="n">
        <x:f>MIN(S12*AK12,X12)</x:f>
        <x:v>0</x:v>
      </x:c>
      <x:c r="AM12" s="195" t="n">
        <x:f>MAX(0,S12-SUMIFS($AL$6:$AL$29,$A$6:$A$29,A12))</x:f>
        <x:v>0</x:v>
      </x:c>
      <x:c r="AN12" s="195" t="n">
        <x:f>MAX(0,X12-AL12)</x:f>
        <x:v>8196</x:v>
      </x:c>
      <x:c r="AO12" s="195" t="n">
        <x:f>SUMIFS($AN$6:$AN$29,$A$6:$A$29,A12)</x:f>
        <x:v>15059</x:v>
      </x:c>
      <x:c r="AP12" s="195" t="n">
        <x:f>IF(AO12=0,0,MIN(AN12,AM12*AN12/AO12))</x:f>
        <x:v>0</x:v>
      </x:c>
      <x:c r="AQ12" s="195" t="n">
        <x:f>AL12+AP12</x:f>
        <x:v>0</x:v>
      </x:c>
      <x:c r="AR12" s="195" t="n">
        <x:f>AQ12*V12</x:f>
        <x:v>0</x:v>
      </x:c>
      <x:c r="AS12" s="195" t="n">
        <x:f>AR12*AG12</x:f>
        <x:v>0</x:v>
      </x:c>
      <x:c r="AT12" s="197" t="n">
        <x:f>IF(SUMIFS($AQ$6:$AQ$29,$A$6:$A$29,A12)=0,0,(AQ12/SUMIFS($AQ$6:$AQ$29,$A$6:$A$29,A12))^2)</x:f>
        <x:v>0</x:v>
      </x:c>
      <x:c r="AU12" s="166" t="b">
        <x:v>1</x:v>
      </x:c>
      <x:c r="AV12" s="49"/>
      <x:c r="AW12" s="49"/>
      <x:c r="AX12" s="49"/>
      <x:c r="AY12" s="49"/>
      <x:c r="AZ12" s="49"/>
    </x:row>
    <x:row r="13">
      <x:c r="A13" s="49" t="str">
        <x:v>M003</x:v>
      </x:c>
      <x:c r="B13" s="49" t="str">
        <x:v>工艺气体</x:v>
      </x:c>
      <x:c r="C13" s="49" t="str">
        <x:v>S008</x:v>
      </x:c>
      <x:c r="D13" s="49" t="str">
        <x:v>Supplier_S008_US</x:v>
      </x:c>
      <x:c r="E13" s="49" t="str">
        <x:v>US</x:v>
      </x:c>
      <x:c r="F13" s="49" t="str">
        <x:v>USD</x:v>
      </x:c>
      <x:c r="G13" s="134" t="n">
        <x:v>68</x:v>
      </x:c>
      <x:c r="H13" s="134" t="n">
        <x:v>611</x:v>
      </x:c>
      <x:c r="I13" s="134" t="n">
        <x:v>160</x:v>
      </x:c>
      <x:c r="J13" s="164" t="n">
        <x:v>0.8971</x:v>
      </x:c>
      <x:c r="K13" s="134" t="n">
        <x:v>2</x:v>
      </x:c>
      <x:c r="L13" s="134" t="n">
        <x:v>3</x:v>
      </x:c>
      <x:c r="M13" s="134" t="n">
        <x:v>72.237</x:v>
      </x:c>
      <x:c r="N13" s="134" t="n">
        <x:v>1.4064</x:v>
      </x:c>
      <x:c r="O13" s="194" t="n">
        <x:f>VLOOKUP(F13,'01_Assumptions'!$F$15:$G$20,2,FALSE)</x:f>
        <x:v>7.15</x:v>
      </x:c>
      <x:c r="P13" s="194" t="n">
        <x:f>(M13+N13)*O13</x:f>
        <x:v>526.55031</x:v>
      </x:c>
      <x:c r="Q13" s="195" t="n">
        <x:f>SUMIFS('03_Demand_Forecast'!$E$6:$E$101,'03_Demand_Forecast'!$B$6:$B$101,A13)</x:f>
        <x:v>9493</x:v>
      </x:c>
      <x:c r="R13" s="196" t="n">
        <x:f>'01_Assumptions'!$B$8</x:f>
        <x:v>1</x:v>
      </x:c>
      <x:c r="S13" s="195" t="n">
        <x:f>Q13*R13</x:f>
        <x:v>9493</x:v>
      </x:c>
      <x:c r="T13" s="196" t="n">
        <x:f>'01_Assumptions'!$B$9</x:f>
        <x:v>1</x:v>
      </x:c>
      <x:c r="U13" s="196" t="n">
        <x:f>IF(F13="CNY",1,'01_Assumptions'!$B$12)</x:f>
        <x:v>1</x:v>
      </x:c>
      <x:c r="V13" s="194" t="n">
        <x:f>P13*T13*U13</x:f>
        <x:v>526.55031</x:v>
      </x:c>
      <x:c r="W13" s="196" t="n">
        <x:f>'01_Assumptions'!$B$10</x:f>
        <x:v>1</x:v>
      </x:c>
      <x:c r="X13" s="195" t="n">
        <x:f>H13*12*W13</x:f>
        <x:v>7332</x:v>
      </x:c>
      <x:c r="Y13" s="196" t="n">
        <x:f>'01_Assumptions'!$B$11</x:f>
        <x:v>1</x:v>
      </x:c>
      <x:c r="Z13" s="196" t="n">
        <x:f>G13*Y13</x:f>
        <x:v>68</x:v>
      </x:c>
      <x:c r="AA13" s="196" t="n">
        <x:f>MIN(1,Z13/90)</x:f>
        <x:v>0.7555555555555555</x:v>
      </x:c>
      <x:c r="AB13" s="197" t="n">
        <x:f>1-J13</x:f>
        <x:v>0.10289999999999999</x:v>
      </x:c>
      <x:c r="AC13" s="197" t="n">
        <x:f>MIN(1,I13/500)</x:f>
        <x:v>0.32</x:v>
      </x:c>
      <x:c r="AD13" s="197" t="n">
        <x:f>MAX(0,1-MIN(1,X13/S13))</x:f>
        <x:v>0.2276414199936796</x:v>
      </x:c>
      <x:c r="AE13" s="197" t="n">
        <x:f>(K13-1)/4</x:f>
        <x:v>0.25</x:v>
      </x:c>
      <x:c r="AF13" s="197" t="n">
        <x:f>(L13-1)/4</x:f>
        <x:v>0.5</x:v>
      </x:c>
      <x:c r="AG13" s="198" t="n">
        <x:f>100*(AA13*0.18+AB13*0.20+AC13*0.18+AD13*0.20+AE13*0.12+AF13*0.12)</x:f>
        <x:v>34.9708283998736</x:v>
      </x:c>
      <x:c r="AH13" s="199" t="n">
        <x:f>V13/MINIFS($V$6:$V$29,$A$6:$A$29,A13)-1</x:f>
        <x:v>0</x:v>
      </x:c>
      <x:c r="AI13" s="199" t="n">
        <x:f>IF('01_Assumptions'!$B$7="最低成本",AH13,IF('01_Assumptions'!$B$7="均衡",0.55*AH13+0.45*AG13/100,0.30*AH13+0.70*AG13/100))</x:f>
        <x:v>0.15736872779943117</x:v>
      </x:c>
      <x:c r="AJ13" s="196" t="n">
        <x:f>1+COUNTIFS($A$6:$A$29,A13,$AI$6:$AI$29,"&lt;"&amp;AI13)</x:f>
        <x:v>2</x:v>
      </x:c>
      <x:c r="AK13" s="197" t="n">
        <x:f>IF('01_Assumptions'!$B$7="最低成本",IF(AJ13=1,1,0),IF('01_Assumptions'!$B$7="均衡",IF(AJ13=1,0.75,IF(AJ13=2,0.25,0)),IF(AJ13=1,0.60,IF(AJ13=2,0.30,IF(AJ13=3,0.10,0)))))</x:f>
        <x:v>0.25</x:v>
      </x:c>
      <x:c r="AL13" s="195" t="n">
        <x:f>MIN(S13*AK13,X13)</x:f>
        <x:v>2373.25</x:v>
      </x:c>
      <x:c r="AM13" s="195" t="n">
        <x:f>MAX(0,S13-SUMIFS($AL$6:$AL$29,$A$6:$A$29,A13))</x:f>
        <x:v>0</x:v>
      </x:c>
      <x:c r="AN13" s="195" t="n">
        <x:f>MAX(0,X13-AL13)</x:f>
        <x:v>4958.75</x:v>
      </x:c>
      <x:c r="AO13" s="195" t="n">
        <x:f>SUMIFS($AN$6:$AN$29,$A$6:$A$29,A13)</x:f>
        <x:v>15059</x:v>
      </x:c>
      <x:c r="AP13" s="195" t="n">
        <x:f>IF(AO13=0,0,MIN(AN13,AM13*AN13/AO13))</x:f>
        <x:v>0</x:v>
      </x:c>
      <x:c r="AQ13" s="195" t="n">
        <x:f>AL13+AP13</x:f>
        <x:v>2373.25</x:v>
      </x:c>
      <x:c r="AR13" s="195" t="n">
        <x:f>AQ13*V13</x:f>
        <x:v>1249635.5232074999</x:v>
      </x:c>
      <x:c r="AS13" s="195" t="n">
        <x:f>AR13*AG13</x:f>
        <x:v>43700789.44447574</x:v>
      </x:c>
      <x:c r="AT13" s="197" t="n">
        <x:f>IF(SUMIFS($AQ$6:$AQ$29,$A$6:$A$29,A13)=0,0,(AQ13/SUMIFS($AQ$6:$AQ$29,$A$6:$A$29,A13))^2)</x:f>
        <x:v>0.0625</x:v>
      </x:c>
      <x:c r="AU13" s="166" t="b">
        <x:v>1</x:v>
      </x:c>
      <x:c r="AV13" s="49"/>
      <x:c r="AW13" s="49"/>
      <x:c r="AX13" s="49"/>
      <x:c r="AY13" s="49"/>
      <x:c r="AZ13" s="49"/>
    </x:row>
    <x:row r="14">
      <x:c r="A14" s="49" t="str">
        <x:v>M003</x:v>
      </x:c>
      <x:c r="B14" s="49" t="str">
        <x:v>工艺气体</x:v>
      </x:c>
      <x:c r="C14" s="49" t="str">
        <x:v>S009</x:v>
      </x:c>
      <x:c r="D14" s="49" t="str">
        <x:v>Supplier_S009_CN</x:v>
      </x:c>
      <x:c r="E14" s="49" t="str">
        <x:v>CN</x:v>
      </x:c>
      <x:c r="F14" s="49" t="str">
        <x:v>CNY</x:v>
      </x:c>
      <x:c r="G14" s="134" t="n">
        <x:v>56</x:v>
      </x:c>
      <x:c r="H14" s="134" t="n">
        <x:v>752</x:v>
      </x:c>
      <x:c r="I14" s="134" t="n">
        <x:v>131</x:v>
      </x:c>
      <x:c r="J14" s="164" t="n">
        <x:v>0.8836</x:v>
      </x:c>
      <x:c r="K14" s="134" t="n">
        <x:v>2</x:v>
      </x:c>
      <x:c r="L14" s="134" t="n">
        <x:v>1</x:v>
      </x:c>
      <x:c r="M14" s="134" t="n">
        <x:v>541.4398</x:v>
      </x:c>
      <x:c r="N14" s="134" t="n">
        <x:v>8.3427</x:v>
      </x:c>
      <x:c r="O14" s="194" t="n">
        <x:f>VLOOKUP(F14,'01_Assumptions'!$F$15:$G$20,2,FALSE)</x:f>
        <x:v>1</x:v>
      </x:c>
      <x:c r="P14" s="194" t="n">
        <x:f>(M14+N14)*O14</x:f>
        <x:v>549.7825</x:v>
      </x:c>
      <x:c r="Q14" s="195" t="n">
        <x:f>SUMIFS('03_Demand_Forecast'!$E$6:$E$101,'03_Demand_Forecast'!$B$6:$B$101,A14)</x:f>
        <x:v>9493</x:v>
      </x:c>
      <x:c r="R14" s="196" t="n">
        <x:f>'01_Assumptions'!$B$8</x:f>
        <x:v>1</x:v>
      </x:c>
      <x:c r="S14" s="195" t="n">
        <x:f>Q14*R14</x:f>
        <x:v>9493</x:v>
      </x:c>
      <x:c r="T14" s="196" t="n">
        <x:f>'01_Assumptions'!$B$9</x:f>
        <x:v>1</x:v>
      </x:c>
      <x:c r="U14" s="196" t="n">
        <x:f>IF(F14="CNY",1,'01_Assumptions'!$B$12)</x:f>
        <x:v>1</x:v>
      </x:c>
      <x:c r="V14" s="194" t="n">
        <x:f>P14*T14*U14</x:f>
        <x:v>549.7825</x:v>
      </x:c>
      <x:c r="W14" s="196" t="n">
        <x:f>'01_Assumptions'!$B$10</x:f>
        <x:v>1</x:v>
      </x:c>
      <x:c r="X14" s="195" t="n">
        <x:f>H14*12*W14</x:f>
        <x:v>9024</x:v>
      </x:c>
      <x:c r="Y14" s="196" t="n">
        <x:f>'01_Assumptions'!$B$11</x:f>
        <x:v>1</x:v>
      </x:c>
      <x:c r="Z14" s="196" t="n">
        <x:f>G14*Y14</x:f>
        <x:v>56</x:v>
      </x:c>
      <x:c r="AA14" s="196" t="n">
        <x:f>MIN(1,Z14/90)</x:f>
        <x:v>0.6222222222222222</x:v>
      </x:c>
      <x:c r="AB14" s="197" t="n">
        <x:f>1-J14</x:f>
        <x:v>0.11639999999999995</x:v>
      </x:c>
      <x:c r="AC14" s="197" t="n">
        <x:f>MIN(1,I14/500)</x:f>
        <x:v>0.262</x:v>
      </x:c>
      <x:c r="AD14" s="197" t="n">
        <x:f>MAX(0,1-MIN(1,X14/S14))</x:f>
        <x:v>0.049404824607605646</x:v>
      </x:c>
      <x:c r="AE14" s="197" t="n">
        <x:f>(K14-1)/4</x:f>
        <x:v>0.25</x:v>
      </x:c>
      <x:c r="AF14" s="197" t="n">
        <x:f>(L14-1)/4</x:f>
        <x:v>0</x:v>
      </x:c>
      <x:c r="AG14" s="198" t="n">
        <x:f>100*(AA14*0.18+AB14*0.20+AC14*0.18+AD14*0.20+AE14*0.12+AF14*0.12)</x:f>
        <x:v>22.232096492152113</x:v>
      </x:c>
      <x:c r="AH14" s="199" t="n">
        <x:f>V14/MINIFS($V$6:$V$29,$A$6:$A$29,A14)-1</x:f>
        <x:v>0.044121500944515724</x:v>
      </x:c>
      <x:c r="AI14" s="199" t="n">
        <x:f>IF('01_Assumptions'!$B$7="最低成本",AH14,IF('01_Assumptions'!$B$7="均衡",0.55*AH14+0.45*AG14/100,0.30*AH14+0.70*AG14/100))</x:f>
        <x:v>0.12431125973416815</x:v>
      </x:c>
      <x:c r="AJ14" s="196" t="n">
        <x:f>1+COUNTIFS($A$6:$A$29,A14,$AI$6:$AI$29,"&lt;"&amp;AI14)</x:f>
        <x:v>1</x:v>
      </x:c>
      <x:c r="AK14" s="197" t="n">
        <x:f>IF('01_Assumptions'!$B$7="最低成本",IF(AJ14=1,1,0),IF('01_Assumptions'!$B$7="均衡",IF(AJ14=1,0.75,IF(AJ14=2,0.25,0)),IF(AJ14=1,0.60,IF(AJ14=2,0.30,IF(AJ14=3,0.10,0)))))</x:f>
        <x:v>0.75</x:v>
      </x:c>
      <x:c r="AL14" s="195" t="n">
        <x:f>MIN(S14*AK14,X14)</x:f>
        <x:v>7119.75</x:v>
      </x:c>
      <x:c r="AM14" s="195" t="n">
        <x:f>MAX(0,S14-SUMIFS($AL$6:$AL$29,$A$6:$A$29,A14))</x:f>
        <x:v>0</x:v>
      </x:c>
      <x:c r="AN14" s="195" t="n">
        <x:f>MAX(0,X14-AL14)</x:f>
        <x:v>1904.25</x:v>
      </x:c>
      <x:c r="AO14" s="195" t="n">
        <x:f>SUMIFS($AN$6:$AN$29,$A$6:$A$29,A14)</x:f>
        <x:v>15059</x:v>
      </x:c>
      <x:c r="AP14" s="195" t="n">
        <x:f>IF(AO14=0,0,MIN(AN14,AM14*AN14/AO14))</x:f>
        <x:v>0</x:v>
      </x:c>
      <x:c r="AQ14" s="195" t="n">
        <x:f>AL14+AP14</x:f>
        <x:v>7119.75</x:v>
      </x:c>
      <x:c r="AR14" s="195" t="n">
        <x:f>AQ14*V14</x:f>
        <x:v>3914313.954375</x:v>
      </x:c>
      <x:c r="AS14" s="195" t="n">
        <x:f>AR14*AG14</x:f>
        <x:v>87023405.53424251</x:v>
      </x:c>
      <x:c r="AT14" s="197" t="n">
        <x:f>IF(SUMIFS($AQ$6:$AQ$29,$A$6:$A$29,A14)=0,0,(AQ14/SUMIFS($AQ$6:$AQ$29,$A$6:$A$29,A14))^2)</x:f>
        <x:v>0.5625</x:v>
      </x:c>
      <x:c r="AU14" s="166" t="b">
        <x:v>1</x:v>
      </x:c>
      <x:c r="AV14" s="49"/>
      <x:c r="AW14" s="49"/>
      <x:c r="AX14" s="49"/>
      <x:c r="AY14" s="49"/>
      <x:c r="AZ14" s="49"/>
    </x:row>
    <x:row r="15">
      <x:c r="A15" s="49" t="str">
        <x:v>M004</x:v>
      </x:c>
      <x:c r="B15" s="49" t="str">
        <x:v>CMP抛光液</x:v>
      </x:c>
      <x:c r="C15" s="49" t="str">
        <x:v>S010</x:v>
      </x:c>
      <x:c r="D15" s="49" t="str">
        <x:v>Supplier_S010_JP</x:v>
      </x:c>
      <x:c r="E15" s="49" t="str">
        <x:v>JP</x:v>
      </x:c>
      <x:c r="F15" s="49" t="str">
        <x:v>JPY</x:v>
      </x:c>
      <x:c r="G15" s="134" t="n">
        <x:v>38</x:v>
      </x:c>
      <x:c r="H15" s="134" t="n">
        <x:v>4552</x:v>
      </x:c>
      <x:c r="I15" s="134" t="n">
        <x:v>188</x:v>
      </x:c>
      <x:c r="J15" s="164" t="n">
        <x:v>0.9183</x:v>
      </x:c>
      <x:c r="K15" s="134" t="n">
        <x:v>3</x:v>
      </x:c>
      <x:c r="L15" s="134" t="n">
        <x:v>2</x:v>
      </x:c>
      <x:c r="M15" s="134" t="n">
        <x:v>2410.8664</x:v>
      </x:c>
      <x:c r="N15" s="134" t="n">
        <x:v>54.0535</x:v>
      </x:c>
      <x:c r="O15" s="194" t="n">
        <x:f>VLOOKUP(F15,'01_Assumptions'!$F$15:$G$20,2,FALSE)</x:f>
        <x:v>0.049</x:v>
      </x:c>
      <x:c r="P15" s="194" t="n">
        <x:f>(M15+N15)*O15</x:f>
        <x:v>120.7810751</x:v>
      </x:c>
      <x:c r="Q15" s="195" t="n">
        <x:f>SUMIFS('03_Demand_Forecast'!$E$6:$E$101,'03_Demand_Forecast'!$B$6:$B$101,A15)</x:f>
        <x:v>74707</x:v>
      </x:c>
      <x:c r="R15" s="196" t="n">
        <x:f>'01_Assumptions'!$B$8</x:f>
        <x:v>1</x:v>
      </x:c>
      <x:c r="S15" s="195" t="n">
        <x:f>Q15*R15</x:f>
        <x:v>74707</x:v>
      </x:c>
      <x:c r="T15" s="196" t="n">
        <x:f>'01_Assumptions'!$B$9</x:f>
        <x:v>1</x:v>
      </x:c>
      <x:c r="U15" s="196" t="n">
        <x:f>IF(F15="CNY",1,'01_Assumptions'!$B$12)</x:f>
        <x:v>1</x:v>
      </x:c>
      <x:c r="V15" s="194" t="n">
        <x:f>P15*T15*U15</x:f>
        <x:v>120.7810751</x:v>
      </x:c>
      <x:c r="W15" s="196" t="n">
        <x:f>'01_Assumptions'!$B$10</x:f>
        <x:v>1</x:v>
      </x:c>
      <x:c r="X15" s="195" t="n">
        <x:f>H15*12*W15</x:f>
        <x:v>54624</x:v>
      </x:c>
      <x:c r="Y15" s="196" t="n">
        <x:f>'01_Assumptions'!$B$11</x:f>
        <x:v>1</x:v>
      </x:c>
      <x:c r="Z15" s="196" t="n">
        <x:f>G15*Y15</x:f>
        <x:v>38</x:v>
      </x:c>
      <x:c r="AA15" s="196" t="n">
        <x:f>MIN(1,Z15/90)</x:f>
        <x:v>0.4222222222222222</x:v>
      </x:c>
      <x:c r="AB15" s="197" t="n">
        <x:f>1-J15</x:f>
        <x:v>0.0817</x:v>
      </x:c>
      <x:c r="AC15" s="197" t="n">
        <x:f>MIN(1,I15/500)</x:f>
        <x:v>0.376</x:v>
      </x:c>
      <x:c r="AD15" s="197" t="n">
        <x:f>MAX(0,1-MIN(1,X15/S15))</x:f>
        <x:v>0.26882353728566266</x:v>
      </x:c>
      <x:c r="AE15" s="197" t="n">
        <x:f>(K15-1)/4</x:f>
        <x:v>0.5</x:v>
      </x:c>
      <x:c r="AF15" s="197" t="n">
        <x:f>(L15-1)/4</x:f>
        <x:v>0.25</x:v>
      </x:c>
      <x:c r="AG15" s="198" t="n">
        <x:f>100*(AA15*0.18+AB15*0.20+AC15*0.18+AD15*0.20+AE15*0.12+AF15*0.12)</x:f>
        <x:v>30.378470745713248</x:v>
      </x:c>
      <x:c r="AH15" s="199" t="n">
        <x:f>V15/MINIFS($V$6:$V$29,$A$6:$A$29,A15)-1</x:f>
        <x:v>0.10807665000162836</x:v>
      </x:c>
      <x:c r="AI15" s="199" t="n">
        <x:f>IF('01_Assumptions'!$B$7="最低成本",AH15,IF('01_Assumptions'!$B$7="均衡",0.55*AH15+0.45*AG15/100,0.30*AH15+0.70*AG15/100))</x:f>
        <x:v>0.1961452758566052</x:v>
      </x:c>
      <x:c r="AJ15" s="196" t="n">
        <x:f>1+COUNTIFS($A$6:$A$29,A15,$AI$6:$AI$29,"&lt;"&amp;AI15)</x:f>
        <x:v>3</x:v>
      </x:c>
      <x:c r="AK15" s="197" t="n">
        <x:f>IF('01_Assumptions'!$B$7="最低成本",IF(AJ15=1,1,0),IF('01_Assumptions'!$B$7="均衡",IF(AJ15=1,0.75,IF(AJ15=2,0.25,0)),IF(AJ15=1,0.60,IF(AJ15=2,0.30,IF(AJ15=3,0.10,0)))))</x:f>
        <x:v>0</x:v>
      </x:c>
      <x:c r="AL15" s="195" t="n">
        <x:f>MIN(S15*AK15,X15)</x:f>
        <x:v>0</x:v>
      </x:c>
      <x:c r="AM15" s="195" t="n">
        <x:f>MAX(0,S15-SUMIFS($AL$6:$AL$29,$A$6:$A$29,A15))</x:f>
        <x:v>0</x:v>
      </x:c>
      <x:c r="AN15" s="195" t="n">
        <x:f>MAX(0,X15-AL15)</x:f>
        <x:v>54624</x:v>
      </x:c>
      <x:c r="AO15" s="195" t="n">
        <x:f>SUMIFS($AN$6:$AN$29,$A$6:$A$29,A15)</x:f>
        <x:v>113717</x:v>
      </x:c>
      <x:c r="AP15" s="195" t="n">
        <x:f>IF(AO15=0,0,MIN(AN15,AM15*AN15/AO15))</x:f>
        <x:v>0</x:v>
      </x:c>
      <x:c r="AQ15" s="195" t="n">
        <x:f>AL15+AP15</x:f>
        <x:v>0</x:v>
      </x:c>
      <x:c r="AR15" s="195" t="n">
        <x:f>AQ15*V15</x:f>
        <x:v>0</x:v>
      </x:c>
      <x:c r="AS15" s="195" t="n">
        <x:f>AR15*AG15</x:f>
        <x:v>0</x:v>
      </x:c>
      <x:c r="AT15" s="197" t="n">
        <x:f>IF(SUMIFS($AQ$6:$AQ$29,$A$6:$A$29,A15)=0,0,(AQ15/SUMIFS($AQ$6:$AQ$29,$A$6:$A$29,A15))^2)</x:f>
        <x:v>0</x:v>
      </x:c>
      <x:c r="AU15" s="166" t="b">
        <x:v>1</x:v>
      </x:c>
      <x:c r="AV15" s="49"/>
      <x:c r="AW15" s="49"/>
      <x:c r="AX15" s="49"/>
      <x:c r="AY15" s="49"/>
      <x:c r="AZ15" s="49"/>
    </x:row>
    <x:row r="16">
      <x:c r="A16" s="49" t="str">
        <x:v>M004</x:v>
      </x:c>
      <x:c r="B16" s="49" t="str">
        <x:v>CMP抛光液</x:v>
      </x:c>
      <x:c r="C16" s="49" t="str">
        <x:v>S011</x:v>
      </x:c>
      <x:c r="D16" s="49" t="str">
        <x:v>Supplier_S011_KR</x:v>
      </x:c>
      <x:c r="E16" s="49" t="str">
        <x:v>KR</x:v>
      </x:c>
      <x:c r="F16" s="49" t="str">
        <x:v>KRW</x:v>
      </x:c>
      <x:c r="G16" s="134" t="n">
        <x:v>24</x:v>
      </x:c>
      <x:c r="H16" s="134" t="n">
        <x:v>5494</x:v>
      </x:c>
      <x:c r="I16" s="134" t="n">
        <x:v>229</x:v>
      </x:c>
      <x:c r="J16" s="164" t="n">
        <x:v>0.9568</x:v>
      </x:c>
      <x:c r="K16" s="134" t="n">
        <x:v>4</x:v>
      </x:c>
      <x:c r="L16" s="134" t="n">
        <x:v>3</x:v>
      </x:c>
      <x:c r="M16" s="134" t="n">
        <x:v>21748.0035</x:v>
      </x:c>
      <x:c r="N16" s="134" t="n">
        <x:v>342.1672</x:v>
      </x:c>
      <x:c r="O16" s="194" t="n">
        <x:f>VLOOKUP(F16,'01_Assumptions'!$F$15:$G$20,2,FALSE)</x:f>
        <x:v>0.0052</x:v>
      </x:c>
      <x:c r="P16" s="194" t="n">
        <x:f>(M16+N16)*O16</x:f>
        <x:v>114.86888763999998</x:v>
      </x:c>
      <x:c r="Q16" s="195" t="n">
        <x:f>SUMIFS('03_Demand_Forecast'!$E$6:$E$101,'03_Demand_Forecast'!$B$6:$B$101,A16)</x:f>
        <x:v>74707</x:v>
      </x:c>
      <x:c r="R16" s="196" t="n">
        <x:f>'01_Assumptions'!$B$8</x:f>
        <x:v>1</x:v>
      </x:c>
      <x:c r="S16" s="195" t="n">
        <x:f>Q16*R16</x:f>
        <x:v>74707</x:v>
      </x:c>
      <x:c r="T16" s="196" t="n">
        <x:f>'01_Assumptions'!$B$9</x:f>
        <x:v>1</x:v>
      </x:c>
      <x:c r="U16" s="196" t="n">
        <x:f>IF(F16="CNY",1,'01_Assumptions'!$B$12)</x:f>
        <x:v>1</x:v>
      </x:c>
      <x:c r="V16" s="194" t="n">
        <x:f>P16*T16*U16</x:f>
        <x:v>114.86888763999998</x:v>
      </x:c>
      <x:c r="W16" s="196" t="n">
        <x:f>'01_Assumptions'!$B$10</x:f>
        <x:v>1</x:v>
      </x:c>
      <x:c r="X16" s="195" t="n">
        <x:f>H16*12*W16</x:f>
        <x:v>65928</x:v>
      </x:c>
      <x:c r="Y16" s="196" t="n">
        <x:f>'01_Assumptions'!$B$11</x:f>
        <x:v>1</x:v>
      </x:c>
      <x:c r="Z16" s="196" t="n">
        <x:f>G16*Y16</x:f>
        <x:v>24</x:v>
      </x:c>
      <x:c r="AA16" s="196" t="n">
        <x:f>MIN(1,Z16/90)</x:f>
        <x:v>0.26666666666666666</x:v>
      </x:c>
      <x:c r="AB16" s="197" t="n">
        <x:f>1-J16</x:f>
        <x:v>0.043200000000000016</x:v>
      </x:c>
      <x:c r="AC16" s="197" t="n">
        <x:f>MIN(1,I16/500)</x:f>
        <x:v>0.458</x:v>
      </x:c>
      <x:c r="AD16" s="197" t="n">
        <x:f>MAX(0,1-MIN(1,X16/S16))</x:f>
        <x:v>0.11751241516859201</x:v>
      </x:c>
      <x:c r="AE16" s="197" t="n">
        <x:f>(K16-1)/4</x:f>
        <x:v>0.75</x:v>
      </x:c>
      <x:c r="AF16" s="197" t="n">
        <x:f>(L16-1)/4</x:f>
        <x:v>0.5</x:v>
      </x:c>
      <x:c r="AG16" s="198" t="n">
        <x:f>100*(AA16*0.18+AB16*0.20+AC16*0.18+AD16*0.20+AE16*0.12+AF16*0.12)</x:f>
        <x:v>31.258248303371843</x:v>
      </x:c>
      <x:c r="AH16" s="199" t="n">
        <x:f>V16/MINIFS($V$6:$V$29,$A$6:$A$29,A16)-1</x:f>
        <x:v>0.05383672152413754</x:v>
      </x:c>
      <x:c r="AI16" s="199" t="n">
        <x:f>IF('01_Assumptions'!$B$7="最低成本",AH16,IF('01_Assumptions'!$B$7="均衡",0.55*AH16+0.45*AG16/100,0.30*AH16+0.70*AG16/100))</x:f>
        <x:v>0.17027231420344896</x:v>
      </x:c>
      <x:c r="AJ16" s="196" t="n">
        <x:f>1+COUNTIFS($A$6:$A$29,A16,$AI$6:$AI$29,"&lt;"&amp;AI16)</x:f>
        <x:v>2</x:v>
      </x:c>
      <x:c r="AK16" s="197" t="n">
        <x:f>IF('01_Assumptions'!$B$7="最低成本",IF(AJ16=1,1,0),IF('01_Assumptions'!$B$7="均衡",IF(AJ16=1,0.75,IF(AJ16=2,0.25,0)),IF(AJ16=1,0.60,IF(AJ16=2,0.30,IF(AJ16=3,0.10,0)))))</x:f>
        <x:v>0.25</x:v>
      </x:c>
      <x:c r="AL16" s="195" t="n">
        <x:f>MIN(S16*AK16,X16)</x:f>
        <x:v>18676.75</x:v>
      </x:c>
      <x:c r="AM16" s="195" t="n">
        <x:f>MAX(0,S16-SUMIFS($AL$6:$AL$29,$A$6:$A$29,A16))</x:f>
        <x:v>0</x:v>
      </x:c>
      <x:c r="AN16" s="195" t="n">
        <x:f>MAX(0,X16-AL16)</x:f>
        <x:v>47251.25</x:v>
      </x:c>
      <x:c r="AO16" s="195" t="n">
        <x:f>SUMIFS($AN$6:$AN$29,$A$6:$A$29,A16)</x:f>
        <x:v>113717</x:v>
      </x:c>
      <x:c r="AP16" s="195" t="n">
        <x:f>IF(AO16=0,0,MIN(AN16,AM16*AN16/AO16))</x:f>
        <x:v>0</x:v>
      </x:c>
      <x:c r="AQ16" s="195" t="n">
        <x:f>AL16+AP16</x:f>
        <x:v>18676.75</x:v>
      </x:c>
      <x:c r="AR16" s="195" t="n">
        <x:f>AQ16*V16</x:f>
        <x:v>2145377.4972303696</x:v>
      </x:c>
      <x:c r="AS16" s="195" t="n">
        <x:f>AR16*AG16</x:f>
        <x:v>67060742.512893334</x:v>
      </x:c>
      <x:c r="AT16" s="197" t="n">
        <x:f>IF(SUMIFS($AQ$6:$AQ$29,$A$6:$A$29,A16)=0,0,(AQ16/SUMIFS($AQ$6:$AQ$29,$A$6:$A$29,A16))^2)</x:f>
        <x:v>0.0625</x:v>
      </x:c>
      <x:c r="AU16" s="166" t="b">
        <x:v>1</x:v>
      </x:c>
      <x:c r="AV16" s="49"/>
      <x:c r="AW16" s="49"/>
      <x:c r="AX16" s="49"/>
      <x:c r="AY16" s="49"/>
      <x:c r="AZ16" s="49"/>
    </x:row>
    <x:row r="17">
      <x:c r="A17" s="49" t="str">
        <x:v>M004</x:v>
      </x:c>
      <x:c r="B17" s="49" t="str">
        <x:v>CMP抛光液</x:v>
      </x:c>
      <x:c r="C17" s="49" t="str">
        <x:v>S012</x:v>
      </x:c>
      <x:c r="D17" s="49" t="str">
        <x:v>Supplier_S012_DE</x:v>
      </x:c>
      <x:c r="E17" s="49" t="str">
        <x:v>DE</x:v>
      </x:c>
      <x:c r="F17" s="49" t="str">
        <x:v>EUR</x:v>
      </x:c>
      <x:c r="G17" s="134" t="n">
        <x:v>58</x:v>
      </x:c>
      <x:c r="H17" s="134" t="n">
        <x:v>5656</x:v>
      </x:c>
      <x:c r="I17" s="134" t="n">
        <x:v>129</x:v>
      </x:c>
      <x:c r="J17" s="164" t="n">
        <x:v>0.9807</x:v>
      </x:c>
      <x:c r="K17" s="134" t="n">
        <x:v>3</x:v>
      </x:c>
      <x:c r="L17" s="134" t="n">
        <x:v>3</x:v>
      </x:c>
      <x:c r="M17" s="134" t="n">
        <x:v>13.7238</x:v>
      </x:c>
      <x:c r="N17" s="134" t="n">
        <x:v>0.3408</x:v>
      </x:c>
      <x:c r="O17" s="194" t="n">
        <x:f>VLOOKUP(F17,'01_Assumptions'!$F$15:$G$20,2,FALSE)</x:f>
        <x:v>7.75</x:v>
      </x:c>
      <x:c r="P17" s="194" t="n">
        <x:f>(M17+N17)*O17</x:f>
        <x:v>109.00065000000001</x:v>
      </x:c>
      <x:c r="Q17" s="195" t="n">
        <x:f>SUMIFS('03_Demand_Forecast'!$E$6:$E$101,'03_Demand_Forecast'!$B$6:$B$101,A17)</x:f>
        <x:v>74707</x:v>
      </x:c>
      <x:c r="R17" s="196" t="n">
        <x:f>'01_Assumptions'!$B$8</x:f>
        <x:v>1</x:v>
      </x:c>
      <x:c r="S17" s="195" t="n">
        <x:f>Q17*R17</x:f>
        <x:v>74707</x:v>
      </x:c>
      <x:c r="T17" s="196" t="n">
        <x:f>'01_Assumptions'!$B$9</x:f>
        <x:v>1</x:v>
      </x:c>
      <x:c r="U17" s="196" t="n">
        <x:f>IF(F17="CNY",1,'01_Assumptions'!$B$12)</x:f>
        <x:v>1</x:v>
      </x:c>
      <x:c r="V17" s="194" t="n">
        <x:f>P17*T17*U17</x:f>
        <x:v>109.00065000000001</x:v>
      </x:c>
      <x:c r="W17" s="196" t="n">
        <x:f>'01_Assumptions'!$B$10</x:f>
        <x:v>1</x:v>
      </x:c>
      <x:c r="X17" s="195" t="n">
        <x:f>H17*12*W17</x:f>
        <x:v>67872</x:v>
      </x:c>
      <x:c r="Y17" s="196" t="n">
        <x:f>'01_Assumptions'!$B$11</x:f>
        <x:v>1</x:v>
      </x:c>
      <x:c r="Z17" s="196" t="n">
        <x:f>G17*Y17</x:f>
        <x:v>58</x:v>
      </x:c>
      <x:c r="AA17" s="196" t="n">
        <x:f>MIN(1,Z17/90)</x:f>
        <x:v>0.6444444444444445</x:v>
      </x:c>
      <x:c r="AB17" s="197" t="n">
        <x:f>1-J17</x:f>
        <x:v>0.019299999999999984</x:v>
      </x:c>
      <x:c r="AC17" s="197" t="n">
        <x:f>MIN(1,I17/500)</x:f>
        <x:v>0.258</x:v>
      </x:c>
      <x:c r="AD17" s="197" t="n">
        <x:f>MAX(0,1-MIN(1,X17/S17))</x:f>
        <x:v>0.09149075722489186</x:v>
      </x:c>
      <x:c r="AE17" s="197" t="n">
        <x:f>(K17-1)/4</x:f>
        <x:v>0.5</x:v>
      </x:c>
      <x:c r="AF17" s="197" t="n">
        <x:f>(L17-1)/4</x:f>
        <x:v>0.5</x:v>
      </x:c>
      <x:c r="AG17" s="198" t="n">
        <x:f>100*(AA17*0.18+AB17*0.20+AC17*0.18+AD17*0.20+AE17*0.12+AF17*0.12)</x:f>
        <x:v>30.45981514449784</x:v>
      </x:c>
      <x:c r="AH17" s="199" t="n">
        <x:f>V17/MINIFS($V$6:$V$29,$A$6:$A$29,A17)-1</x:f>
        <x:v>0</x:v>
      </x:c>
      <x:c r="AI17" s="199" t="n">
        <x:f>IF('01_Assumptions'!$B$7="最低成本",AH17,IF('01_Assumptions'!$B$7="均衡",0.55*AH17+0.45*AG17/100,0.30*AH17+0.70*AG17/100))</x:f>
        <x:v>0.13706916815024028</x:v>
      </x:c>
      <x:c r="AJ17" s="196" t="n">
        <x:f>1+COUNTIFS($A$6:$A$29,A17,$AI$6:$AI$29,"&lt;"&amp;AI17)</x:f>
        <x:v>1</x:v>
      </x:c>
      <x:c r="AK17" s="197" t="n">
        <x:f>IF('01_Assumptions'!$B$7="最低成本",IF(AJ17=1,1,0),IF('01_Assumptions'!$B$7="均衡",IF(AJ17=1,0.75,IF(AJ17=2,0.25,0)),IF(AJ17=1,0.60,IF(AJ17=2,0.30,IF(AJ17=3,0.10,0)))))</x:f>
        <x:v>0.75</x:v>
      </x:c>
      <x:c r="AL17" s="195" t="n">
        <x:f>MIN(S17*AK17,X17)</x:f>
        <x:v>56030.25</x:v>
      </x:c>
      <x:c r="AM17" s="195" t="n">
        <x:f>MAX(0,S17-SUMIFS($AL$6:$AL$29,$A$6:$A$29,A17))</x:f>
        <x:v>0</x:v>
      </x:c>
      <x:c r="AN17" s="195" t="n">
        <x:f>MAX(0,X17-AL17)</x:f>
        <x:v>11841.75</x:v>
      </x:c>
      <x:c r="AO17" s="195" t="n">
        <x:f>SUMIFS($AN$6:$AN$29,$A$6:$A$29,A17)</x:f>
        <x:v>113717</x:v>
      </x:c>
      <x:c r="AP17" s="195" t="n">
        <x:f>IF(AO17=0,0,MIN(AN17,AM17*AN17/AO17))</x:f>
        <x:v>0</x:v>
      </x:c>
      <x:c r="AQ17" s="195" t="n">
        <x:f>AL17+AP17</x:f>
        <x:v>56030.25</x:v>
      </x:c>
      <x:c r="AR17" s="195" t="n">
        <x:f>AQ17*V17</x:f>
        <x:v>6107333.669662501</x:v>
      </x:c>
      <x:c r="AS17" s="195" t="n">
        <x:f>AR17*AG17</x:f>
        <x:v>186028254.6036874</x:v>
      </x:c>
      <x:c r="AT17" s="197" t="n">
        <x:f>IF(SUMIFS($AQ$6:$AQ$29,$A$6:$A$29,A17)=0,0,(AQ17/SUMIFS($AQ$6:$AQ$29,$A$6:$A$29,A17))^2)</x:f>
        <x:v>0.5625</x:v>
      </x:c>
      <x:c r="AU17" s="166" t="b">
        <x:v>1</x:v>
      </x:c>
      <x:c r="AV17" s="49"/>
      <x:c r="AW17" s="49"/>
      <x:c r="AX17" s="49"/>
      <x:c r="AY17" s="49"/>
      <x:c r="AZ17" s="49"/>
    </x:row>
    <x:row r="18">
      <x:c r="A18" s="49" t="str">
        <x:v>M005</x:v>
      </x:c>
      <x:c r="B18" s="49" t="str">
        <x:v>PVD靶材</x:v>
      </x:c>
      <x:c r="C18" s="49" t="str">
        <x:v>S013</x:v>
      </x:c>
      <x:c r="D18" s="49" t="str">
        <x:v>Supplier_S013_CN</x:v>
      </x:c>
      <x:c r="E18" s="49" t="str">
        <x:v>CN</x:v>
      </x:c>
      <x:c r="F18" s="49" t="str">
        <x:v>CNY</x:v>
      </x:c>
      <x:c r="G18" s="134" t="n">
        <x:v>54</x:v>
      </x:c>
      <x:c r="H18" s="134" t="n">
        <x:v>84</x:v>
      </x:c>
      <x:c r="I18" s="134" t="n">
        <x:v>157</x:v>
      </x:c>
      <x:c r="J18" s="164" t="n">
        <x:v>0.9318</x:v>
      </x:c>
      <x:c r="K18" s="134" t="n">
        <x:v>4</x:v>
      </x:c>
      <x:c r="L18" s="134" t="n">
        <x:v>1</x:v>
      </x:c>
      <x:c r="M18" s="134" t="n">
        <x:v>8676.862</x:v>
      </x:c>
      <x:c r="N18" s="134" t="n">
        <x:v>75.3472</x:v>
      </x:c>
      <x:c r="O18" s="194" t="n">
        <x:f>VLOOKUP(F18,'01_Assumptions'!$F$15:$G$20,2,FALSE)</x:f>
        <x:v>1</x:v>
      </x:c>
      <x:c r="P18" s="194" t="n">
        <x:f>(M18+N18)*O18</x:f>
        <x:v>8752.2092</x:v>
      </x:c>
      <x:c r="Q18" s="195" t="n">
        <x:f>SUMIFS('03_Demand_Forecast'!$E$6:$E$101,'03_Demand_Forecast'!$B$6:$B$101,A18)</x:f>
        <x:v>1294</x:v>
      </x:c>
      <x:c r="R18" s="196" t="n">
        <x:f>'01_Assumptions'!$B$8</x:f>
        <x:v>1</x:v>
      </x:c>
      <x:c r="S18" s="195" t="n">
        <x:f>Q18*R18</x:f>
        <x:v>1294</x:v>
      </x:c>
      <x:c r="T18" s="196" t="n">
        <x:f>'01_Assumptions'!$B$9</x:f>
        <x:v>1</x:v>
      </x:c>
      <x:c r="U18" s="196" t="n">
        <x:f>IF(F18="CNY",1,'01_Assumptions'!$B$12)</x:f>
        <x:v>1</x:v>
      </x:c>
      <x:c r="V18" s="194" t="n">
        <x:f>P18*T18*U18</x:f>
        <x:v>8752.2092</x:v>
      </x:c>
      <x:c r="W18" s="196" t="n">
        <x:f>'01_Assumptions'!$B$10</x:f>
        <x:v>1</x:v>
      </x:c>
      <x:c r="X18" s="195" t="n">
        <x:f>H18*12*W18</x:f>
        <x:v>1008</x:v>
      </x:c>
      <x:c r="Y18" s="196" t="n">
        <x:f>'01_Assumptions'!$B$11</x:f>
        <x:v>1</x:v>
      </x:c>
      <x:c r="Z18" s="196" t="n">
        <x:f>G18*Y18</x:f>
        <x:v>54</x:v>
      </x:c>
      <x:c r="AA18" s="196" t="n">
        <x:f>MIN(1,Z18/90)</x:f>
        <x:v>0.6</x:v>
      </x:c>
      <x:c r="AB18" s="197" t="n">
        <x:f>1-J18</x:f>
        <x:v>0.06820000000000004</x:v>
      </x:c>
      <x:c r="AC18" s="197" t="n">
        <x:f>MIN(1,I18/500)</x:f>
        <x:v>0.314</x:v>
      </x:c>
      <x:c r="AD18" s="197" t="n">
        <x:f>MAX(0,1-MIN(1,X18/S18))</x:f>
        <x:v>0.22102009273570322</x:v>
      </x:c>
      <x:c r="AE18" s="197" t="n">
        <x:f>(K18-1)/4</x:f>
        <x:v>0.75</x:v>
      </x:c>
      <x:c r="AF18" s="197" t="n">
        <x:f>(L18-1)/4</x:f>
        <x:v>0</x:v>
      </x:c>
      <x:c r="AG18" s="198" t="n">
        <x:f>100*(AA18*0.18+AB18*0.20+AC18*0.18+AD18*0.20+AE18*0.12+AF18*0.12)</x:f>
        <x:v>31.236401854714067</x:v>
      </x:c>
      <x:c r="AH18" s="199" t="n">
        <x:f>V18/MINIFS($V$6:$V$29,$A$6:$A$29,A18)-1</x:f>
        <x:v>0.0013538118374221142</x:v>
      </x:c>
      <x:c r="AI18" s="199" t="n">
        <x:f>IF('01_Assumptions'!$B$7="最低成本",AH18,IF('01_Assumptions'!$B$7="均衡",0.55*AH18+0.45*AG18/100,0.30*AH18+0.70*AG18/100))</x:f>
        <x:v>0.1413084048567955</x:v>
      </x:c>
      <x:c r="AJ18" s="196" t="n">
        <x:f>1+COUNTIFS($A$6:$A$29,A18,$AI$6:$AI$29,"&lt;"&amp;AI18)</x:f>
        <x:v>1</x:v>
      </x:c>
      <x:c r="AK18" s="197" t="n">
        <x:f>IF('01_Assumptions'!$B$7="最低成本",IF(AJ18=1,1,0),IF('01_Assumptions'!$B$7="均衡",IF(AJ18=1,0.75,IF(AJ18=2,0.25,0)),IF(AJ18=1,0.60,IF(AJ18=2,0.30,IF(AJ18=3,0.10,0)))))</x:f>
        <x:v>0.75</x:v>
      </x:c>
      <x:c r="AL18" s="195" t="n">
        <x:f>MIN(S18*AK18,X18)</x:f>
        <x:v>970.5</x:v>
      </x:c>
      <x:c r="AM18" s="195" t="n">
        <x:f>MAX(0,S18-SUMIFS($AL$6:$AL$29,$A$6:$A$29,A18))</x:f>
        <x:v>0</x:v>
      </x:c>
      <x:c r="AN18" s="195" t="n">
        <x:f>MAX(0,X18-AL18)</x:f>
        <x:v>37.5</x:v>
      </x:c>
      <x:c r="AO18" s="195" t="n">
        <x:f>SUMIFS($AN$6:$AN$29,$A$6:$A$29,A18)</x:f>
        <x:v>1574</x:v>
      </x:c>
      <x:c r="AP18" s="195" t="n">
        <x:f>IF(AO18=0,0,MIN(AN18,AM18*AN18/AO18))</x:f>
        <x:v>0</x:v>
      </x:c>
      <x:c r="AQ18" s="195" t="n">
        <x:f>AL18+AP18</x:f>
        <x:v>970.5</x:v>
      </x:c>
      <x:c r="AR18" s="195" t="n">
        <x:f>AQ18*V18</x:f>
        <x:v>8494019.0286</x:v>
      </x:c>
      <x:c r="AS18" s="195" t="n">
        <x:f>AR18*AG18</x:f>
        <x:v>265322591.73893762</x:v>
      </x:c>
      <x:c r="AT18" s="197" t="n">
        <x:f>IF(SUMIFS($AQ$6:$AQ$29,$A$6:$A$29,A18)=0,0,(AQ18/SUMIFS($AQ$6:$AQ$29,$A$6:$A$29,A18))^2)</x:f>
        <x:v>0.5625</x:v>
      </x:c>
      <x:c r="AU18" s="166" t="b">
        <x:v>1</x:v>
      </x:c>
      <x:c r="AV18" s="49"/>
      <x:c r="AW18" s="49"/>
      <x:c r="AX18" s="49"/>
      <x:c r="AY18" s="49"/>
      <x:c r="AZ18" s="49"/>
    </x:row>
    <x:row r="19">
      <x:c r="A19" s="49" t="str">
        <x:v>M005</x:v>
      </x:c>
      <x:c r="B19" s="49" t="str">
        <x:v>PVD靶材</x:v>
      </x:c>
      <x:c r="C19" s="49" t="str">
        <x:v>S014</x:v>
      </x:c>
      <x:c r="D19" s="49" t="str">
        <x:v>Supplier_S014_DE</x:v>
      </x:c>
      <x:c r="E19" s="49" t="str">
        <x:v>DE</x:v>
      </x:c>
      <x:c r="F19" s="49" t="str">
        <x:v>EUR</x:v>
      </x:c>
      <x:c r="G19" s="134" t="n">
        <x:v>61</x:v>
      </x:c>
      <x:c r="H19" s="134" t="n">
        <x:v>68</x:v>
      </x:c>
      <x:c r="I19" s="134" t="n">
        <x:v>314</x:v>
      </x:c>
      <x:c r="J19" s="164" t="n">
        <x:v>0.9798</x:v>
      </x:c>
      <x:c r="K19" s="134" t="n">
        <x:v>1</x:v>
      </x:c>
      <x:c r="L19" s="134" t="n">
        <x:v>3</x:v>
      </x:c>
      <x:c r="M19" s="134" t="n">
        <x:v>1110.9947</x:v>
      </x:c>
      <x:c r="N19" s="134" t="n">
        <x:v>16.7958</x:v>
      </x:c>
      <x:c r="O19" s="194" t="n">
        <x:f>VLOOKUP(F19,'01_Assumptions'!$F$15:$G$20,2,FALSE)</x:f>
        <x:v>7.75</x:v>
      </x:c>
      <x:c r="P19" s="194" t="n">
        <x:f>(M19+N19)*O19</x:f>
        <x:v>8740.376375</x:v>
      </x:c>
      <x:c r="Q19" s="195" t="n">
        <x:f>SUMIFS('03_Demand_Forecast'!$E$6:$E$101,'03_Demand_Forecast'!$B$6:$B$101,A19)</x:f>
        <x:v>1294</x:v>
      </x:c>
      <x:c r="R19" s="196" t="n">
        <x:f>'01_Assumptions'!$B$8</x:f>
        <x:v>1</x:v>
      </x:c>
      <x:c r="S19" s="195" t="n">
        <x:f>Q19*R19</x:f>
        <x:v>1294</x:v>
      </x:c>
      <x:c r="T19" s="196" t="n">
        <x:f>'01_Assumptions'!$B$9</x:f>
        <x:v>1</x:v>
      </x:c>
      <x:c r="U19" s="196" t="n">
        <x:f>IF(F19="CNY",1,'01_Assumptions'!$B$12)</x:f>
        <x:v>1</x:v>
      </x:c>
      <x:c r="V19" s="194" t="n">
        <x:f>P19*T19*U19</x:f>
        <x:v>8740.376375</x:v>
      </x:c>
      <x:c r="W19" s="196" t="n">
        <x:f>'01_Assumptions'!$B$10</x:f>
        <x:v>1</x:v>
      </x:c>
      <x:c r="X19" s="195" t="n">
        <x:f>H19*12*W19</x:f>
        <x:v>816</x:v>
      </x:c>
      <x:c r="Y19" s="196" t="n">
        <x:f>'01_Assumptions'!$B$11</x:f>
        <x:v>1</x:v>
      </x:c>
      <x:c r="Z19" s="196" t="n">
        <x:f>G19*Y19</x:f>
        <x:v>61</x:v>
      </x:c>
      <x:c r="AA19" s="196" t="n">
        <x:f>MIN(1,Z19/90)</x:f>
        <x:v>0.6777777777777778</x:v>
      </x:c>
      <x:c r="AB19" s="197" t="n">
        <x:f>1-J19</x:f>
        <x:v>0.020199999999999996</x:v>
      </x:c>
      <x:c r="AC19" s="197" t="n">
        <x:f>MIN(1,I19/500)</x:f>
        <x:v>0.628</x:v>
      </x:c>
      <x:c r="AD19" s="197" t="n">
        <x:f>MAX(0,1-MIN(1,X19/S19))</x:f>
        <x:v>0.3693972179289027</x:v>
      </x:c>
      <x:c r="AE19" s="197" t="n">
        <x:f>(K19-1)/4</x:f>
        <x:v>0</x:v>
      </x:c>
      <x:c r="AF19" s="197" t="n">
        <x:f>(L19-1)/4</x:f>
        <x:v>0.5</x:v>
      </x:c>
      <x:c r="AG19" s="198" t="n">
        <x:f>100*(AA19*0.18+AB19*0.20+AC19*0.18+AD19*0.20+AE19*0.12+AF19*0.12)</x:f>
        <x:v>37.295944358578055</x:v>
      </x:c>
      <x:c r="AH19" s="199" t="n">
        <x:f>V19/MINIFS($V$6:$V$29,$A$6:$A$29,A19)-1</x:f>
        <x:v>0</x:v>
      </x:c>
      <x:c r="AI19" s="199" t="n">
        <x:f>IF('01_Assumptions'!$B$7="最低成本",AH19,IF('01_Assumptions'!$B$7="均衡",0.55*AH19+0.45*AG19/100,0.30*AH19+0.70*AG19/100))</x:f>
        <x:v>0.16783174961360126</x:v>
      </x:c>
      <x:c r="AJ19" s="196" t="n">
        <x:f>1+COUNTIFS($A$6:$A$29,A19,$AI$6:$AI$29,"&lt;"&amp;AI19)</x:f>
        <x:v>2</x:v>
      </x:c>
      <x:c r="AK19" s="197" t="n">
        <x:f>IF('01_Assumptions'!$B$7="最低成本",IF(AJ19=1,1,0),IF('01_Assumptions'!$B$7="均衡",IF(AJ19=1,0.75,IF(AJ19=2,0.25,0)),IF(AJ19=1,0.60,IF(AJ19=2,0.30,IF(AJ19=3,0.10,0)))))</x:f>
        <x:v>0.25</x:v>
      </x:c>
      <x:c r="AL19" s="195" t="n">
        <x:f>MIN(S19*AK19,X19)</x:f>
        <x:v>323.5</x:v>
      </x:c>
      <x:c r="AM19" s="195" t="n">
        <x:f>MAX(0,S19-SUMIFS($AL$6:$AL$29,$A$6:$A$29,A19))</x:f>
        <x:v>0</x:v>
      </x:c>
      <x:c r="AN19" s="195" t="n">
        <x:f>MAX(0,X19-AL19)</x:f>
        <x:v>492.5</x:v>
      </x:c>
      <x:c r="AO19" s="195" t="n">
        <x:f>SUMIFS($AN$6:$AN$29,$A$6:$A$29,A19)</x:f>
        <x:v>1574</x:v>
      </x:c>
      <x:c r="AP19" s="195" t="n">
        <x:f>IF(AO19=0,0,MIN(AN19,AM19*AN19/AO19))</x:f>
        <x:v>0</x:v>
      </x:c>
      <x:c r="AQ19" s="195" t="n">
        <x:f>AL19+AP19</x:f>
        <x:v>323.5</x:v>
      </x:c>
      <x:c r="AR19" s="195" t="n">
        <x:f>AQ19*V19</x:f>
        <x:v>2827511.7573125</x:v>
      </x:c>
      <x:c r="AS19" s="195" t="n">
        <x:f>AR19*AG19</x:f>
        <x:v>105454721.17395225</x:v>
      </x:c>
      <x:c r="AT19" s="197" t="n">
        <x:f>IF(SUMIFS($AQ$6:$AQ$29,$A$6:$A$29,A19)=0,0,(AQ19/SUMIFS($AQ$6:$AQ$29,$A$6:$A$29,A19))^2)</x:f>
        <x:v>0.0625</x:v>
      </x:c>
      <x:c r="AU19" s="166" t="b">
        <x:v>1</x:v>
      </x:c>
      <x:c r="AV19" s="49"/>
      <x:c r="AW19" s="49"/>
      <x:c r="AX19" s="49"/>
      <x:c r="AY19" s="49"/>
      <x:c r="AZ19" s="49"/>
    </x:row>
    <x:row r="20">
      <x:c r="A20" s="49" t="str">
        <x:v>M005</x:v>
      </x:c>
      <x:c r="B20" s="49" t="str">
        <x:v>PVD靶材</x:v>
      </x:c>
      <x:c r="C20" s="49" t="str">
        <x:v>S015</x:v>
      </x:c>
      <x:c r="D20" s="49" t="str">
        <x:v>Supplier_S015_SG</x:v>
      </x:c>
      <x:c r="E20" s="49" t="str">
        <x:v>SG</x:v>
      </x:c>
      <x:c r="F20" s="49" t="str">
        <x:v>SGD</x:v>
      </x:c>
      <x:c r="G20" s="134" t="n">
        <x:v>61</x:v>
      </x:c>
      <x:c r="H20" s="134" t="n">
        <x:v>87</x:v>
      </x:c>
      <x:c r="I20" s="134" t="n">
        <x:v>43</x:v>
      </x:c>
      <x:c r="J20" s="164" t="n">
        <x:v>0.897</x:v>
      </x:c>
      <x:c r="K20" s="134" t="n">
        <x:v>5</x:v>
      </x:c>
      <x:c r="L20" s="134" t="n">
        <x:v>2</x:v>
      </x:c>
      <x:c r="M20" s="134" t="n">
        <x:v>1759.0002</x:v>
      </x:c>
      <x:c r="N20" s="134" t="n">
        <x:v>35.9614</x:v>
      </x:c>
      <x:c r="O20" s="194" t="n">
        <x:f>VLOOKUP(F20,'01_Assumptions'!$F$15:$G$20,2,FALSE)</x:f>
        <x:v>5.35</x:v>
      </x:c>
      <x:c r="P20" s="194" t="n">
        <x:f>(M20+N20)*O20</x:f>
        <x:v>9603.044559999998</x:v>
      </x:c>
      <x:c r="Q20" s="195" t="n">
        <x:f>SUMIFS('03_Demand_Forecast'!$E$6:$E$101,'03_Demand_Forecast'!$B$6:$B$101,A20)</x:f>
        <x:v>1294</x:v>
      </x:c>
      <x:c r="R20" s="196" t="n">
        <x:f>'01_Assumptions'!$B$8</x:f>
        <x:v>1</x:v>
      </x:c>
      <x:c r="S20" s="195" t="n">
        <x:f>Q20*R20</x:f>
        <x:v>1294</x:v>
      </x:c>
      <x:c r="T20" s="196" t="n">
        <x:f>'01_Assumptions'!$B$9</x:f>
        <x:v>1</x:v>
      </x:c>
      <x:c r="U20" s="196" t="n">
        <x:f>IF(F20="CNY",1,'01_Assumptions'!$B$12)</x:f>
        <x:v>1</x:v>
      </x:c>
      <x:c r="V20" s="194" t="n">
        <x:f>P20*T20*U20</x:f>
        <x:v>9603.044559999998</x:v>
      </x:c>
      <x:c r="W20" s="196" t="n">
        <x:f>'01_Assumptions'!$B$10</x:f>
        <x:v>1</x:v>
      </x:c>
      <x:c r="X20" s="195" t="n">
        <x:f>H20*12*W20</x:f>
        <x:v>1044</x:v>
      </x:c>
      <x:c r="Y20" s="196" t="n">
        <x:f>'01_Assumptions'!$B$11</x:f>
        <x:v>1</x:v>
      </x:c>
      <x:c r="Z20" s="196" t="n">
        <x:f>G20*Y20</x:f>
        <x:v>61</x:v>
      </x:c>
      <x:c r="AA20" s="196" t="n">
        <x:f>MIN(1,Z20/90)</x:f>
        <x:v>0.6777777777777778</x:v>
      </x:c>
      <x:c r="AB20" s="197" t="n">
        <x:f>1-J20</x:f>
        <x:v>0.10299999999999998</x:v>
      </x:c>
      <x:c r="AC20" s="197" t="n">
        <x:f>MIN(1,I20/500)</x:f>
        <x:v>0.086</x:v>
      </x:c>
      <x:c r="AD20" s="197" t="n">
        <x:f>MAX(0,1-MIN(1,X20/S20))</x:f>
        <x:v>0.19319938176197837</x:v>
      </x:c>
      <x:c r="AE20" s="197" t="n">
        <x:f>(K20-1)/4</x:f>
        <x:v>1</x:v>
      </x:c>
      <x:c r="AF20" s="197" t="n">
        <x:f>(L20-1)/4</x:f>
        <x:v>0.25</x:v>
      </x:c>
      <x:c r="AG20" s="198" t="n">
        <x:f>100*(AA20*0.18+AB20*0.20+AC20*0.18+AD20*0.20+AE20*0.12+AF20*0.12)</x:f>
        <x:v>34.67198763523957</x:v>
      </x:c>
      <x:c r="AH20" s="199" t="n">
        <x:f>V20/MINIFS($V$6:$V$29,$A$6:$A$29,A20)-1</x:f>
        <x:v>0.09869920332807158</x:v>
      </x:c>
      <x:c r="AI20" s="199" t="n">
        <x:f>IF('01_Assumptions'!$B$7="最低成本",AH20,IF('01_Assumptions'!$B$7="均衡",0.55*AH20+0.45*AG20/100,0.30*AH20+0.70*AG20/100))</x:f>
        <x:v>0.21030850618901742</x:v>
      </x:c>
      <x:c r="AJ20" s="196" t="n">
        <x:f>1+COUNTIFS($A$6:$A$29,A20,$AI$6:$AI$29,"&lt;"&amp;AI20)</x:f>
        <x:v>3</x:v>
      </x:c>
      <x:c r="AK20" s="197" t="n">
        <x:f>IF('01_Assumptions'!$B$7="最低成本",IF(AJ20=1,1,0),IF('01_Assumptions'!$B$7="均衡",IF(AJ20=1,0.75,IF(AJ20=2,0.25,0)),IF(AJ20=1,0.60,IF(AJ20=2,0.30,IF(AJ20=3,0.10,0)))))</x:f>
        <x:v>0</x:v>
      </x:c>
      <x:c r="AL20" s="195" t="n">
        <x:f>MIN(S20*AK20,X20)</x:f>
        <x:v>0</x:v>
      </x:c>
      <x:c r="AM20" s="195" t="n">
        <x:f>MAX(0,S20-SUMIFS($AL$6:$AL$29,$A$6:$A$29,A20))</x:f>
        <x:v>0</x:v>
      </x:c>
      <x:c r="AN20" s="195" t="n">
        <x:f>MAX(0,X20-AL20)</x:f>
        <x:v>1044</x:v>
      </x:c>
      <x:c r="AO20" s="195" t="n">
        <x:f>SUMIFS($AN$6:$AN$29,$A$6:$A$29,A20)</x:f>
        <x:v>1574</x:v>
      </x:c>
      <x:c r="AP20" s="195" t="n">
        <x:f>IF(AO20=0,0,MIN(AN20,AM20*AN20/AO20))</x:f>
        <x:v>0</x:v>
      </x:c>
      <x:c r="AQ20" s="195" t="n">
        <x:f>AL20+AP20</x:f>
        <x:v>0</x:v>
      </x:c>
      <x:c r="AR20" s="195" t="n">
        <x:f>AQ20*V20</x:f>
        <x:v>0</x:v>
      </x:c>
      <x:c r="AS20" s="195" t="n">
        <x:f>AR20*AG20</x:f>
        <x:v>0</x:v>
      </x:c>
      <x:c r="AT20" s="197" t="n">
        <x:f>IF(SUMIFS($AQ$6:$AQ$29,$A$6:$A$29,A20)=0,0,(AQ20/SUMIFS($AQ$6:$AQ$29,$A$6:$A$29,A20))^2)</x:f>
        <x:v>0</x:v>
      </x:c>
      <x:c r="AU20" s="166" t="b">
        <x:v>1</x:v>
      </x:c>
      <x:c r="AV20" s="49"/>
      <x:c r="AW20" s="49"/>
      <x:c r="AX20" s="49"/>
      <x:c r="AY20" s="49"/>
      <x:c r="AZ20" s="49"/>
    </x:row>
    <x:row r="21">
      <x:c r="A21" s="49" t="str">
        <x:v>M006</x:v>
      </x:c>
      <x:c r="B21" s="49" t="str">
        <x:v>封装基板</x:v>
      </x:c>
      <x:c r="C21" s="49" t="str">
        <x:v>S016</x:v>
      </x:c>
      <x:c r="D21" s="49" t="str">
        <x:v>Supplier_S016_DE</x:v>
      </x:c>
      <x:c r="E21" s="49" t="str">
        <x:v>DE</x:v>
      </x:c>
      <x:c r="F21" s="49" t="str">
        <x:v>EUR</x:v>
      </x:c>
      <x:c r="G21" s="134" t="n">
        <x:v>30</x:v>
      </x:c>
      <x:c r="H21" s="134" t="n">
        <x:v>178448</x:v>
      </x:c>
      <x:c r="I21" s="134" t="n">
        <x:v>201</x:v>
      </x:c>
      <x:c r="J21" s="164" t="n">
        <x:v>0.9731</x:v>
      </x:c>
      <x:c r="K21" s="134" t="n">
        <x:v>2</x:v>
      </x:c>
      <x:c r="L21" s="134" t="n">
        <x:v>2</x:v>
      </x:c>
      <x:c r="M21" s="134" t="n">
        <x:v>6.1629</x:v>
      </x:c>
      <x:c r="N21" s="134" t="n">
        <x:v>0.1066</x:v>
      </x:c>
      <x:c r="O21" s="194" t="n">
        <x:f>VLOOKUP(F21,'01_Assumptions'!$F$15:$G$20,2,FALSE)</x:f>
        <x:v>7.75</x:v>
      </x:c>
      <x:c r="P21" s="194" t="n">
        <x:f>(M21+N21)*O21</x:f>
        <x:v>48.588625</x:v>
      </x:c>
      <x:c r="Q21" s="195" t="n">
        <x:f>SUMIFS('03_Demand_Forecast'!$E$6:$E$101,'03_Demand_Forecast'!$B$6:$B$101,A21)</x:f>
        <x:v>2220421</x:v>
      </x:c>
      <x:c r="R21" s="196" t="n">
        <x:f>'01_Assumptions'!$B$8</x:f>
        <x:v>1</x:v>
      </x:c>
      <x:c r="S21" s="195" t="n">
        <x:f>Q21*R21</x:f>
        <x:v>2220421</x:v>
      </x:c>
      <x:c r="T21" s="196" t="n">
        <x:f>'01_Assumptions'!$B$9</x:f>
        <x:v>1</x:v>
      </x:c>
      <x:c r="U21" s="196" t="n">
        <x:f>IF(F21="CNY",1,'01_Assumptions'!$B$12)</x:f>
        <x:v>1</x:v>
      </x:c>
      <x:c r="V21" s="194" t="n">
        <x:f>P21*T21*U21</x:f>
        <x:v>48.588625</x:v>
      </x:c>
      <x:c r="W21" s="196" t="n">
        <x:f>'01_Assumptions'!$B$10</x:f>
        <x:v>1</x:v>
      </x:c>
      <x:c r="X21" s="195" t="n">
        <x:f>H21*12*W21</x:f>
        <x:v>2141376</x:v>
      </x:c>
      <x:c r="Y21" s="196" t="n">
        <x:f>'01_Assumptions'!$B$11</x:f>
        <x:v>1</x:v>
      </x:c>
      <x:c r="Z21" s="196" t="n">
        <x:f>G21*Y21</x:f>
        <x:v>30</x:v>
      </x:c>
      <x:c r="AA21" s="196" t="n">
        <x:f>MIN(1,Z21/90)</x:f>
        <x:v>0.3333333333333333</x:v>
      </x:c>
      <x:c r="AB21" s="197" t="n">
        <x:f>1-J21</x:f>
        <x:v>0.026900000000000035</x:v>
      </x:c>
      <x:c r="AC21" s="197" t="n">
        <x:f>MIN(1,I21/500)</x:f>
        <x:v>0.402</x:v>
      </x:c>
      <x:c r="AD21" s="197" t="n">
        <x:f>MAX(0,1-MIN(1,X21/S21))</x:f>
        <x:v>0.035599104854439734</x:v>
      </x:c>
      <x:c r="AE21" s="197" t="n">
        <x:f>(K21-1)/4</x:f>
        <x:v>0.25</x:v>
      </x:c>
      <x:c r="AF21" s="197" t="n">
        <x:f>(L21-1)/4</x:f>
        <x:v>0.25</x:v>
      </x:c>
      <x:c r="AG21" s="198" t="n">
        <x:f>100*(AA21*0.18+AB21*0.20+AC21*0.18+AD21*0.20+AE21*0.12+AF21*0.12)</x:f>
        <x:v>20.485982097088797</x:v>
      </x:c>
      <x:c r="AH21" s="199" t="n">
        <x:f>V21/MINIFS($V$6:$V$29,$A$6:$A$29,A21)-1</x:f>
        <x:v>0.22102206047224726</x:v>
      </x:c>
      <x:c r="AI21" s="199" t="n">
        <x:f>IF('01_Assumptions'!$B$7="最低成本",AH21,IF('01_Assumptions'!$B$7="均衡",0.55*AH21+0.45*AG21/100,0.30*AH21+0.70*AG21/100))</x:f>
        <x:v>0.21374905269663558</x:v>
      </x:c>
      <x:c r="AJ21" s="196" t="n">
        <x:f>1+COUNTIFS($A$6:$A$29,A21,$AI$6:$AI$29,"&lt;"&amp;AI21)</x:f>
        <x:v>3</x:v>
      </x:c>
      <x:c r="AK21" s="197" t="n">
        <x:f>IF('01_Assumptions'!$B$7="最低成本",IF(AJ21=1,1,0),IF('01_Assumptions'!$B$7="均衡",IF(AJ21=1,0.75,IF(AJ21=2,0.25,0)),IF(AJ21=1,0.60,IF(AJ21=2,0.30,IF(AJ21=3,0.10,0)))))</x:f>
        <x:v>0</x:v>
      </x:c>
      <x:c r="AL21" s="195" t="n">
        <x:f>MIN(S21*AK21,X21)</x:f>
        <x:v>0</x:v>
      </x:c>
      <x:c r="AM21" s="195" t="n">
        <x:f>MAX(0,S21-SUMIFS($AL$6:$AL$29,$A$6:$A$29,A21))</x:f>
        <x:v>193359.75</x:v>
      </x:c>
      <x:c r="AN21" s="195" t="n">
        <x:f>MAX(0,X21-AL21)</x:f>
        <x:v>2141376</x:v>
      </x:c>
      <x:c r="AO21" s="195" t="n">
        <x:f>SUMIFS($AN$6:$AN$29,$A$6:$A$29,A21)</x:f>
        <x:v>3862106.75</x:v>
      </x:c>
      <x:c r="AP21" s="195" t="n">
        <x:f>IF(AO21=0,0,MIN(AN21,AM21*AN21/AO21))</x:f>
        <x:v>107209.8610469532</x:v>
      </x:c>
      <x:c r="AQ21" s="195" t="n">
        <x:f>AL21+AP21</x:f>
        <x:v>107209.8610469532</x:v>
      </x:c>
      <x:c r="AR21" s="195" t="n">
        <x:f>AQ21*V21</x:f>
        <x:v>5209179.734712517</x:v>
      </x:c>
      <x:c r="AS21" s="195" t="n">
        <x:f>AR21*AG21</x:f>
        <x:v>106715162.7858384</x:v>
      </x:c>
      <x:c r="AT21" s="197" t="n">
        <x:f>IF(SUMIFS($AQ$6:$AQ$29,$A$6:$A$29,A21)=0,0,(AQ21/SUMIFS($AQ$6:$AQ$29,$A$6:$A$29,A21))^2)</x:f>
        <x:v>0.002331303491349379</x:v>
      </x:c>
      <x:c r="AU21" s="166" t="b">
        <x:v>1</x:v>
      </x:c>
      <x:c r="AV21" s="49"/>
      <x:c r="AW21" s="49"/>
      <x:c r="AX21" s="49"/>
      <x:c r="AY21" s="49"/>
      <x:c r="AZ21" s="49"/>
    </x:row>
    <x:row r="22">
      <x:c r="A22" s="49" t="str">
        <x:v>M006</x:v>
      </x:c>
      <x:c r="B22" s="49" t="str">
        <x:v>封装基板</x:v>
      </x:c>
      <x:c r="C22" s="49" t="str">
        <x:v>S017</x:v>
      </x:c>
      <x:c r="D22" s="49" t="str">
        <x:v>Supplier_S017_JP</x:v>
      </x:c>
      <x:c r="E22" s="49" t="str">
        <x:v>JP</x:v>
      </x:c>
      <x:c r="F22" s="49" t="str">
        <x:v>JPY</x:v>
      </x:c>
      <x:c r="G22" s="134" t="n">
        <x:v>20</x:v>
      </x:c>
      <x:c r="H22" s="134" t="n">
        <x:v>189653</x:v>
      </x:c>
      <x:c r="I22" s="134" t="n">
        <x:v>161</x:v>
      </x:c>
      <x:c r="J22" s="164" t="n">
        <x:v>0.9631</x:v>
      </x:c>
      <x:c r="K22" s="134" t="n">
        <x:v>5</x:v>
      </x:c>
      <x:c r="L22" s="134" t="n">
        <x:v>3</x:v>
      </x:c>
      <x:c r="M22" s="134" t="n">
        <x:v>802.4521</x:v>
      </x:c>
      <x:c r="N22" s="134" t="n">
        <x:v>9.6582</x:v>
      </x:c>
      <x:c r="O22" s="194" t="n">
        <x:f>VLOOKUP(F22,'01_Assumptions'!$F$15:$G$20,2,FALSE)</x:f>
        <x:v>0.049</x:v>
      </x:c>
      <x:c r="P22" s="194" t="n">
        <x:f>(M22+N22)*O22</x:f>
        <x:v>39.793404699999996</x:v>
      </x:c>
      <x:c r="Q22" s="195" t="n">
        <x:f>SUMIFS('03_Demand_Forecast'!$E$6:$E$101,'03_Demand_Forecast'!$B$6:$B$101,A22)</x:f>
        <x:v>2220421</x:v>
      </x:c>
      <x:c r="R22" s="196" t="n">
        <x:f>'01_Assumptions'!$B$8</x:f>
        <x:v>1</x:v>
      </x:c>
      <x:c r="S22" s="195" t="n">
        <x:f>Q22*R22</x:f>
        <x:v>2220421</x:v>
      </x:c>
      <x:c r="T22" s="196" t="n">
        <x:f>'01_Assumptions'!$B$9</x:f>
        <x:v>1</x:v>
      </x:c>
      <x:c r="U22" s="196" t="n">
        <x:f>IF(F22="CNY",1,'01_Assumptions'!$B$12)</x:f>
        <x:v>1</x:v>
      </x:c>
      <x:c r="V22" s="194" t="n">
        <x:f>P22*T22*U22</x:f>
        <x:v>39.793404699999996</x:v>
      </x:c>
      <x:c r="W22" s="196" t="n">
        <x:f>'01_Assumptions'!$B$10</x:f>
        <x:v>1</x:v>
      </x:c>
      <x:c r="X22" s="195" t="n">
        <x:f>H22*12*W22</x:f>
        <x:v>2275836</x:v>
      </x:c>
      <x:c r="Y22" s="196" t="n">
        <x:f>'01_Assumptions'!$B$11</x:f>
        <x:v>1</x:v>
      </x:c>
      <x:c r="Z22" s="196" t="n">
        <x:f>G22*Y22</x:f>
        <x:v>20</x:v>
      </x:c>
      <x:c r="AA22" s="196" t="n">
        <x:f>MIN(1,Z22/90)</x:f>
        <x:v>0.2222222222222222</x:v>
      </x:c>
      <x:c r="AB22" s="197" t="n">
        <x:f>1-J22</x:f>
        <x:v>0.036900000000000044</x:v>
      </x:c>
      <x:c r="AC22" s="197" t="n">
        <x:f>MIN(1,I22/500)</x:f>
        <x:v>0.322</x:v>
      </x:c>
      <x:c r="AD22" s="197" t="n">
        <x:f>MAX(0,1-MIN(1,X22/S22))</x:f>
        <x:v>0</x:v>
      </x:c>
      <x:c r="AE22" s="197" t="n">
        <x:f>(K22-1)/4</x:f>
        <x:v>1</x:v>
      </x:c>
      <x:c r="AF22" s="197" t="n">
        <x:f>(L22-1)/4</x:f>
        <x:v>0.5</x:v>
      </x:c>
      <x:c r="AG22" s="198" t="n">
        <x:f>100*(AA22*0.18+AB22*0.20+AC22*0.18+AD22*0.20+AE22*0.12+AF22*0.12)</x:f>
        <x:v>28.534</x:v>
      </x:c>
      <x:c r="AH22" s="199" t="n">
        <x:f>V22/MINIFS($V$6:$V$29,$A$6:$A$29,A22)-1</x:f>
        <x:v>0</x:v>
      </x:c>
      <x:c r="AI22" s="199" t="n">
        <x:f>IF('01_Assumptions'!$B$7="最低成本",AH22,IF('01_Assumptions'!$B$7="均衡",0.55*AH22+0.45*AG22/100,0.30*AH22+0.70*AG22/100))</x:f>
        <x:v>0.128403</x:v>
      </x:c>
      <x:c r="AJ22" s="196" t="n">
        <x:f>1+COUNTIFS($A$6:$A$29,A22,$AI$6:$AI$29,"&lt;"&amp;AI22)</x:f>
        <x:v>2</x:v>
      </x:c>
      <x:c r="AK22" s="197" t="n">
        <x:f>IF('01_Assumptions'!$B$7="最低成本",IF(AJ22=1,1,0),IF('01_Assumptions'!$B$7="均衡",IF(AJ22=1,0.75,IF(AJ22=2,0.25,0)),IF(AJ22=1,0.60,IF(AJ22=2,0.30,IF(AJ22=3,0.10,0)))))</x:f>
        <x:v>0.25</x:v>
      </x:c>
      <x:c r="AL22" s="195" t="n">
        <x:f>MIN(S22*AK22,X22)</x:f>
        <x:v>555105.25</x:v>
      </x:c>
      <x:c r="AM22" s="195" t="n">
        <x:f>MAX(0,S22-SUMIFS($AL$6:$AL$29,$A$6:$A$29,A22))</x:f>
        <x:v>193359.75</x:v>
      </x:c>
      <x:c r="AN22" s="195" t="n">
        <x:f>MAX(0,X22-AL22)</x:f>
        <x:v>1720730.75</x:v>
      </x:c>
      <x:c r="AO22" s="195" t="n">
        <x:f>SUMIFS($AN$6:$AN$29,$A$6:$A$29,A22)</x:f>
        <x:v>3862106.75</x:v>
      </x:c>
      <x:c r="AP22" s="195" t="n">
        <x:f>IF(AO22=0,0,MIN(AN22,AM22*AN22/AO22))</x:f>
        <x:v>86149.8889530468</x:v>
      </x:c>
      <x:c r="AQ22" s="195" t="n">
        <x:f>AL22+AP22</x:f>
        <x:v>641255.1389530468</x:v>
      </x:c>
      <x:c r="AR22" s="195" t="n">
        <x:f>AQ22*V22</x:f>
        <x:v>25517725.26031332</x:v>
      </x:c>
      <x:c r="AS22" s="195" t="n">
        <x:f>AR22*AG22</x:f>
        <x:v>728122772.5777802</x:v>
      </x:c>
      <x:c r="AT22" s="197" t="n">
        <x:f>IF(SUMIFS($AQ$6:$AQ$29,$A$6:$A$29,A22)=0,0,(AQ22/SUMIFS($AQ$6:$AQ$29,$A$6:$A$29,A22))^2)</x:f>
        <x:v>0.08340480376096875</x:v>
      </x:c>
      <x:c r="AU22" s="166" t="b">
        <x:v>1</x:v>
      </x:c>
      <x:c r="AV22" s="49"/>
      <x:c r="AW22" s="49"/>
      <x:c r="AX22" s="49"/>
      <x:c r="AY22" s="49"/>
      <x:c r="AZ22" s="49"/>
    </x:row>
    <x:row r="23">
      <x:c r="A23" s="49" t="str">
        <x:v>M006</x:v>
      </x:c>
      <x:c r="B23" s="49" t="str">
        <x:v>封装基板</x:v>
      </x:c>
      <x:c r="C23" s="49" t="str">
        <x:v>S018</x:v>
      </x:c>
      <x:c r="D23" s="49" t="str">
        <x:v>Supplier_S018_KR</x:v>
      </x:c>
      <x:c r="E23" s="49" t="str">
        <x:v>KR</x:v>
      </x:c>
      <x:c r="F23" s="49" t="str">
        <x:v>KRW</x:v>
      </x:c>
      <x:c r="G23" s="134" t="n">
        <x:v>22</x:v>
      </x:c>
      <x:c r="H23" s="134" t="n">
        <x:v>122663</x:v>
      </x:c>
      <x:c r="I23" s="134" t="n">
        <x:v>176</x:v>
      </x:c>
      <x:c r="J23" s="164" t="n">
        <x:v>0.9864</x:v>
      </x:c>
      <x:c r="K23" s="134" t="n">
        <x:v>2</x:v>
      </x:c>
      <x:c r="L23" s="134" t="n">
        <x:v>2</x:v>
      </x:c>
      <x:c r="M23" s="134" t="n">
        <x:v>7606.7349</x:v>
      </x:c>
      <x:c r="N23" s="134" t="n">
        <x:v>138.6293</x:v>
      </x:c>
      <x:c r="O23" s="194" t="n">
        <x:f>VLOOKUP(F23,'01_Assumptions'!$F$15:$G$20,2,FALSE)</x:f>
        <x:v>0.0052</x:v>
      </x:c>
      <x:c r="P23" s="194" t="n">
        <x:f>(M23+N23)*O23</x:f>
        <x:v>40.275893839999995</x:v>
      </x:c>
      <x:c r="Q23" s="195" t="n">
        <x:f>SUMIFS('03_Demand_Forecast'!$E$6:$E$101,'03_Demand_Forecast'!$B$6:$B$101,A23)</x:f>
        <x:v>2220421</x:v>
      </x:c>
      <x:c r="R23" s="196" t="n">
        <x:f>'01_Assumptions'!$B$8</x:f>
        <x:v>1</x:v>
      </x:c>
      <x:c r="S23" s="195" t="n">
        <x:f>Q23*R23</x:f>
        <x:v>2220421</x:v>
      </x:c>
      <x:c r="T23" s="196" t="n">
        <x:f>'01_Assumptions'!$B$9</x:f>
        <x:v>1</x:v>
      </x:c>
      <x:c r="U23" s="196" t="n">
        <x:f>IF(F23="CNY",1,'01_Assumptions'!$B$12)</x:f>
        <x:v>1</x:v>
      </x:c>
      <x:c r="V23" s="194" t="n">
        <x:f>P23*T23*U23</x:f>
        <x:v>40.275893839999995</x:v>
      </x:c>
      <x:c r="W23" s="196" t="n">
        <x:f>'01_Assumptions'!$B$10</x:f>
        <x:v>1</x:v>
      </x:c>
      <x:c r="X23" s="195" t="n">
        <x:f>H23*12*W23</x:f>
        <x:v>1471956</x:v>
      </x:c>
      <x:c r="Y23" s="196" t="n">
        <x:f>'01_Assumptions'!$B$11</x:f>
        <x:v>1</x:v>
      </x:c>
      <x:c r="Z23" s="196" t="n">
        <x:f>G23*Y23</x:f>
        <x:v>22</x:v>
      </x:c>
      <x:c r="AA23" s="196" t="n">
        <x:f>MIN(1,Z23/90)</x:f>
        <x:v>0.24444444444444444</x:v>
      </x:c>
      <x:c r="AB23" s="197" t="n">
        <x:f>1-J23</x:f>
        <x:v>0.013599999999999945</x:v>
      </x:c>
      <x:c r="AC23" s="197" t="n">
        <x:f>MIN(1,I23/500)</x:f>
        <x:v>0.352</x:v>
      </x:c>
      <x:c r="AD23" s="197" t="n">
        <x:f>MAX(0,1-MIN(1,X23/S23))</x:f>
        <x:v>0.33708247219783993</x:v>
      </x:c>
      <x:c r="AE23" s="197" t="n">
        <x:f>(K23-1)/4</x:f>
        <x:v>0.25</x:v>
      </x:c>
      <x:c r="AF23" s="197" t="n">
        <x:f>(L23-1)/4</x:f>
        <x:v>0.25</x:v>
      </x:c>
      <x:c r="AG23" s="198" t="n">
        <x:f>100*(AA23*0.18+AB23*0.20+AC23*0.18+AD23*0.20+AE23*0.12+AF23*0.12)</x:f>
        <x:v>23.749649443956798</x:v>
      </x:c>
      <x:c r="AH23" s="199" t="n">
        <x:f>V23/MINIFS($V$6:$V$29,$A$6:$A$29,A23)-1</x:f>
        <x:v>0.012124851935577219</x:v>
      </x:c>
      <x:c r="AI23" s="199" t="n">
        <x:f>IF('01_Assumptions'!$B$7="最低成本",AH23,IF('01_Assumptions'!$B$7="均衡",0.55*AH23+0.45*AG23/100,0.30*AH23+0.70*AG23/100))</x:f>
        <x:v>0.11354209106237306</x:v>
      </x:c>
      <x:c r="AJ23" s="196" t="n">
        <x:f>1+COUNTIFS($A$6:$A$29,A23,$AI$6:$AI$29,"&lt;"&amp;AI23)</x:f>
        <x:v>1</x:v>
      </x:c>
      <x:c r="AK23" s="197" t="n">
        <x:f>IF('01_Assumptions'!$B$7="最低成本",IF(AJ23=1,1,0),IF('01_Assumptions'!$B$7="均衡",IF(AJ23=1,0.75,IF(AJ23=2,0.25,0)),IF(AJ23=1,0.60,IF(AJ23=2,0.30,IF(AJ23=3,0.10,0)))))</x:f>
        <x:v>0.75</x:v>
      </x:c>
      <x:c r="AL23" s="195" t="n">
        <x:f>MIN(S23*AK23,X23)</x:f>
        <x:v>1471956</x:v>
      </x:c>
      <x:c r="AM23" s="195" t="n">
        <x:f>MAX(0,S23-SUMIFS($AL$6:$AL$29,$A$6:$A$29,A23))</x:f>
        <x:v>193359.75</x:v>
      </x:c>
      <x:c r="AN23" s="195" t="n">
        <x:f>MAX(0,X23-AL23)</x:f>
        <x:v>0</x:v>
      </x:c>
      <x:c r="AO23" s="195" t="n">
        <x:f>SUMIFS($AN$6:$AN$29,$A$6:$A$29,A23)</x:f>
        <x:v>3862106.75</x:v>
      </x:c>
      <x:c r="AP23" s="195" t="n">
        <x:f>IF(AO23=0,0,MIN(AN23,AM23*AN23/AO23))</x:f>
        <x:v>0</x:v>
      </x:c>
      <x:c r="AQ23" s="195" t="n">
        <x:f>AL23+AP23</x:f>
        <x:v>1471956</x:v>
      </x:c>
      <x:c r="AR23" s="195" t="n">
        <x:f>AQ23*V23</x:f>
        <x:v>59284343.59315103</x:v>
      </x:c>
      <x:c r="AS23" s="195" t="n">
        <x:f>AR23*AG23</x:f>
        <x:v>1407982377.8524232</x:v>
      </x:c>
      <x:c r="AT23" s="197" t="n">
        <x:f>IF(SUMIFS($AQ$6:$AQ$29,$A$6:$A$29,A23)=0,0,(AQ23/SUMIFS($AQ$6:$AQ$29,$A$6:$A$29,A23))^2)</x:f>
        <x:v>0.4394596486673277</x:v>
      </x:c>
      <x:c r="AU23" s="166" t="b">
        <x:v>1</x:v>
      </x:c>
      <x:c r="AV23" s="49"/>
      <x:c r="AW23" s="49"/>
      <x:c r="AX23" s="49"/>
      <x:c r="AY23" s="49"/>
      <x:c r="AZ23" s="49"/>
    </x:row>
    <x:row r="24">
      <x:c r="A24" s="49" t="str">
        <x:v>M007</x:v>
      </x:c>
      <x:c r="B24" s="49" t="str">
        <x:v>引线框架</x:v>
      </x:c>
      <x:c r="C24" s="49" t="str">
        <x:v>S019</x:v>
      </x:c>
      <x:c r="D24" s="49" t="str">
        <x:v>Supplier_S019_DE</x:v>
      </x:c>
      <x:c r="E24" s="49" t="str">
        <x:v>DE</x:v>
      </x:c>
      <x:c r="F24" s="49" t="str">
        <x:v>EUR</x:v>
      </x:c>
      <x:c r="G24" s="134" t="n">
        <x:v>65</x:v>
      </x:c>
      <x:c r="H24" s="134" t="n">
        <x:v>183</x:v>
      </x:c>
      <x:c r="I24" s="134" t="n">
        <x:v>167</x:v>
      </x:c>
      <x:c r="J24" s="164" t="n">
        <x:v>0.9161</x:v>
      </x:c>
      <x:c r="K24" s="134" t="n">
        <x:v>4</x:v>
      </x:c>
      <x:c r="L24" s="134" t="n">
        <x:v>2</x:v>
      </x:c>
      <x:c r="M24" s="134" t="n">
        <x:v>9.4711</x:v>
      </x:c>
      <x:c r="N24" s="134" t="n">
        <x:v>0.1313</x:v>
      </x:c>
      <x:c r="O24" s="194" t="n">
        <x:f>VLOOKUP(F24,'01_Assumptions'!$F$15:$G$20,2,FALSE)</x:f>
        <x:v>7.75</x:v>
      </x:c>
      <x:c r="P24" s="194" t="n">
        <x:f>(M24+N24)*O24</x:f>
        <x:v>74.4186</x:v>
      </x:c>
      <x:c r="Q24" s="195" t="n">
        <x:f>SUMIFS('03_Demand_Forecast'!$E$6:$E$101,'03_Demand_Forecast'!$B$6:$B$101,A24)</x:f>
        <x:v>2521</x:v>
      </x:c>
      <x:c r="R24" s="196" t="n">
        <x:f>'01_Assumptions'!$B$8</x:f>
        <x:v>1</x:v>
      </x:c>
      <x:c r="S24" s="195" t="n">
        <x:f>Q24*R24</x:f>
        <x:v>2521</x:v>
      </x:c>
      <x:c r="T24" s="196" t="n">
        <x:f>'01_Assumptions'!$B$9</x:f>
        <x:v>1</x:v>
      </x:c>
      <x:c r="U24" s="196" t="n">
        <x:f>IF(F24="CNY",1,'01_Assumptions'!$B$12)</x:f>
        <x:v>1</x:v>
      </x:c>
      <x:c r="V24" s="194" t="n">
        <x:f>P24*T24*U24</x:f>
        <x:v>74.4186</x:v>
      </x:c>
      <x:c r="W24" s="196" t="n">
        <x:f>'01_Assumptions'!$B$10</x:f>
        <x:v>1</x:v>
      </x:c>
      <x:c r="X24" s="195" t="n">
        <x:f>H24*12*W24</x:f>
        <x:v>2196</x:v>
      </x:c>
      <x:c r="Y24" s="196" t="n">
        <x:f>'01_Assumptions'!$B$11</x:f>
        <x:v>1</x:v>
      </x:c>
      <x:c r="Z24" s="196" t="n">
        <x:f>G24*Y24</x:f>
        <x:v>65</x:v>
      </x:c>
      <x:c r="AA24" s="196" t="n">
        <x:f>MIN(1,Z24/90)</x:f>
        <x:v>0.7222222222222222</x:v>
      </x:c>
      <x:c r="AB24" s="197" t="n">
        <x:f>1-J24</x:f>
        <x:v>0.08389999999999997</x:v>
      </x:c>
      <x:c r="AC24" s="197" t="n">
        <x:f>MIN(1,I24/500)</x:f>
        <x:v>0.334</x:v>
      </x:c>
      <x:c r="AD24" s="197" t="n">
        <x:f>MAX(0,1-MIN(1,X24/S24))</x:f>
        <x:v>0.12891709639032134</x:v>
      </x:c>
      <x:c r="AE24" s="197" t="n">
        <x:f>(K24-1)/4</x:f>
        <x:v>0.75</x:v>
      </x:c>
      <x:c r="AF24" s="197" t="n">
        <x:f>(L24-1)/4</x:f>
        <x:v>0.25</x:v>
      </x:c>
      <x:c r="AG24" s="198" t="n">
        <x:f>100*(AA24*0.18+AB24*0.20+AC24*0.18+AD24*0.20+AE24*0.12+AF24*0.12)</x:f>
        <x:v>35.268341927806425</x:v>
      </x:c>
      <x:c r="AH24" s="199" t="n">
        <x:f>V24/MINIFS($V$6:$V$29,$A$6:$A$29,A24)-1</x:f>
        <x:v>0</x:v>
      </x:c>
      <x:c r="AI24" s="199" t="n">
        <x:f>IF('01_Assumptions'!$B$7="最低成本",AH24,IF('01_Assumptions'!$B$7="均衡",0.55*AH24+0.45*AG24/100,0.30*AH24+0.70*AG24/100))</x:f>
        <x:v>0.15870753867512893</x:v>
      </x:c>
      <x:c r="AJ24" s="196" t="n">
        <x:f>1+COUNTIFS($A$6:$A$29,A24,$AI$6:$AI$29,"&lt;"&amp;AI24)</x:f>
        <x:v>3</x:v>
      </x:c>
      <x:c r="AK24" s="197" t="n">
        <x:f>IF('01_Assumptions'!$B$7="最低成本",IF(AJ24=1,1,0),IF('01_Assumptions'!$B$7="均衡",IF(AJ24=1,0.75,IF(AJ24=2,0.25,0)),IF(AJ24=1,0.60,IF(AJ24=2,0.30,IF(AJ24=3,0.10,0)))))</x:f>
        <x:v>0</x:v>
      </x:c>
      <x:c r="AL24" s="195" t="n">
        <x:f>MIN(S24*AK24,X24)</x:f>
        <x:v>0</x:v>
      </x:c>
      <x:c r="AM24" s="195" t="n">
        <x:f>MAX(0,S24-SUMIFS($AL$6:$AL$29,$A$6:$A$29,A24))</x:f>
        <x:v>0</x:v>
      </x:c>
      <x:c r="AN24" s="195" t="n">
        <x:f>MAX(0,X24-AL24)</x:f>
        <x:v>2196</x:v>
      </x:c>
      <x:c r="AO24" s="195" t="n">
        <x:f>SUMIFS($AN$6:$AN$29,$A$6:$A$29,A24)</x:f>
        <x:v>3599</x:v>
      </x:c>
      <x:c r="AP24" s="195" t="n">
        <x:f>IF(AO24=0,0,MIN(AN24,AM24*AN24/AO24))</x:f>
        <x:v>0</x:v>
      </x:c>
      <x:c r="AQ24" s="195" t="n">
        <x:f>AL24+AP24</x:f>
        <x:v>0</x:v>
      </x:c>
      <x:c r="AR24" s="195" t="n">
        <x:f>AQ24*V24</x:f>
        <x:v>0</x:v>
      </x:c>
      <x:c r="AS24" s="195" t="n">
        <x:f>AR24*AG24</x:f>
        <x:v>0</x:v>
      </x:c>
      <x:c r="AT24" s="197" t="n">
        <x:f>IF(SUMIFS($AQ$6:$AQ$29,$A$6:$A$29,A24)=0,0,(AQ24/SUMIFS($AQ$6:$AQ$29,$A$6:$A$29,A24))^2)</x:f>
        <x:v>0</x:v>
      </x:c>
      <x:c r="AU24" s="166" t="b">
        <x:v>1</x:v>
      </x:c>
      <x:c r="AV24" s="49"/>
      <x:c r="AW24" s="49"/>
      <x:c r="AX24" s="49"/>
      <x:c r="AY24" s="49"/>
      <x:c r="AZ24" s="49"/>
    </x:row>
    <x:row r="25">
      <x:c r="A25" s="49" t="str">
        <x:v>M007</x:v>
      </x:c>
      <x:c r="B25" s="49" t="str">
        <x:v>引线框架</x:v>
      </x:c>
      <x:c r="C25" s="49" t="str">
        <x:v>S020</x:v>
      </x:c>
      <x:c r="D25" s="49" t="str">
        <x:v>Supplier_S020_CN</x:v>
      </x:c>
      <x:c r="E25" s="49" t="str">
        <x:v>CN</x:v>
      </x:c>
      <x:c r="F25" s="49" t="str">
        <x:v>CNY</x:v>
      </x:c>
      <x:c r="G25" s="134" t="n">
        <x:v>38</x:v>
      </x:c>
      <x:c r="H25" s="134" t="n">
        <x:v>138</x:v>
      </x:c>
      <x:c r="I25" s="134" t="n">
        <x:v>229</x:v>
      </x:c>
      <x:c r="J25" s="164" t="n">
        <x:v>0.9038</x:v>
      </x:c>
      <x:c r="K25" s="134" t="n">
        <x:v>2</x:v>
      </x:c>
      <x:c r="L25" s="134" t="n">
        <x:v>2</x:v>
      </x:c>
      <x:c r="M25" s="134" t="n">
        <x:v>74.7444</x:v>
      </x:c>
      <x:c r="N25" s="134" t="n">
        <x:v>1.5087</x:v>
      </x:c>
      <x:c r="O25" s="194" t="n">
        <x:f>VLOOKUP(F25,'01_Assumptions'!$F$15:$G$20,2,FALSE)</x:f>
        <x:v>1</x:v>
      </x:c>
      <x:c r="P25" s="194" t="n">
        <x:f>(M25+N25)*O25</x:f>
        <x:v>76.2531</x:v>
      </x:c>
      <x:c r="Q25" s="195" t="n">
        <x:f>SUMIFS('03_Demand_Forecast'!$E$6:$E$101,'03_Demand_Forecast'!$B$6:$B$101,A25)</x:f>
        <x:v>2521</x:v>
      </x:c>
      <x:c r="R25" s="196" t="n">
        <x:f>'01_Assumptions'!$B$8</x:f>
        <x:v>1</x:v>
      </x:c>
      <x:c r="S25" s="195" t="n">
        <x:f>Q25*R25</x:f>
        <x:v>2521</x:v>
      </x:c>
      <x:c r="T25" s="196" t="n">
        <x:f>'01_Assumptions'!$B$9</x:f>
        <x:v>1</x:v>
      </x:c>
      <x:c r="U25" s="196" t="n">
        <x:f>IF(F25="CNY",1,'01_Assumptions'!$B$12)</x:f>
        <x:v>1</x:v>
      </x:c>
      <x:c r="V25" s="194" t="n">
        <x:f>P25*T25*U25</x:f>
        <x:v>76.2531</x:v>
      </x:c>
      <x:c r="W25" s="196" t="n">
        <x:f>'01_Assumptions'!$B$10</x:f>
        <x:v>1</x:v>
      </x:c>
      <x:c r="X25" s="195" t="n">
        <x:f>H25*12*W25</x:f>
        <x:v>1656</x:v>
      </x:c>
      <x:c r="Y25" s="196" t="n">
        <x:f>'01_Assumptions'!$B$11</x:f>
        <x:v>1</x:v>
      </x:c>
      <x:c r="Z25" s="196" t="n">
        <x:f>G25*Y25</x:f>
        <x:v>38</x:v>
      </x:c>
      <x:c r="AA25" s="196" t="n">
        <x:f>MIN(1,Z25/90)</x:f>
        <x:v>0.4222222222222222</x:v>
      </x:c>
      <x:c r="AB25" s="197" t="n">
        <x:f>1-J25</x:f>
        <x:v>0.09619999999999995</x:v>
      </x:c>
      <x:c r="AC25" s="197" t="n">
        <x:f>MIN(1,I25/500)</x:f>
        <x:v>0.458</x:v>
      </x:c>
      <x:c r="AD25" s="197" t="n">
        <x:f>MAX(0,1-MIN(1,X25/S25))</x:f>
        <x:v>0.3431178103927013</x:v>
      </x:c>
      <x:c r="AE25" s="197" t="n">
        <x:f>(K25-1)/4</x:f>
        <x:v>0.25</x:v>
      </x:c>
      <x:c r="AF25" s="197" t="n">
        <x:f>(L25-1)/4</x:f>
        <x:v>0.25</x:v>
      </x:c>
      <x:c r="AG25" s="198" t="n">
        <x:f>100*(AA25*0.18+AB25*0.20+AC25*0.18+AD25*0.20+AE25*0.12+AF25*0.12)</x:f>
        <x:v>30.630356207854025</x:v>
      </x:c>
      <x:c r="AH25" s="199" t="n">
        <x:f>V25/MINIFS($V$6:$V$29,$A$6:$A$29,A25)-1</x:f>
        <x:v>0.024651095290693537</x:v>
      </x:c>
      <x:c r="AI25" s="199" t="n">
        <x:f>IF('01_Assumptions'!$B$7="最低成本",AH25,IF('01_Assumptions'!$B$7="均衡",0.55*AH25+0.45*AG25/100,0.30*AH25+0.70*AG25/100))</x:f>
        <x:v>0.15139470534522456</x:v>
      </x:c>
      <x:c r="AJ25" s="196" t="n">
        <x:f>1+COUNTIFS($A$6:$A$29,A25,$AI$6:$AI$29,"&lt;"&amp;AI25)</x:f>
        <x:v>2</x:v>
      </x:c>
      <x:c r="AK25" s="197" t="n">
        <x:f>IF('01_Assumptions'!$B$7="最低成本",IF(AJ25=1,1,0),IF('01_Assumptions'!$B$7="均衡",IF(AJ25=1,0.75,IF(AJ25=2,0.25,0)),IF(AJ25=1,0.60,IF(AJ25=2,0.30,IF(AJ25=3,0.10,0)))))</x:f>
        <x:v>0.25</x:v>
      </x:c>
      <x:c r="AL25" s="195" t="n">
        <x:f>MIN(S25*AK25,X25)</x:f>
        <x:v>630.25</x:v>
      </x:c>
      <x:c r="AM25" s="195" t="n">
        <x:f>MAX(0,S25-SUMIFS($AL$6:$AL$29,$A$6:$A$29,A25))</x:f>
        <x:v>0</x:v>
      </x:c>
      <x:c r="AN25" s="195" t="n">
        <x:f>MAX(0,X25-AL25)</x:f>
        <x:v>1025.75</x:v>
      </x:c>
      <x:c r="AO25" s="195" t="n">
        <x:f>SUMIFS($AN$6:$AN$29,$A$6:$A$29,A25)</x:f>
        <x:v>3599</x:v>
      </x:c>
      <x:c r="AP25" s="195" t="n">
        <x:f>IF(AO25=0,0,MIN(AN25,AM25*AN25/AO25))</x:f>
        <x:v>0</x:v>
      </x:c>
      <x:c r="AQ25" s="195" t="n">
        <x:f>AL25+AP25</x:f>
        <x:v>630.25</x:v>
      </x:c>
      <x:c r="AR25" s="195" t="n">
        <x:f>AQ25*V25</x:f>
        <x:v>48058.516275</x:v>
      </x:c>
      <x:c r="AS25" s="195" t="n">
        <x:f>AR25*AG25</x:f>
        <x:v>1472049.4723242</x:v>
      </x:c>
      <x:c r="AT25" s="197" t="n">
        <x:f>IF(SUMIFS($AQ$6:$AQ$29,$A$6:$A$29,A25)=0,0,(AQ25/SUMIFS($AQ$6:$AQ$29,$A$6:$A$29,A25))^2)</x:f>
        <x:v>0.0625</x:v>
      </x:c>
      <x:c r="AU25" s="166" t="b">
        <x:v>1</x:v>
      </x:c>
      <x:c r="AV25" s="49"/>
      <x:c r="AW25" s="49"/>
      <x:c r="AX25" s="49"/>
      <x:c r="AY25" s="49"/>
      <x:c r="AZ25" s="49"/>
    </x:row>
    <x:row r="26">
      <x:c r="A26" s="49" t="str">
        <x:v>M007</x:v>
      </x:c>
      <x:c r="B26" s="49" t="str">
        <x:v>引线框架</x:v>
      </x:c>
      <x:c r="C26" s="49" t="str">
        <x:v>S021</x:v>
      </x:c>
      <x:c r="D26" s="49" t="str">
        <x:v>Supplier_S021_KR</x:v>
      </x:c>
      <x:c r="E26" s="49" t="str">
        <x:v>KR</x:v>
      </x:c>
      <x:c r="F26" s="49" t="str">
        <x:v>KRW</x:v>
      </x:c>
      <x:c r="G26" s="134" t="n">
        <x:v>46</x:v>
      </x:c>
      <x:c r="H26" s="134" t="n">
        <x:v>189</x:v>
      </x:c>
      <x:c r="I26" s="134" t="n">
        <x:v>203</x:v>
      </x:c>
      <x:c r="J26" s="164" t="n">
        <x:v>0.9183</x:v>
      </x:c>
      <x:c r="K26" s="134" t="n">
        <x:v>4</x:v>
      </x:c>
      <x:c r="L26" s="134" t="n">
        <x:v>2</x:v>
      </x:c>
      <x:c r="M26" s="134" t="n">
        <x:v>14241.07</x:v>
      </x:c>
      <x:c r="N26" s="134" t="n">
        <x:v>126.3469</x:v>
      </x:c>
      <x:c r="O26" s="194" t="n">
        <x:f>VLOOKUP(F26,'01_Assumptions'!$F$15:$G$20,2,FALSE)</x:f>
        <x:v>0.0052</x:v>
      </x:c>
      <x:c r="P26" s="194" t="n">
        <x:f>(M26+N26)*O26</x:f>
        <x:v>74.71056788</x:v>
      </x:c>
      <x:c r="Q26" s="195" t="n">
        <x:f>SUMIFS('03_Demand_Forecast'!$E$6:$E$101,'03_Demand_Forecast'!$B$6:$B$101,A26)</x:f>
        <x:v>2521</x:v>
      </x:c>
      <x:c r="R26" s="196" t="n">
        <x:f>'01_Assumptions'!$B$8</x:f>
        <x:v>1</x:v>
      </x:c>
      <x:c r="S26" s="195" t="n">
        <x:f>Q26*R26</x:f>
        <x:v>2521</x:v>
      </x:c>
      <x:c r="T26" s="196" t="n">
        <x:f>'01_Assumptions'!$B$9</x:f>
        <x:v>1</x:v>
      </x:c>
      <x:c r="U26" s="196" t="n">
        <x:f>IF(F26="CNY",1,'01_Assumptions'!$B$12)</x:f>
        <x:v>1</x:v>
      </x:c>
      <x:c r="V26" s="194" t="n">
        <x:f>P26*T26*U26</x:f>
        <x:v>74.71056788</x:v>
      </x:c>
      <x:c r="W26" s="196" t="n">
        <x:f>'01_Assumptions'!$B$10</x:f>
        <x:v>1</x:v>
      </x:c>
      <x:c r="X26" s="195" t="n">
        <x:f>H26*12*W26</x:f>
        <x:v>2268</x:v>
      </x:c>
      <x:c r="Y26" s="196" t="n">
        <x:f>'01_Assumptions'!$B$11</x:f>
        <x:v>1</x:v>
      </x:c>
      <x:c r="Z26" s="196" t="n">
        <x:f>G26*Y26</x:f>
        <x:v>46</x:v>
      </x:c>
      <x:c r="AA26" s="196" t="n">
        <x:f>MIN(1,Z26/90)</x:f>
        <x:v>0.5111111111111111</x:v>
      </x:c>
      <x:c r="AB26" s="197" t="n">
        <x:f>1-J26</x:f>
        <x:v>0.0817</x:v>
      </x:c>
      <x:c r="AC26" s="197" t="n">
        <x:f>MIN(1,I26/500)</x:f>
        <x:v>0.406</x:v>
      </x:c>
      <x:c r="AD26" s="197" t="n">
        <x:f>MAX(0,1-MIN(1,X26/S26))</x:f>
        <x:v>0.10035700119000401</x:v>
      </x:c>
      <x:c r="AE26" s="197" t="n">
        <x:f>(K26-1)/4</x:f>
        <x:v>0.75</x:v>
      </x:c>
      <x:c r="AF26" s="197" t="n">
        <x:f>(L26-1)/4</x:f>
        <x:v>0.25</x:v>
      </x:c>
      <x:c r="AG26" s="198" t="n">
        <x:f>100*(AA26*0.18+AB26*0.20+AC26*0.18+AD26*0.20+AE26*0.12+AF26*0.12)</x:f>
        <x:v>32.14914002380008</x:v>
      </x:c>
      <x:c r="AH26" s="199" t="n">
        <x:f>V26/MINIFS($V$6:$V$29,$A$6:$A$29,A26)-1</x:f>
        <x:v>0.003923318632707451</x:v>
      </x:c>
      <x:c r="AI26" s="199" t="n">
        <x:f>IF('01_Assumptions'!$B$7="最低成本",AH26,IF('01_Assumptions'!$B$7="均衡",0.55*AH26+0.45*AG26/100,0.30*AH26+0.70*AG26/100))</x:f>
        <x:v>0.14682895535508947</x:v>
      </x:c>
      <x:c r="AJ26" s="196" t="n">
        <x:f>1+COUNTIFS($A$6:$A$29,A26,$AI$6:$AI$29,"&lt;"&amp;AI26)</x:f>
        <x:v>1</x:v>
      </x:c>
      <x:c r="AK26" s="197" t="n">
        <x:f>IF('01_Assumptions'!$B$7="最低成本",IF(AJ26=1,1,0),IF('01_Assumptions'!$B$7="均衡",IF(AJ26=1,0.75,IF(AJ26=2,0.25,0)),IF(AJ26=1,0.60,IF(AJ26=2,0.30,IF(AJ26=3,0.10,0)))))</x:f>
        <x:v>0.75</x:v>
      </x:c>
      <x:c r="AL26" s="195" t="n">
        <x:f>MIN(S26*AK26,X26)</x:f>
        <x:v>1890.75</x:v>
      </x:c>
      <x:c r="AM26" s="195" t="n">
        <x:f>MAX(0,S26-SUMIFS($AL$6:$AL$29,$A$6:$A$29,A26))</x:f>
        <x:v>0</x:v>
      </x:c>
      <x:c r="AN26" s="195" t="n">
        <x:f>MAX(0,X26-AL26)</x:f>
        <x:v>377.25</x:v>
      </x:c>
      <x:c r="AO26" s="195" t="n">
        <x:f>SUMIFS($AN$6:$AN$29,$A$6:$A$29,A26)</x:f>
        <x:v>3599</x:v>
      </x:c>
      <x:c r="AP26" s="195" t="n">
        <x:f>IF(AO26=0,0,MIN(AN26,AM26*AN26/AO26))</x:f>
        <x:v>0</x:v>
      </x:c>
      <x:c r="AQ26" s="195" t="n">
        <x:f>AL26+AP26</x:f>
        <x:v>1890.75</x:v>
      </x:c>
      <x:c r="AR26" s="195" t="n">
        <x:f>AQ26*V26</x:f>
        <x:v>141259.00621911</x:v>
      </x:c>
      <x:c r="AS26" s="195" t="n">
        <x:f>AR26*AG26</x:f>
        <x:v>4541355.570561013</x:v>
      </x:c>
      <x:c r="AT26" s="197" t="n">
        <x:f>IF(SUMIFS($AQ$6:$AQ$29,$A$6:$A$29,A26)=0,0,(AQ26/SUMIFS($AQ$6:$AQ$29,$A$6:$A$29,A26))^2)</x:f>
        <x:v>0.5625</x:v>
      </x:c>
      <x:c r="AU26" s="166" t="b">
        <x:v>1</x:v>
      </x:c>
      <x:c r="AV26" s="49"/>
      <x:c r="AW26" s="49"/>
      <x:c r="AX26" s="49"/>
      <x:c r="AY26" s="49"/>
      <x:c r="AZ26" s="49"/>
    </x:row>
    <x:row r="27">
      <x:c r="A27" s="49" t="str">
        <x:v>M008</x:v>
      </x:c>
      <x:c r="B27" s="49" t="str">
        <x:v>特种化学品</x:v>
      </x:c>
      <x:c r="C27" s="49" t="str">
        <x:v>S022</x:v>
      </x:c>
      <x:c r="D27" s="49" t="str">
        <x:v>Supplier_S022_KR</x:v>
      </x:c>
      <x:c r="E27" s="49" t="str">
        <x:v>KR</x:v>
      </x:c>
      <x:c r="F27" s="49" t="str">
        <x:v>KRW</x:v>
      </x:c>
      <x:c r="G27" s="134" t="n">
        <x:v>20</x:v>
      </x:c>
      <x:c r="H27" s="134" t="n">
        <x:v>4368</x:v>
      </x:c>
      <x:c r="I27" s="134" t="n">
        <x:v>92</x:v>
      </x:c>
      <x:c r="J27" s="164" t="n">
        <x:v>0.9136</x:v>
      </x:c>
      <x:c r="K27" s="134" t="n">
        <x:v>4</x:v>
      </x:c>
      <x:c r="L27" s="134" t="n">
        <x:v>2</x:v>
      </x:c>
      <x:c r="M27" s="134" t="n">
        <x:v>30652.3325</x:v>
      </x:c>
      <x:c r="N27" s="134" t="n">
        <x:v>202.9043</x:v>
      </x:c>
      <x:c r="O27" s="194" t="n">
        <x:f>VLOOKUP(F27,'01_Assumptions'!$F$15:$G$20,2,FALSE)</x:f>
        <x:v>0.0052</x:v>
      </x:c>
      <x:c r="P27" s="194" t="n">
        <x:f>(M27+N27)*O27</x:f>
        <x:v>160.44723136</x:v>
      </x:c>
      <x:c r="Q27" s="195" t="n">
        <x:f>SUMIFS('03_Demand_Forecast'!$E$6:$E$101,'03_Demand_Forecast'!$B$6:$B$101,A27)</x:f>
        <x:v>64797</x:v>
      </x:c>
      <x:c r="R27" s="196" t="n">
        <x:f>'01_Assumptions'!$B$8</x:f>
        <x:v>1</x:v>
      </x:c>
      <x:c r="S27" s="195" t="n">
        <x:f>Q27*R27</x:f>
        <x:v>64797</x:v>
      </x:c>
      <x:c r="T27" s="196" t="n">
        <x:f>'01_Assumptions'!$B$9</x:f>
        <x:v>1</x:v>
      </x:c>
      <x:c r="U27" s="196" t="n">
        <x:f>IF(F27="CNY",1,'01_Assumptions'!$B$12)</x:f>
        <x:v>1</x:v>
      </x:c>
      <x:c r="V27" s="194" t="n">
        <x:f>P27*T27*U27</x:f>
        <x:v>160.44723136</x:v>
      </x:c>
      <x:c r="W27" s="196" t="n">
        <x:f>'01_Assumptions'!$B$10</x:f>
        <x:v>1</x:v>
      </x:c>
      <x:c r="X27" s="195" t="n">
        <x:f>H27*12*W27</x:f>
        <x:v>52416</x:v>
      </x:c>
      <x:c r="Y27" s="196" t="n">
        <x:f>'01_Assumptions'!$B$11</x:f>
        <x:v>1</x:v>
      </x:c>
      <x:c r="Z27" s="196" t="n">
        <x:f>G27*Y27</x:f>
        <x:v>20</x:v>
      </x:c>
      <x:c r="AA27" s="196" t="n">
        <x:f>MIN(1,Z27/90)</x:f>
        <x:v>0.2222222222222222</x:v>
      </x:c>
      <x:c r="AB27" s="197" t="n">
        <x:f>1-J27</x:f>
        <x:v>0.08640000000000003</x:v>
      </x:c>
      <x:c r="AC27" s="197" t="n">
        <x:f>MIN(1,I27/500)</x:f>
        <x:v>0.184</x:v>
      </x:c>
      <x:c r="AD27" s="197" t="n">
        <x:f>MAX(0,1-MIN(1,X27/S27))</x:f>
        <x:v>0.19107366081763044</x:v>
      </x:c>
      <x:c r="AE27" s="197" t="n">
        <x:f>(K27-1)/4</x:f>
        <x:v>0.75</x:v>
      </x:c>
      <x:c r="AF27" s="197" t="n">
        <x:f>(L27-1)/4</x:f>
        <x:v>0.25</x:v>
      </x:c>
      <x:c r="AG27" s="198" t="n">
        <x:f>100*(AA27*0.18+AB27*0.20+AC27*0.18+AD27*0.20+AE27*0.12+AF27*0.12)</x:f>
        <x:v>24.861473216352607</x:v>
      </x:c>
      <x:c r="AH27" s="199" t="n">
        <x:f>V27/MINIFS($V$6:$V$29,$A$6:$A$29,A27)-1</x:f>
        <x:v>0.021425222152805734</x:v>
      </x:c>
      <x:c r="AI27" s="199" t="n">
        <x:f>IF('01_Assumptions'!$B$7="最低成本",AH27,IF('01_Assumptions'!$B$7="均衡",0.55*AH27+0.45*AG27/100,0.30*AH27+0.70*AG27/100))</x:f>
        <x:v>0.12366050165762989</x:v>
      </x:c>
      <x:c r="AJ27" s="196" t="n">
        <x:f>1+COUNTIFS($A$6:$A$29,A27,$AI$6:$AI$29,"&lt;"&amp;AI27)</x:f>
        <x:v>1</x:v>
      </x:c>
      <x:c r="AK27" s="197" t="n">
        <x:f>IF('01_Assumptions'!$B$7="最低成本",IF(AJ27=1,1,0),IF('01_Assumptions'!$B$7="均衡",IF(AJ27=1,0.75,IF(AJ27=2,0.25,0)),IF(AJ27=1,0.60,IF(AJ27=2,0.30,IF(AJ27=3,0.10,0)))))</x:f>
        <x:v>0.75</x:v>
      </x:c>
      <x:c r="AL27" s="195" t="n">
        <x:f>MIN(S27*AK27,X27)</x:f>
        <x:v>48597.75</x:v>
      </x:c>
      <x:c r="AM27" s="195" t="n">
        <x:f>MAX(0,S27-SUMIFS($AL$6:$AL$29,$A$6:$A$29,A27))</x:f>
        <x:v>0</x:v>
      </x:c>
      <x:c r="AN27" s="195" t="n">
        <x:f>MAX(0,X27-AL27)</x:f>
        <x:v>3818.25</x:v>
      </x:c>
      <x:c r="AO27" s="195" t="n">
        <x:f>SUMIFS($AN$6:$AN$29,$A$6:$A$29,A27)</x:f>
        <x:v>93195</x:v>
      </x:c>
      <x:c r="AP27" s="195" t="n">
        <x:f>IF(AO27=0,0,MIN(AN27,AM27*AN27/AO27))</x:f>
        <x:v>0</x:v>
      </x:c>
      <x:c r="AQ27" s="195" t="n">
        <x:f>AL27+AP27</x:f>
        <x:v>48597.75</x:v>
      </x:c>
      <x:c r="AR27" s="195" t="n">
        <x:f>AQ27*V27</x:f>
        <x:v>7797374.4378254395</x:v>
      </x:c>
      <x:c r="AS27" s="195" t="n">
        <x:f>AR27*AG27</x:f>
        <x:v>193854215.74386963</x:v>
      </x:c>
      <x:c r="AT27" s="197" t="n">
        <x:f>IF(SUMIFS($AQ$6:$AQ$29,$A$6:$A$29,A27)=0,0,(AQ27/SUMIFS($AQ$6:$AQ$29,$A$6:$A$29,A27))^2)</x:f>
        <x:v>0.5625</x:v>
      </x:c>
      <x:c r="AU27" s="166" t="b">
        <x:v>1</x:v>
      </x:c>
      <x:c r="AV27" s="49"/>
      <x:c r="AW27" s="49"/>
      <x:c r="AX27" s="49"/>
      <x:c r="AY27" s="49"/>
      <x:c r="AZ27" s="49"/>
    </x:row>
    <x:row r="28">
      <x:c r="A28" s="49" t="str">
        <x:v>M008</x:v>
      </x:c>
      <x:c r="B28" s="49" t="str">
        <x:v>特种化学品</x:v>
      </x:c>
      <x:c r="C28" s="49" t="str">
        <x:v>S023</x:v>
      </x:c>
      <x:c r="D28" s="49" t="str">
        <x:v>Supplier_S023_DE</x:v>
      </x:c>
      <x:c r="E28" s="49" t="str">
        <x:v>DE</x:v>
      </x:c>
      <x:c r="F28" s="49" t="str">
        <x:v>EUR</x:v>
      </x:c>
      <x:c r="G28" s="134" t="n">
        <x:v>34</x:v>
      </x:c>
      <x:c r="H28" s="134" t="n">
        <x:v>4145</x:v>
      </x:c>
      <x:c r="I28" s="134" t="n">
        <x:v>134</x:v>
      </x:c>
      <x:c r="J28" s="164" t="n">
        <x:v>0.9422</x:v>
      </x:c>
      <x:c r="K28" s="134" t="n">
        <x:v>1</x:v>
      </x:c>
      <x:c r="L28" s="134" t="n">
        <x:v>3</x:v>
      </x:c>
      <x:c r="M28" s="134" t="n">
        <x:v>22.4259</x:v>
      </x:c>
      <x:c r="N28" s="134" t="n">
        <x:v>0.5091</x:v>
      </x:c>
      <x:c r="O28" s="194" t="n">
        <x:f>VLOOKUP(F28,'01_Assumptions'!$F$15:$G$20,2,FALSE)</x:f>
        <x:v>7.75</x:v>
      </x:c>
      <x:c r="P28" s="194" t="n">
        <x:f>(M28+N28)*O28</x:f>
        <x:v>177.74625</x:v>
      </x:c>
      <x:c r="Q28" s="195" t="n">
        <x:f>SUMIFS('03_Demand_Forecast'!$E$6:$E$101,'03_Demand_Forecast'!$B$6:$B$101,A28)</x:f>
        <x:v>64797</x:v>
      </x:c>
      <x:c r="R28" s="196" t="n">
        <x:f>'01_Assumptions'!$B$8</x:f>
        <x:v>1</x:v>
      </x:c>
      <x:c r="S28" s="195" t="n">
        <x:f>Q28*R28</x:f>
        <x:v>64797</x:v>
      </x:c>
      <x:c r="T28" s="196" t="n">
        <x:f>'01_Assumptions'!$B$9</x:f>
        <x:v>1</x:v>
      </x:c>
      <x:c r="U28" s="196" t="n">
        <x:f>IF(F28="CNY",1,'01_Assumptions'!$B$12)</x:f>
        <x:v>1</x:v>
      </x:c>
      <x:c r="V28" s="194" t="n">
        <x:f>P28*T28*U28</x:f>
        <x:v>177.74625</x:v>
      </x:c>
      <x:c r="W28" s="196" t="n">
        <x:f>'01_Assumptions'!$B$10</x:f>
        <x:v>1</x:v>
      </x:c>
      <x:c r="X28" s="195" t="n">
        <x:f>H28*12*W28</x:f>
        <x:v>49740</x:v>
      </x:c>
      <x:c r="Y28" s="196" t="n">
        <x:f>'01_Assumptions'!$B$11</x:f>
        <x:v>1</x:v>
      </x:c>
      <x:c r="Z28" s="196" t="n">
        <x:f>G28*Y28</x:f>
        <x:v>34</x:v>
      </x:c>
      <x:c r="AA28" s="196" t="n">
        <x:f>MIN(1,Z28/90)</x:f>
        <x:v>0.37777777777777777</x:v>
      </x:c>
      <x:c r="AB28" s="197" t="n">
        <x:f>1-J28</x:f>
        <x:v>0.05779999999999996</x:v>
      </x:c>
      <x:c r="AC28" s="197" t="n">
        <x:f>MIN(1,I28/500)</x:f>
        <x:v>0.268</x:v>
      </x:c>
      <x:c r="AD28" s="197" t="n">
        <x:f>MAX(0,1-MIN(1,X28/S28))</x:f>
        <x:v>0.23237186906801244</x:v>
      </x:c>
      <x:c r="AE28" s="197" t="n">
        <x:f>(K28-1)/4</x:f>
        <x:v>0</x:v>
      </x:c>
      <x:c r="AF28" s="197" t="n">
        <x:f>(L28-1)/4</x:f>
        <x:v>0.5</x:v>
      </x:c>
      <x:c r="AG28" s="198" t="n">
        <x:f>100*(AA28*0.18+AB28*0.20+AC28*0.18+AD28*0.20+AE28*0.12+AF28*0.12)</x:f>
        <x:v>23.42743738136025</x:v>
      </x:c>
      <x:c r="AH28" s="199" t="n">
        <x:f>V28/MINIFS($V$6:$V$29,$A$6:$A$29,A28)-1</x:f>
        <x:v>0.13155273141310375</x:v>
      </x:c>
      <x:c r="AI28" s="199" t="n">
        <x:f>IF('01_Assumptions'!$B$7="最低成本",AH28,IF('01_Assumptions'!$B$7="均衡",0.55*AH28+0.45*AG28/100,0.30*AH28+0.70*AG28/100))</x:f>
        <x:v>0.17777747049332818</x:v>
      </x:c>
      <x:c r="AJ28" s="196" t="n">
        <x:f>1+COUNTIFS($A$6:$A$29,A28,$AI$6:$AI$29,"&lt;"&amp;AI28)</x:f>
        <x:v>3</x:v>
      </x:c>
      <x:c r="AK28" s="197" t="n">
        <x:f>IF('01_Assumptions'!$B$7="最低成本",IF(AJ28=1,1,0),IF('01_Assumptions'!$B$7="均衡",IF(AJ28=1,0.75,IF(AJ28=2,0.25,0)),IF(AJ28=1,0.60,IF(AJ28=2,0.30,IF(AJ28=3,0.10,0)))))</x:f>
        <x:v>0</x:v>
      </x:c>
      <x:c r="AL28" s="195" t="n">
        <x:f>MIN(S28*AK28,X28)</x:f>
        <x:v>0</x:v>
      </x:c>
      <x:c r="AM28" s="195" t="n">
        <x:f>MAX(0,S28-SUMIFS($AL$6:$AL$29,$A$6:$A$29,A28))</x:f>
        <x:v>0</x:v>
      </x:c>
      <x:c r="AN28" s="195" t="n">
        <x:f>MAX(0,X28-AL28)</x:f>
        <x:v>49740</x:v>
      </x:c>
      <x:c r="AO28" s="195" t="n">
        <x:f>SUMIFS($AN$6:$AN$29,$A$6:$A$29,A28)</x:f>
        <x:v>93195</x:v>
      </x:c>
      <x:c r="AP28" s="195" t="n">
        <x:f>IF(AO28=0,0,MIN(AN28,AM28*AN28/AO28))</x:f>
        <x:v>0</x:v>
      </x:c>
      <x:c r="AQ28" s="195" t="n">
        <x:f>AL28+AP28</x:f>
        <x:v>0</x:v>
      </x:c>
      <x:c r="AR28" s="195" t="n">
        <x:f>AQ28*V28</x:f>
        <x:v>0</x:v>
      </x:c>
      <x:c r="AS28" s="195" t="n">
        <x:f>AR28*AG28</x:f>
        <x:v>0</x:v>
      </x:c>
      <x:c r="AT28" s="197" t="n">
        <x:f>IF(SUMIFS($AQ$6:$AQ$29,$A$6:$A$29,A28)=0,0,(AQ28/SUMIFS($AQ$6:$AQ$29,$A$6:$A$29,A28))^2)</x:f>
        <x:v>0</x:v>
      </x:c>
      <x:c r="AU28" s="166" t="b">
        <x:v>1</x:v>
      </x:c>
      <x:c r="AV28" s="49"/>
      <x:c r="AW28" s="49"/>
      <x:c r="AX28" s="49"/>
      <x:c r="AY28" s="49"/>
      <x:c r="AZ28" s="49"/>
    </x:row>
    <x:row r="29">
      <x:c r="A29" s="49" t="str">
        <x:v>M008</x:v>
      </x:c>
      <x:c r="B29" s="49" t="str">
        <x:v>特种化学品</x:v>
      </x:c>
      <x:c r="C29" s="49" t="str">
        <x:v>S024</x:v>
      </x:c>
      <x:c r="D29" s="49" t="str">
        <x:v>Supplier_S024_JP</x:v>
      </x:c>
      <x:c r="E29" s="49" t="str">
        <x:v>JP</x:v>
      </x:c>
      <x:c r="F29" s="49" t="str">
        <x:v>JPY</x:v>
      </x:c>
      <x:c r="G29" s="134" t="n">
        <x:v>56</x:v>
      </x:c>
      <x:c r="H29" s="134" t="n">
        <x:v>4653</x:v>
      </x:c>
      <x:c r="I29" s="134" t="n">
        <x:v>259</x:v>
      </x:c>
      <x:c r="J29" s="164" t="n">
        <x:v>0.9581</x:v>
      </x:c>
      <x:c r="K29" s="134" t="n">
        <x:v>2</x:v>
      </x:c>
      <x:c r="L29" s="134" t="n">
        <x:v>2</x:v>
      </x:c>
      <x:c r="M29" s="134" t="n">
        <x:v>3175.2188</x:v>
      </x:c>
      <x:c r="N29" s="134" t="n">
        <x:v>30.5306</x:v>
      </x:c>
      <x:c r="O29" s="194" t="n">
        <x:f>VLOOKUP(F29,'01_Assumptions'!$F$15:$G$20,2,FALSE)</x:f>
        <x:v>0.049</x:v>
      </x:c>
      <x:c r="P29" s="194" t="n">
        <x:f>(M29+N29)*O29</x:f>
        <x:v>157.0817206</x:v>
      </x:c>
      <x:c r="Q29" s="195" t="n">
        <x:f>SUMIFS('03_Demand_Forecast'!$E$6:$E$101,'03_Demand_Forecast'!$B$6:$B$101,A29)</x:f>
        <x:v>64797</x:v>
      </x:c>
      <x:c r="R29" s="196" t="n">
        <x:f>'01_Assumptions'!$B$8</x:f>
        <x:v>1</x:v>
      </x:c>
      <x:c r="S29" s="195" t="n">
        <x:f>Q29*R29</x:f>
        <x:v>64797</x:v>
      </x:c>
      <x:c r="T29" s="196" t="n">
        <x:f>'01_Assumptions'!$B$9</x:f>
        <x:v>1</x:v>
      </x:c>
      <x:c r="U29" s="196" t="n">
        <x:f>IF(F29="CNY",1,'01_Assumptions'!$B$12)</x:f>
        <x:v>1</x:v>
      </x:c>
      <x:c r="V29" s="194" t="n">
        <x:f>P29*T29*U29</x:f>
        <x:v>157.0817206</x:v>
      </x:c>
      <x:c r="W29" s="196" t="n">
        <x:f>'01_Assumptions'!$B$10</x:f>
        <x:v>1</x:v>
      </x:c>
      <x:c r="X29" s="195" t="n">
        <x:f>H29*12*W29</x:f>
        <x:v>55836</x:v>
      </x:c>
      <x:c r="Y29" s="196" t="n">
        <x:f>'01_Assumptions'!$B$11</x:f>
        <x:v>1</x:v>
      </x:c>
      <x:c r="Z29" s="196" t="n">
        <x:f>G29*Y29</x:f>
        <x:v>56</x:v>
      </x:c>
      <x:c r="AA29" s="196" t="n">
        <x:f>MIN(1,Z29/90)</x:f>
        <x:v>0.6222222222222222</x:v>
      </x:c>
      <x:c r="AB29" s="197" t="n">
        <x:f>1-J29</x:f>
        <x:v>0.04190000000000005</x:v>
      </x:c>
      <x:c r="AC29" s="197" t="n">
        <x:f>MIN(1,I29/500)</x:f>
        <x:v>0.518</x:v>
      </x:c>
      <x:c r="AD29" s="197" t="n">
        <x:f>MAX(0,1-MIN(1,X29/S29))</x:f>
        <x:v>0.13829343951108852</x:v>
      </x:c>
      <x:c r="AE29" s="197" t="n">
        <x:f>(K29-1)/4</x:f>
        <x:v>0.25</x:v>
      </x:c>
      <x:c r="AF29" s="197" t="n">
        <x:f>(L29-1)/4</x:f>
        <x:v>0.25</x:v>
      </x:c>
      <x:c r="AG29" s="198" t="n">
        <x:f>100*(AA29*0.18+AB29*0.20+AC29*0.18+AD29*0.20+AE29*0.12+AF29*0.12)</x:f>
        <x:v>30.12786879022178</x:v>
      </x:c>
      <x:c r="AH29" s="199" t="n">
        <x:f>V29/MINIFS($V$6:$V$29,$A$6:$A$29,A29)-1</x:f>
        <x:v>0</x:v>
      </x:c>
      <x:c r="AI29" s="199" t="n">
        <x:f>IF('01_Assumptions'!$B$7="最低成本",AH29,IF('01_Assumptions'!$B$7="均衡",0.55*AH29+0.45*AG29/100,0.30*AH29+0.70*AG29/100))</x:f>
        <x:v>0.135575409555998</x:v>
      </x:c>
      <x:c r="AJ29" s="196" t="n">
        <x:f>1+COUNTIFS($A$6:$A$29,A29,$AI$6:$AI$29,"&lt;"&amp;AI29)</x:f>
        <x:v>2</x:v>
      </x:c>
      <x:c r="AK29" s="197" t="n">
        <x:f>IF('01_Assumptions'!$B$7="最低成本",IF(AJ29=1,1,0),IF('01_Assumptions'!$B$7="均衡",IF(AJ29=1,0.75,IF(AJ29=2,0.25,0)),IF(AJ29=1,0.60,IF(AJ29=2,0.30,IF(AJ29=3,0.10,0)))))</x:f>
        <x:v>0.25</x:v>
      </x:c>
      <x:c r="AL29" s="195" t="n">
        <x:f>MIN(S29*AK29,X29)</x:f>
        <x:v>16199.25</x:v>
      </x:c>
      <x:c r="AM29" s="195" t="n">
        <x:f>MAX(0,S29-SUMIFS($AL$6:$AL$29,$A$6:$A$29,A29))</x:f>
        <x:v>0</x:v>
      </x:c>
      <x:c r="AN29" s="195" t="n">
        <x:f>MAX(0,X29-AL29)</x:f>
        <x:v>39636.75</x:v>
      </x:c>
      <x:c r="AO29" s="195" t="n">
        <x:f>SUMIFS($AN$6:$AN$29,$A$6:$A$29,A29)</x:f>
        <x:v>93195</x:v>
      </x:c>
      <x:c r="AP29" s="195" t="n">
        <x:f>IF(AO29=0,0,MIN(AN29,AM29*AN29/AO29))</x:f>
        <x:v>0</x:v>
      </x:c>
      <x:c r="AQ29" s="195" t="n">
        <x:f>AL29+AP29</x:f>
        <x:v>16199.25</x:v>
      </x:c>
      <x:c r="AR29" s="195" t="n">
        <x:f>AQ29*V29</x:f>
        <x:v>2544606.06242955</x:v>
      </x:c>
      <x:c r="AS29" s="195" t="n">
        <x:f>AR29*AG29</x:f>
        <x:v>76663557.57168037</x:v>
      </x:c>
      <x:c r="AT29" s="197" t="n">
        <x:f>IF(SUMIFS($AQ$6:$AQ$29,$A$6:$A$29,A29)=0,0,(AQ29/SUMIFS($AQ$6:$AQ$29,$A$6:$A$29,A29))^2)</x:f>
        <x:v>0.0625</x:v>
      </x:c>
      <x:c r="AU29" s="166" t="b">
        <x:v>1</x:v>
      </x:c>
      <x:c r="AV29" s="49"/>
      <x:c r="AW29" s="49"/>
      <x:c r="AX29" s="49"/>
      <x:c r="AY29" s="49"/>
      <x:c r="AZ29" s="49"/>
    </x:row>
    <x:row r="30">
      <x:c r="A30" s="49"/>
      <x:c r="B30" s="49"/>
      <x:c r="C30" s="49"/>
      <x:c r="D30" s="49"/>
      <x:c r="E30" s="49"/>
      <x:c r="F30" s="49"/>
      <x:c r="G30" s="49"/>
      <x:c r="H30" s="49"/>
      <x:c r="I30" s="49"/>
      <x:c r="J30" s="49"/>
      <x:c r="K30" s="49"/>
      <x:c r="L30" s="49"/>
      <x:c r="M30" s="49"/>
      <x:c r="N30" s="49"/>
      <x:c r="O30" s="49"/>
      <x:c r="P30" s="49"/>
      <x:c r="Q30" s="49"/>
      <x:c r="R30" s="49"/>
      <x:c r="S30" s="49"/>
      <x:c r="T30" s="49"/>
      <x:c r="U30" s="49"/>
      <x:c r="V30" s="49"/>
      <x:c r="W30" s="49"/>
      <x:c r="X30" s="49"/>
      <x:c r="Y30" s="49"/>
      <x:c r="Z30" s="49"/>
      <x:c r="AA30" s="49"/>
      <x:c r="AB30" s="49"/>
      <x:c r="AC30" s="49"/>
      <x:c r="AD30" s="49"/>
      <x:c r="AE30" s="49"/>
      <x:c r="AF30" s="49"/>
      <x:c r="AG30" s="49"/>
      <x:c r="AH30" s="49"/>
      <x:c r="AI30" s="49"/>
      <x:c r="AJ30" s="49"/>
      <x:c r="AK30" s="49"/>
      <x:c r="AL30" s="49"/>
      <x:c r="AM30" s="49"/>
      <x:c r="AN30" s="49"/>
      <x:c r="AO30" s="49"/>
      <x:c r="AP30" s="49"/>
      <x:c r="AQ30" s="49"/>
      <x:c r="AR30" s="49"/>
      <x:c r="AS30" s="49"/>
      <x:c r="AT30" s="49"/>
      <x:c r="AU30" s="49"/>
      <x:c r="AV30" s="49"/>
      <x:c r="AW30" s="49"/>
      <x:c r="AX30" s="49"/>
      <x:c r="AY30" s="49"/>
      <x:c r="AZ30" s="49"/>
    </x:row>
    <x:row r="31">
      <x:c r="A31" s="49"/>
      <x:c r="B31" s="49"/>
      <x:c r="C31" s="49"/>
      <x:c r="D31" s="49"/>
      <x:c r="E31" s="49"/>
      <x:c r="F31" s="49"/>
      <x:c r="G31" s="49"/>
      <x:c r="H31" s="49"/>
      <x:c r="I31" s="49"/>
      <x:c r="J31" s="49"/>
      <x:c r="K31" s="49"/>
      <x:c r="L31" s="49"/>
      <x:c r="M31" s="49"/>
      <x:c r="N31" s="49"/>
      <x:c r="O31" s="49"/>
      <x:c r="P31" s="49"/>
      <x:c r="Q31" s="49"/>
      <x:c r="R31" s="49"/>
      <x:c r="S31" s="49"/>
      <x:c r="T31" s="49"/>
      <x:c r="U31" s="49"/>
      <x:c r="V31" s="49"/>
      <x:c r="W31" s="49"/>
      <x:c r="X31" s="49"/>
      <x:c r="Y31" s="49"/>
      <x:c r="Z31" s="49"/>
      <x:c r="AA31" s="49"/>
      <x:c r="AB31" s="49"/>
      <x:c r="AC31" s="49"/>
      <x:c r="AD31" s="49"/>
      <x:c r="AE31" s="49"/>
      <x:c r="AF31" s="49"/>
      <x:c r="AG31" s="49"/>
      <x:c r="AH31" s="49"/>
      <x:c r="AI31" s="49"/>
      <x:c r="AJ31" s="49"/>
      <x:c r="AK31" s="49"/>
      <x:c r="AL31" s="49"/>
      <x:c r="AM31" s="49"/>
      <x:c r="AN31" s="49"/>
      <x:c r="AO31" s="49"/>
      <x:c r="AP31" s="49"/>
      <x:c r="AQ31" s="49"/>
      <x:c r="AR31" s="49"/>
      <x:c r="AS31" s="49"/>
      <x:c r="AT31" s="49"/>
      <x:c r="AU31" s="49"/>
      <x:c r="AV31" s="49"/>
      <x:c r="AW31" s="49"/>
      <x:c r="AX31" s="49"/>
      <x:c r="AY31" s="49"/>
      <x:c r="AZ31" s="49"/>
    </x:row>
    <x:row r="32">
      <x:c r="A32" s="49"/>
      <x:c r="B32" s="49"/>
      <x:c r="C32" s="49"/>
      <x:c r="D32" s="49"/>
      <x:c r="E32" s="49"/>
      <x:c r="F32" s="49"/>
      <x:c r="G32" s="49"/>
      <x:c r="H32" s="49"/>
      <x:c r="I32" s="49"/>
      <x:c r="J32" s="49"/>
      <x:c r="K32" s="49"/>
      <x:c r="L32" s="49"/>
      <x:c r="M32" s="49"/>
      <x:c r="N32" s="49"/>
      <x:c r="O32" s="49"/>
      <x:c r="P32" s="49"/>
      <x:c r="Q32" s="49"/>
      <x:c r="R32" s="49"/>
      <x:c r="S32" s="49"/>
      <x:c r="T32" s="49"/>
      <x:c r="U32" s="49"/>
      <x:c r="V32" s="49"/>
      <x:c r="W32" s="49"/>
      <x:c r="X32" s="49"/>
      <x:c r="Y32" s="49"/>
      <x:c r="Z32" s="49"/>
      <x:c r="AA32" s="49"/>
      <x:c r="AB32" s="49"/>
      <x:c r="AC32" s="49"/>
      <x:c r="AD32" s="49"/>
      <x:c r="AE32" s="49"/>
      <x:c r="AF32" s="49"/>
      <x:c r="AG32" s="49"/>
      <x:c r="AH32" s="49"/>
      <x:c r="AI32" s="49"/>
      <x:c r="AJ32" s="49"/>
      <x:c r="AK32" s="49"/>
      <x:c r="AL32" s="49"/>
      <x:c r="AM32" s="49"/>
      <x:c r="AN32" s="49"/>
      <x:c r="AO32" s="49"/>
      <x:c r="AP32" s="49"/>
      <x:c r="AQ32" s="49"/>
      <x:c r="AR32" s="49"/>
      <x:c r="AS32" s="49"/>
      <x:c r="AT32" s="49"/>
      <x:c r="AU32" s="49"/>
      <x:c r="AV32" s="49"/>
      <x:c r="AW32" s="49"/>
      <x:c r="AX32" s="49"/>
      <x:c r="AY32" s="49"/>
      <x:c r="AZ32" s="49"/>
    </x:row>
    <x:row r="33">
      <x:c r="A33" s="49"/>
      <x:c r="B33" s="49"/>
      <x:c r="C33" s="49"/>
      <x:c r="D33" s="49"/>
      <x:c r="E33" s="49"/>
      <x:c r="F33" s="49"/>
      <x:c r="G33" s="49"/>
      <x:c r="H33" s="49"/>
      <x:c r="I33" s="49"/>
      <x:c r="J33" s="49"/>
      <x:c r="K33" s="49"/>
      <x:c r="L33" s="49"/>
      <x:c r="M33" s="49"/>
      <x:c r="N33" s="49"/>
      <x:c r="O33" s="49"/>
      <x:c r="P33" s="49"/>
      <x:c r="Q33" s="49"/>
      <x:c r="R33" s="49"/>
      <x:c r="S33" s="49"/>
      <x:c r="T33" s="49"/>
      <x:c r="U33" s="49"/>
      <x:c r="V33" s="49"/>
      <x:c r="W33" s="49"/>
      <x:c r="X33" s="49"/>
      <x:c r="Y33" s="49"/>
      <x:c r="Z33" s="49"/>
      <x:c r="AA33" s="49"/>
      <x:c r="AB33" s="49"/>
      <x:c r="AC33" s="49"/>
      <x:c r="AD33" s="49"/>
      <x:c r="AE33" s="49"/>
      <x:c r="AF33" s="49"/>
      <x:c r="AG33" s="49"/>
      <x:c r="AH33" s="49"/>
      <x:c r="AI33" s="49"/>
      <x:c r="AJ33" s="49"/>
      <x:c r="AK33" s="49"/>
      <x:c r="AL33" s="49"/>
      <x:c r="AM33" s="49"/>
      <x:c r="AN33" s="49"/>
      <x:c r="AO33" s="49"/>
      <x:c r="AP33" s="49"/>
      <x:c r="AQ33" s="49"/>
      <x:c r="AR33" s="49"/>
      <x:c r="AS33" s="49"/>
      <x:c r="AT33" s="49"/>
      <x:c r="AU33" s="49"/>
      <x:c r="AV33" s="49"/>
      <x:c r="AW33" s="49"/>
      <x:c r="AX33" s="49"/>
      <x:c r="AY33" s="49"/>
      <x:c r="AZ33" s="49"/>
    </x:row>
    <x:row r="34">
      <x:c r="A34" s="49"/>
      <x:c r="B34" s="49"/>
      <x:c r="C34" s="49"/>
      <x:c r="D34" s="49"/>
      <x:c r="E34" s="49"/>
      <x:c r="F34" s="49"/>
      <x:c r="G34" s="49"/>
      <x:c r="H34" s="49"/>
      <x:c r="I34" s="49"/>
      <x:c r="J34" s="49"/>
      <x:c r="K34" s="49"/>
      <x:c r="L34" s="49"/>
      <x:c r="M34" s="49"/>
      <x:c r="N34" s="49"/>
      <x:c r="O34" s="49"/>
      <x:c r="P34" s="49"/>
      <x:c r="Q34" s="49"/>
      <x:c r="R34" s="49"/>
      <x:c r="S34" s="49"/>
      <x:c r="T34" s="49"/>
      <x:c r="U34" s="49"/>
      <x:c r="V34" s="49"/>
      <x:c r="W34" s="49"/>
      <x:c r="X34" s="49"/>
      <x:c r="Y34" s="49"/>
      <x:c r="Z34" s="49"/>
      <x:c r="AA34" s="49"/>
      <x:c r="AB34" s="49"/>
      <x:c r="AC34" s="49"/>
      <x:c r="AD34" s="49"/>
      <x:c r="AE34" s="49"/>
      <x:c r="AF34" s="49"/>
      <x:c r="AG34" s="49"/>
      <x:c r="AH34" s="49"/>
      <x:c r="AI34" s="49"/>
      <x:c r="AJ34" s="49"/>
      <x:c r="AK34" s="49"/>
      <x:c r="AL34" s="49"/>
      <x:c r="AM34" s="49"/>
      <x:c r="AN34" s="49"/>
      <x:c r="AO34" s="49"/>
      <x:c r="AP34" s="49"/>
      <x:c r="AQ34" s="49"/>
      <x:c r="AR34" s="49"/>
      <x:c r="AS34" s="49"/>
      <x:c r="AT34" s="49"/>
      <x:c r="AU34" s="49"/>
      <x:c r="AV34" s="49"/>
      <x:c r="AW34" s="49"/>
      <x:c r="AX34" s="49"/>
      <x:c r="AY34" s="49"/>
      <x:c r="AZ34" s="49"/>
    </x:row>
    <x:row r="35">
      <x:c r="A35" s="49"/>
      <x:c r="B35" s="49"/>
      <x:c r="C35" s="49"/>
      <x:c r="D35" s="49"/>
      <x:c r="E35" s="49"/>
      <x:c r="F35" s="49"/>
      <x:c r="G35" s="49"/>
      <x:c r="H35" s="49"/>
      <x:c r="I35" s="49"/>
      <x:c r="J35" s="49"/>
      <x:c r="K35" s="49"/>
      <x:c r="L35" s="49"/>
      <x:c r="M35" s="49"/>
      <x:c r="N35" s="49"/>
      <x:c r="O35" s="49"/>
      <x:c r="P35" s="49"/>
      <x:c r="Q35" s="49"/>
      <x:c r="R35" s="49"/>
      <x:c r="S35" s="49"/>
      <x:c r="T35" s="49"/>
      <x:c r="U35" s="49"/>
      <x:c r="V35" s="49"/>
      <x:c r="W35" s="49"/>
      <x:c r="X35" s="49"/>
      <x:c r="Y35" s="49"/>
      <x:c r="Z35" s="49"/>
      <x:c r="AA35" s="49"/>
      <x:c r="AB35" s="49"/>
      <x:c r="AC35" s="49"/>
      <x:c r="AD35" s="49"/>
      <x:c r="AE35" s="49"/>
      <x:c r="AF35" s="49"/>
      <x:c r="AG35" s="49"/>
      <x:c r="AH35" s="49"/>
      <x:c r="AI35" s="49"/>
      <x:c r="AJ35" s="49"/>
      <x:c r="AK35" s="49"/>
      <x:c r="AL35" s="49"/>
      <x:c r="AM35" s="49"/>
      <x:c r="AN35" s="49"/>
      <x:c r="AO35" s="49"/>
      <x:c r="AP35" s="49"/>
      <x:c r="AQ35" s="49"/>
      <x:c r="AR35" s="49"/>
      <x:c r="AS35" s="49"/>
      <x:c r="AT35" s="49"/>
      <x:c r="AU35" s="49"/>
      <x:c r="AV35" s="49"/>
      <x:c r="AW35" s="49"/>
      <x:c r="AX35" s="49"/>
      <x:c r="AY35" s="49"/>
      <x:c r="AZ35" s="49"/>
    </x:row>
    <x:row r="36">
      <x:c r="A36" s="49"/>
      <x:c r="B36" s="49"/>
      <x:c r="C36" s="49"/>
      <x:c r="D36" s="49"/>
      <x:c r="E36" s="49"/>
      <x:c r="F36" s="49"/>
      <x:c r="G36" s="49"/>
      <x:c r="H36" s="49"/>
      <x:c r="I36" s="49"/>
      <x:c r="J36" s="49"/>
      <x:c r="K36" s="49"/>
      <x:c r="L36" s="49"/>
      <x:c r="M36" s="49"/>
      <x:c r="N36" s="49"/>
      <x:c r="O36" s="49"/>
      <x:c r="P36" s="49"/>
      <x:c r="Q36" s="49"/>
      <x:c r="R36" s="49"/>
      <x:c r="S36" s="49"/>
      <x:c r="T36" s="49"/>
      <x:c r="U36" s="49"/>
      <x:c r="V36" s="49"/>
      <x:c r="W36" s="49"/>
      <x:c r="X36" s="49"/>
      <x:c r="Y36" s="49"/>
      <x:c r="Z36" s="49"/>
      <x:c r="AA36" s="49"/>
      <x:c r="AB36" s="49"/>
      <x:c r="AC36" s="49"/>
      <x:c r="AD36" s="49"/>
      <x:c r="AE36" s="49"/>
      <x:c r="AF36" s="49"/>
      <x:c r="AG36" s="49"/>
      <x:c r="AH36" s="49"/>
      <x:c r="AI36" s="49"/>
      <x:c r="AJ36" s="49"/>
      <x:c r="AK36" s="49"/>
      <x:c r="AL36" s="49"/>
      <x:c r="AM36" s="49"/>
      <x:c r="AN36" s="49"/>
      <x:c r="AO36" s="49"/>
      <x:c r="AP36" s="49"/>
      <x:c r="AQ36" s="49"/>
      <x:c r="AR36" s="49"/>
      <x:c r="AS36" s="49"/>
      <x:c r="AT36" s="49"/>
      <x:c r="AU36" s="49"/>
      <x:c r="AV36" s="49"/>
      <x:c r="AW36" s="49"/>
      <x:c r="AX36" s="49"/>
      <x:c r="AY36" s="49"/>
      <x:c r="AZ36" s="49"/>
    </x:row>
    <x:row r="37">
      <x:c r="A37" s="49"/>
      <x:c r="B37" s="49"/>
      <x:c r="C37" s="49"/>
      <x:c r="D37" s="49"/>
      <x:c r="E37" s="49"/>
      <x:c r="F37" s="49"/>
      <x:c r="G37" s="49"/>
      <x:c r="H37" s="49"/>
      <x:c r="I37" s="49"/>
      <x:c r="J37" s="49"/>
      <x:c r="K37" s="49"/>
      <x:c r="L37" s="49"/>
      <x:c r="M37" s="49"/>
      <x:c r="N37" s="49"/>
      <x:c r="O37" s="49"/>
      <x:c r="P37" s="49"/>
      <x:c r="Q37" s="49"/>
      <x:c r="R37" s="49"/>
      <x:c r="S37" s="49"/>
      <x:c r="T37" s="49"/>
      <x:c r="U37" s="49"/>
      <x:c r="V37" s="49"/>
      <x:c r="W37" s="49"/>
      <x:c r="X37" s="49"/>
      <x:c r="Y37" s="49"/>
      <x:c r="Z37" s="49"/>
      <x:c r="AA37" s="49"/>
      <x:c r="AB37" s="49"/>
      <x:c r="AC37" s="49"/>
      <x:c r="AD37" s="49"/>
      <x:c r="AE37" s="49"/>
      <x:c r="AF37" s="49"/>
      <x:c r="AG37" s="49"/>
      <x:c r="AH37" s="49"/>
      <x:c r="AI37" s="49"/>
      <x:c r="AJ37" s="49"/>
      <x:c r="AK37" s="49"/>
      <x:c r="AL37" s="49"/>
      <x:c r="AM37" s="49"/>
      <x:c r="AN37" s="49"/>
      <x:c r="AO37" s="49"/>
      <x:c r="AP37" s="49"/>
      <x:c r="AQ37" s="49"/>
      <x:c r="AR37" s="49"/>
      <x:c r="AS37" s="49"/>
      <x:c r="AT37" s="49"/>
      <x:c r="AU37" s="49"/>
      <x:c r="AV37" s="49"/>
      <x:c r="AW37" s="49"/>
      <x:c r="AX37" s="49"/>
      <x:c r="AY37" s="49"/>
      <x:c r="AZ37" s="49"/>
    </x:row>
    <x:row r="38">
      <x:c r="A38" s="49"/>
      <x:c r="B38" s="49"/>
      <x:c r="C38" s="49"/>
      <x:c r="D38" s="49"/>
      <x:c r="E38" s="49"/>
      <x:c r="F38" s="49"/>
      <x:c r="G38" s="49"/>
      <x:c r="H38" s="49"/>
      <x:c r="I38" s="49"/>
      <x:c r="J38" s="49"/>
      <x:c r="K38" s="49"/>
      <x:c r="L38" s="49"/>
      <x:c r="M38" s="49"/>
      <x:c r="N38" s="49"/>
      <x:c r="O38" s="49"/>
      <x:c r="P38" s="49"/>
      <x:c r="Q38" s="49"/>
      <x:c r="R38" s="49"/>
      <x:c r="S38" s="49"/>
      <x:c r="T38" s="49"/>
      <x:c r="U38" s="49"/>
      <x:c r="V38" s="49"/>
      <x:c r="W38" s="49"/>
      <x:c r="X38" s="49"/>
      <x:c r="Y38" s="49"/>
      <x:c r="Z38" s="49"/>
      <x:c r="AA38" s="49"/>
      <x:c r="AB38" s="49"/>
      <x:c r="AC38" s="49"/>
      <x:c r="AD38" s="49"/>
      <x:c r="AE38" s="49"/>
      <x:c r="AF38" s="49"/>
      <x:c r="AG38" s="49"/>
      <x:c r="AH38" s="49"/>
      <x:c r="AI38" s="49"/>
      <x:c r="AJ38" s="49"/>
      <x:c r="AK38" s="49"/>
      <x:c r="AL38" s="49"/>
      <x:c r="AM38" s="49"/>
      <x:c r="AN38" s="49"/>
      <x:c r="AO38" s="49"/>
      <x:c r="AP38" s="49"/>
      <x:c r="AQ38" s="49"/>
      <x:c r="AR38" s="49"/>
      <x:c r="AS38" s="49"/>
      <x:c r="AT38" s="49"/>
      <x:c r="AU38" s="49"/>
      <x:c r="AV38" s="49"/>
      <x:c r="AW38" s="49"/>
      <x:c r="AX38" s="49"/>
      <x:c r="AY38" s="49"/>
      <x:c r="AZ38" s="49"/>
    </x:row>
    <x:row r="39">
      <x:c r="A39" s="49"/>
      <x:c r="B39" s="49"/>
      <x:c r="C39" s="49"/>
      <x:c r="D39" s="49"/>
      <x:c r="E39" s="49"/>
      <x:c r="F39" s="49"/>
      <x:c r="G39" s="49"/>
      <x:c r="H39" s="49"/>
      <x:c r="I39" s="49"/>
      <x:c r="J39" s="49"/>
      <x:c r="K39" s="49"/>
      <x:c r="L39" s="49"/>
      <x:c r="M39" s="49"/>
      <x:c r="N39" s="49"/>
      <x:c r="O39" s="49"/>
      <x:c r="P39" s="49"/>
      <x:c r="Q39" s="49"/>
      <x:c r="R39" s="49"/>
      <x:c r="S39" s="49"/>
      <x:c r="T39" s="49"/>
      <x:c r="U39" s="49"/>
      <x:c r="V39" s="49"/>
      <x:c r="W39" s="49"/>
      <x:c r="X39" s="49"/>
      <x:c r="Y39" s="49"/>
      <x:c r="Z39" s="49"/>
      <x:c r="AA39" s="49"/>
      <x:c r="AB39" s="49"/>
      <x:c r="AC39" s="49"/>
      <x:c r="AD39" s="49"/>
      <x:c r="AE39" s="49"/>
      <x:c r="AF39" s="49"/>
      <x:c r="AG39" s="49"/>
      <x:c r="AH39" s="49"/>
      <x:c r="AI39" s="49"/>
      <x:c r="AJ39" s="49"/>
      <x:c r="AK39" s="49"/>
      <x:c r="AL39" s="49"/>
      <x:c r="AM39" s="49"/>
      <x:c r="AN39" s="49"/>
      <x:c r="AO39" s="49"/>
      <x:c r="AP39" s="49"/>
      <x:c r="AQ39" s="49"/>
      <x:c r="AR39" s="49"/>
      <x:c r="AS39" s="49"/>
      <x:c r="AT39" s="49"/>
      <x:c r="AU39" s="49"/>
      <x:c r="AV39" s="49"/>
      <x:c r="AW39" s="49"/>
      <x:c r="AX39" s="49"/>
      <x:c r="AY39" s="49"/>
      <x:c r="AZ39" s="49"/>
    </x:row>
    <x:row r="40">
      <x:c r="A40" s="49"/>
      <x:c r="B40" s="49"/>
      <x:c r="C40" s="49"/>
      <x:c r="D40" s="49"/>
      <x:c r="E40" s="49"/>
      <x:c r="F40" s="49"/>
      <x:c r="G40" s="49"/>
      <x:c r="H40" s="49"/>
      <x:c r="I40" s="49"/>
      <x:c r="J40" s="49"/>
      <x:c r="K40" s="49"/>
      <x:c r="L40" s="49"/>
      <x:c r="M40" s="49"/>
      <x:c r="N40" s="49"/>
      <x:c r="O40" s="49"/>
      <x:c r="P40" s="49"/>
      <x:c r="Q40" s="49"/>
      <x:c r="R40" s="49"/>
      <x:c r="S40" s="49"/>
      <x:c r="T40" s="49"/>
      <x:c r="U40" s="49"/>
      <x:c r="V40" s="49"/>
      <x:c r="W40" s="49"/>
      <x:c r="X40" s="49"/>
      <x:c r="Y40" s="49"/>
      <x:c r="Z40" s="49"/>
      <x:c r="AA40" s="49"/>
      <x:c r="AB40" s="49"/>
      <x:c r="AC40" s="49"/>
      <x:c r="AD40" s="49"/>
      <x:c r="AE40" s="49"/>
      <x:c r="AF40" s="49"/>
      <x:c r="AG40" s="49"/>
      <x:c r="AH40" s="49"/>
      <x:c r="AI40" s="49"/>
      <x:c r="AJ40" s="49"/>
      <x:c r="AK40" s="49"/>
      <x:c r="AL40" s="49"/>
      <x:c r="AM40" s="49"/>
      <x:c r="AN40" s="49"/>
      <x:c r="AO40" s="49"/>
      <x:c r="AP40" s="49"/>
      <x:c r="AQ40" s="49"/>
      <x:c r="AR40" s="49"/>
      <x:c r="AS40" s="49"/>
      <x:c r="AT40" s="49"/>
      <x:c r="AU40" s="49"/>
      <x:c r="AV40" s="49"/>
      <x:c r="AW40" s="49"/>
      <x:c r="AX40" s="49"/>
      <x:c r="AY40" s="49"/>
      <x:c r="AZ40" s="49"/>
    </x:row>
    <x:row r="41">
      <x:c r="A41" s="49"/>
      <x:c r="B41" s="49"/>
      <x:c r="C41" s="49"/>
      <x:c r="D41" s="49"/>
      <x:c r="E41" s="49"/>
      <x:c r="F41" s="49"/>
      <x:c r="G41" s="49"/>
      <x:c r="H41" s="49"/>
      <x:c r="I41" s="49"/>
      <x:c r="J41" s="49"/>
      <x:c r="K41" s="49"/>
      <x:c r="L41" s="49"/>
      <x:c r="M41" s="49"/>
      <x:c r="N41" s="49"/>
      <x:c r="O41" s="49"/>
      <x:c r="P41" s="49"/>
      <x:c r="Q41" s="49"/>
      <x:c r="R41" s="49"/>
      <x:c r="S41" s="49"/>
      <x:c r="T41" s="49"/>
      <x:c r="U41" s="49"/>
      <x:c r="V41" s="49"/>
      <x:c r="W41" s="49"/>
      <x:c r="X41" s="49"/>
      <x:c r="Y41" s="49"/>
      <x:c r="Z41" s="49"/>
      <x:c r="AA41" s="49"/>
      <x:c r="AB41" s="49"/>
      <x:c r="AC41" s="49"/>
      <x:c r="AD41" s="49"/>
      <x:c r="AE41" s="49"/>
      <x:c r="AF41" s="49"/>
      <x:c r="AG41" s="49"/>
      <x:c r="AH41" s="49"/>
      <x:c r="AI41" s="49"/>
      <x:c r="AJ41" s="49"/>
      <x:c r="AK41" s="49"/>
      <x:c r="AL41" s="49"/>
      <x:c r="AM41" s="49"/>
      <x:c r="AN41" s="49"/>
      <x:c r="AO41" s="49"/>
      <x:c r="AP41" s="49"/>
      <x:c r="AQ41" s="49"/>
      <x:c r="AR41" s="49"/>
      <x:c r="AS41" s="49"/>
      <x:c r="AT41" s="49"/>
      <x:c r="AU41" s="49"/>
      <x:c r="AV41" s="49"/>
      <x:c r="AW41" s="49"/>
      <x:c r="AX41" s="49"/>
      <x:c r="AY41" s="49"/>
      <x:c r="AZ41" s="49"/>
    </x:row>
    <x:row r="42">
      <x:c r="A42" s="49"/>
      <x:c r="B42" s="49"/>
      <x:c r="C42" s="49"/>
      <x:c r="D42" s="49"/>
      <x:c r="E42" s="49"/>
      <x:c r="F42" s="49"/>
      <x:c r="G42" s="49"/>
      <x:c r="H42" s="49"/>
      <x:c r="I42" s="49"/>
      <x:c r="J42" s="49"/>
      <x:c r="K42" s="49"/>
      <x:c r="L42" s="49"/>
      <x:c r="M42" s="49"/>
      <x:c r="N42" s="49"/>
      <x:c r="O42" s="49"/>
      <x:c r="P42" s="49"/>
      <x:c r="Q42" s="49"/>
      <x:c r="R42" s="49"/>
      <x:c r="S42" s="49"/>
      <x:c r="T42" s="49"/>
      <x:c r="U42" s="49"/>
      <x:c r="V42" s="49"/>
      <x:c r="W42" s="49"/>
      <x:c r="X42" s="49"/>
      <x:c r="Y42" s="49"/>
      <x:c r="Z42" s="49"/>
      <x:c r="AA42" s="49"/>
      <x:c r="AB42" s="49"/>
      <x:c r="AC42" s="49"/>
      <x:c r="AD42" s="49"/>
      <x:c r="AE42" s="49"/>
      <x:c r="AF42" s="49"/>
      <x:c r="AG42" s="49"/>
      <x:c r="AH42" s="49"/>
      <x:c r="AI42" s="49"/>
      <x:c r="AJ42" s="49"/>
      <x:c r="AK42" s="49"/>
      <x:c r="AL42" s="49"/>
      <x:c r="AM42" s="49"/>
      <x:c r="AN42" s="49"/>
      <x:c r="AO42" s="49"/>
      <x:c r="AP42" s="49"/>
      <x:c r="AQ42" s="49"/>
      <x:c r="AR42" s="49"/>
      <x:c r="AS42" s="49"/>
      <x:c r="AT42" s="49"/>
      <x:c r="AU42" s="49"/>
      <x:c r="AV42" s="49"/>
      <x:c r="AW42" s="49"/>
      <x:c r="AX42" s="49"/>
      <x:c r="AY42" s="49"/>
      <x:c r="AZ42" s="49"/>
    </x:row>
    <x:row r="43">
      <x:c r="A43" s="49"/>
      <x:c r="B43" s="49"/>
      <x:c r="C43" s="49"/>
      <x:c r="D43" s="49"/>
      <x:c r="E43" s="49"/>
      <x:c r="F43" s="49"/>
      <x:c r="G43" s="49"/>
      <x:c r="H43" s="49"/>
      <x:c r="I43" s="49"/>
      <x:c r="J43" s="49"/>
      <x:c r="K43" s="49"/>
      <x:c r="L43" s="49"/>
      <x:c r="M43" s="49"/>
      <x:c r="N43" s="49"/>
      <x:c r="O43" s="49"/>
      <x:c r="P43" s="49"/>
      <x:c r="Q43" s="49"/>
      <x:c r="R43" s="49"/>
      <x:c r="S43" s="49"/>
      <x:c r="T43" s="49"/>
      <x:c r="U43" s="49"/>
      <x:c r="V43" s="49"/>
      <x:c r="W43" s="49"/>
      <x:c r="X43" s="49"/>
      <x:c r="Y43" s="49"/>
      <x:c r="Z43" s="49"/>
      <x:c r="AA43" s="49"/>
      <x:c r="AB43" s="49"/>
      <x:c r="AC43" s="49"/>
      <x:c r="AD43" s="49"/>
      <x:c r="AE43" s="49"/>
      <x:c r="AF43" s="49"/>
      <x:c r="AG43" s="49"/>
      <x:c r="AH43" s="49"/>
      <x:c r="AI43" s="49"/>
      <x:c r="AJ43" s="49"/>
      <x:c r="AK43" s="49"/>
      <x:c r="AL43" s="49"/>
      <x:c r="AM43" s="49"/>
      <x:c r="AN43" s="49"/>
      <x:c r="AO43" s="49"/>
      <x:c r="AP43" s="49"/>
      <x:c r="AQ43" s="49"/>
      <x:c r="AR43" s="49"/>
      <x:c r="AS43" s="49"/>
      <x:c r="AT43" s="49"/>
      <x:c r="AU43" s="49"/>
      <x:c r="AV43" s="49"/>
      <x:c r="AW43" s="49"/>
      <x:c r="AX43" s="49"/>
      <x:c r="AY43" s="49"/>
      <x:c r="AZ43" s="49"/>
    </x:row>
    <x:row r="44">
      <x:c r="A44" s="49"/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49"/>
      <x:c r="N44" s="49"/>
      <x:c r="O44" s="49"/>
      <x:c r="P44" s="49"/>
      <x:c r="Q44" s="49"/>
      <x:c r="R44" s="49"/>
      <x:c r="S44" s="49"/>
      <x:c r="T44" s="49"/>
      <x:c r="U44" s="49"/>
      <x:c r="V44" s="49"/>
      <x:c r="W44" s="49"/>
      <x:c r="X44" s="49"/>
      <x:c r="Y44" s="49"/>
      <x:c r="Z44" s="49"/>
      <x:c r="AA44" s="49"/>
      <x:c r="AB44" s="49"/>
      <x:c r="AC44" s="49"/>
      <x:c r="AD44" s="49"/>
      <x:c r="AE44" s="49"/>
      <x:c r="AF44" s="49"/>
      <x:c r="AG44" s="49"/>
      <x:c r="AH44" s="49"/>
      <x:c r="AI44" s="49"/>
      <x:c r="AJ44" s="49"/>
      <x:c r="AK44" s="49"/>
      <x:c r="AL44" s="49"/>
      <x:c r="AM44" s="49"/>
      <x:c r="AN44" s="49"/>
      <x:c r="AO44" s="49"/>
      <x:c r="AP44" s="49"/>
      <x:c r="AQ44" s="49"/>
      <x:c r="AR44" s="49"/>
      <x:c r="AS44" s="49"/>
      <x:c r="AT44" s="49"/>
      <x:c r="AU44" s="49"/>
      <x:c r="AV44" s="49"/>
      <x:c r="AW44" s="49"/>
      <x:c r="AX44" s="49"/>
      <x:c r="AY44" s="49"/>
      <x:c r="AZ44" s="49"/>
    </x:row>
    <x:row r="45">
      <x:c r="A45" s="49"/>
      <x:c r="B45" s="49"/>
      <x:c r="C45" s="49"/>
      <x:c r="D45" s="49"/>
      <x:c r="E45" s="49"/>
      <x:c r="F45" s="49"/>
      <x:c r="G45" s="49"/>
      <x:c r="H45" s="49"/>
      <x:c r="I45" s="49"/>
      <x:c r="J45" s="49"/>
      <x:c r="K45" s="49"/>
      <x:c r="L45" s="49"/>
      <x:c r="M45" s="49"/>
      <x:c r="N45" s="49"/>
      <x:c r="O45" s="49"/>
      <x:c r="P45" s="49"/>
      <x:c r="Q45" s="49"/>
      <x:c r="R45" s="49"/>
      <x:c r="S45" s="49"/>
      <x:c r="T45" s="49"/>
      <x:c r="U45" s="49"/>
      <x:c r="V45" s="49"/>
      <x:c r="W45" s="49"/>
      <x:c r="X45" s="49"/>
      <x:c r="Y45" s="49"/>
      <x:c r="Z45" s="49"/>
      <x:c r="AA45" s="49"/>
      <x:c r="AB45" s="49"/>
      <x:c r="AC45" s="49"/>
      <x:c r="AD45" s="49"/>
      <x:c r="AE45" s="49"/>
      <x:c r="AF45" s="49"/>
      <x:c r="AG45" s="49"/>
      <x:c r="AH45" s="49"/>
      <x:c r="AI45" s="49"/>
      <x:c r="AJ45" s="49"/>
      <x:c r="AK45" s="49"/>
      <x:c r="AL45" s="49"/>
      <x:c r="AM45" s="49"/>
      <x:c r="AN45" s="49"/>
      <x:c r="AO45" s="49"/>
      <x:c r="AP45" s="49"/>
      <x:c r="AQ45" s="49"/>
      <x:c r="AR45" s="49"/>
      <x:c r="AS45" s="49"/>
      <x:c r="AT45" s="49"/>
      <x:c r="AU45" s="49"/>
      <x:c r="AV45" s="49"/>
      <x:c r="AW45" s="49"/>
      <x:c r="AX45" s="49"/>
      <x:c r="AY45" s="49"/>
      <x:c r="AZ45" s="49"/>
    </x:row>
    <x:row r="46">
      <x:c r="A46" s="49"/>
      <x:c r="B46" s="49"/>
      <x:c r="C46" s="49"/>
      <x:c r="D46" s="49"/>
      <x:c r="E46" s="49"/>
      <x:c r="F46" s="49"/>
      <x:c r="G46" s="49"/>
      <x:c r="H46" s="49"/>
      <x:c r="I46" s="49"/>
      <x:c r="J46" s="49"/>
      <x:c r="K46" s="49"/>
      <x:c r="L46" s="49"/>
      <x:c r="M46" s="49"/>
      <x:c r="N46" s="49"/>
      <x:c r="O46" s="49"/>
      <x:c r="P46" s="49"/>
      <x:c r="Q46" s="49"/>
      <x:c r="R46" s="49"/>
      <x:c r="S46" s="49"/>
      <x:c r="T46" s="49"/>
      <x:c r="U46" s="49"/>
      <x:c r="V46" s="49"/>
      <x:c r="W46" s="49"/>
      <x:c r="X46" s="49"/>
      <x:c r="Y46" s="49"/>
      <x:c r="Z46" s="49"/>
      <x:c r="AA46" s="49"/>
      <x:c r="AB46" s="49"/>
      <x:c r="AC46" s="49"/>
      <x:c r="AD46" s="49"/>
      <x:c r="AE46" s="49"/>
      <x:c r="AF46" s="49"/>
      <x:c r="AG46" s="49"/>
      <x:c r="AH46" s="49"/>
      <x:c r="AI46" s="49"/>
      <x:c r="AJ46" s="49"/>
      <x:c r="AK46" s="49"/>
      <x:c r="AL46" s="49"/>
      <x:c r="AM46" s="49"/>
      <x:c r="AN46" s="49"/>
      <x:c r="AO46" s="49"/>
      <x:c r="AP46" s="49"/>
      <x:c r="AQ46" s="49"/>
      <x:c r="AR46" s="49"/>
      <x:c r="AS46" s="49"/>
      <x:c r="AT46" s="49"/>
      <x:c r="AU46" s="49"/>
      <x:c r="AV46" s="49"/>
      <x:c r="AW46" s="49"/>
      <x:c r="AX46" s="49"/>
      <x:c r="AY46" s="49"/>
      <x:c r="AZ46" s="49"/>
    </x:row>
    <x:row r="47">
      <x:c r="A47" s="49"/>
      <x:c r="B47" s="49"/>
      <x:c r="C47" s="49"/>
      <x:c r="D47" s="49"/>
      <x:c r="E47" s="49"/>
      <x:c r="F47" s="49"/>
      <x:c r="G47" s="49"/>
      <x:c r="H47" s="49"/>
      <x:c r="I47" s="49"/>
      <x:c r="J47" s="49"/>
      <x:c r="K47" s="49"/>
      <x:c r="L47" s="49"/>
      <x:c r="M47" s="49"/>
      <x:c r="N47" s="49"/>
      <x:c r="O47" s="49"/>
      <x:c r="P47" s="49"/>
      <x:c r="Q47" s="49"/>
      <x:c r="R47" s="49"/>
      <x:c r="S47" s="49"/>
      <x:c r="T47" s="49"/>
      <x:c r="U47" s="49"/>
      <x:c r="V47" s="49"/>
      <x:c r="W47" s="49"/>
      <x:c r="X47" s="49"/>
      <x:c r="Y47" s="49"/>
      <x:c r="Z47" s="49"/>
      <x:c r="AA47" s="49"/>
      <x:c r="AB47" s="49"/>
      <x:c r="AC47" s="49"/>
      <x:c r="AD47" s="49"/>
      <x:c r="AE47" s="49"/>
      <x:c r="AF47" s="49"/>
      <x:c r="AG47" s="49"/>
      <x:c r="AH47" s="49"/>
      <x:c r="AI47" s="49"/>
      <x:c r="AJ47" s="49"/>
      <x:c r="AK47" s="49"/>
      <x:c r="AL47" s="49"/>
      <x:c r="AM47" s="49"/>
      <x:c r="AN47" s="49"/>
      <x:c r="AO47" s="49"/>
      <x:c r="AP47" s="49"/>
      <x:c r="AQ47" s="49"/>
      <x:c r="AR47" s="49"/>
      <x:c r="AS47" s="49"/>
      <x:c r="AT47" s="49"/>
      <x:c r="AU47" s="49"/>
      <x:c r="AV47" s="49"/>
      <x:c r="AW47" s="49"/>
      <x:c r="AX47" s="49"/>
      <x:c r="AY47" s="49"/>
      <x:c r="AZ47" s="49"/>
    </x:row>
    <x:row r="48">
      <x:c r="A48" s="49"/>
      <x:c r="B48" s="49"/>
      <x:c r="C48" s="49"/>
      <x:c r="D48" s="49"/>
      <x:c r="E48" s="49"/>
      <x:c r="F48" s="49"/>
      <x:c r="G48" s="49"/>
      <x:c r="H48" s="49"/>
      <x:c r="I48" s="49"/>
      <x:c r="J48" s="49"/>
      <x:c r="K48" s="49"/>
      <x:c r="L48" s="49"/>
      <x:c r="M48" s="49"/>
      <x:c r="N48" s="49"/>
      <x:c r="O48" s="49"/>
      <x:c r="P48" s="49"/>
      <x:c r="Q48" s="49"/>
      <x:c r="R48" s="49"/>
      <x:c r="S48" s="49"/>
      <x:c r="T48" s="49"/>
      <x:c r="U48" s="49"/>
      <x:c r="V48" s="49"/>
      <x:c r="W48" s="49"/>
      <x:c r="X48" s="49"/>
      <x:c r="Y48" s="49"/>
      <x:c r="Z48" s="49"/>
      <x:c r="AA48" s="49"/>
      <x:c r="AB48" s="49"/>
      <x:c r="AC48" s="49"/>
      <x:c r="AD48" s="49"/>
      <x:c r="AE48" s="49"/>
      <x:c r="AF48" s="49"/>
      <x:c r="AG48" s="49"/>
      <x:c r="AH48" s="49"/>
      <x:c r="AI48" s="49"/>
      <x:c r="AJ48" s="49"/>
      <x:c r="AK48" s="49"/>
      <x:c r="AL48" s="49"/>
      <x:c r="AM48" s="49"/>
      <x:c r="AN48" s="49"/>
      <x:c r="AO48" s="49"/>
      <x:c r="AP48" s="49"/>
      <x:c r="AQ48" s="49"/>
      <x:c r="AR48" s="49"/>
      <x:c r="AS48" s="49"/>
      <x:c r="AT48" s="49"/>
      <x:c r="AU48" s="49"/>
      <x:c r="AV48" s="49"/>
      <x:c r="AW48" s="49"/>
      <x:c r="AX48" s="49"/>
      <x:c r="AY48" s="49"/>
      <x:c r="AZ48" s="49"/>
    </x:row>
    <x:row r="49">
      <x:c r="A49" s="49"/>
      <x:c r="B49" s="49"/>
      <x:c r="C49" s="49"/>
      <x:c r="D49" s="49"/>
      <x:c r="E49" s="49"/>
      <x:c r="F49" s="49"/>
      <x:c r="G49" s="49"/>
      <x:c r="H49" s="49"/>
      <x:c r="I49" s="49"/>
      <x:c r="J49" s="49"/>
      <x:c r="K49" s="49"/>
      <x:c r="L49" s="49"/>
      <x:c r="M49" s="49"/>
      <x:c r="N49" s="49"/>
      <x:c r="O49" s="49"/>
      <x:c r="P49" s="49"/>
      <x:c r="Q49" s="49"/>
      <x:c r="R49" s="49"/>
      <x:c r="S49" s="49"/>
      <x:c r="T49" s="49"/>
      <x:c r="U49" s="49"/>
      <x:c r="V49" s="49"/>
      <x:c r="W49" s="49"/>
      <x:c r="X49" s="49"/>
      <x:c r="Y49" s="49"/>
      <x:c r="Z49" s="49"/>
      <x:c r="AA49" s="49"/>
      <x:c r="AB49" s="49"/>
      <x:c r="AC49" s="49"/>
      <x:c r="AD49" s="49"/>
      <x:c r="AE49" s="49"/>
      <x:c r="AF49" s="49"/>
      <x:c r="AG49" s="49"/>
      <x:c r="AH49" s="49"/>
      <x:c r="AI49" s="49"/>
      <x:c r="AJ49" s="49"/>
      <x:c r="AK49" s="49"/>
      <x:c r="AL49" s="49"/>
      <x:c r="AM49" s="49"/>
      <x:c r="AN49" s="49"/>
      <x:c r="AO49" s="49"/>
      <x:c r="AP49" s="49"/>
      <x:c r="AQ49" s="49"/>
      <x:c r="AR49" s="49"/>
      <x:c r="AS49" s="49"/>
      <x:c r="AT49" s="49"/>
      <x:c r="AU49" s="49"/>
      <x:c r="AV49" s="49"/>
      <x:c r="AW49" s="49"/>
      <x:c r="AX49" s="49"/>
      <x:c r="AY49" s="49"/>
      <x:c r="AZ49" s="49"/>
    </x:row>
    <x:row r="50">
      <x:c r="A50" s="49"/>
      <x:c r="B50" s="49"/>
      <x:c r="C50" s="49"/>
      <x:c r="D50" s="49"/>
      <x:c r="E50" s="49"/>
      <x:c r="F50" s="49"/>
      <x:c r="G50" s="49"/>
      <x:c r="H50" s="49"/>
      <x:c r="I50" s="49"/>
      <x:c r="J50" s="49"/>
      <x:c r="K50" s="49"/>
      <x:c r="L50" s="49"/>
      <x:c r="M50" s="49"/>
      <x:c r="N50" s="49"/>
      <x:c r="O50" s="49"/>
      <x:c r="P50" s="49"/>
      <x:c r="Q50" s="49"/>
      <x:c r="R50" s="49"/>
      <x:c r="S50" s="49"/>
      <x:c r="T50" s="49"/>
      <x:c r="U50" s="49"/>
      <x:c r="V50" s="49"/>
      <x:c r="W50" s="49"/>
      <x:c r="X50" s="49"/>
      <x:c r="Y50" s="49"/>
      <x:c r="Z50" s="49"/>
      <x:c r="AA50" s="49"/>
      <x:c r="AB50" s="49"/>
      <x:c r="AC50" s="49"/>
      <x:c r="AD50" s="49"/>
      <x:c r="AE50" s="49"/>
      <x:c r="AF50" s="49"/>
      <x:c r="AG50" s="49"/>
      <x:c r="AH50" s="49"/>
      <x:c r="AI50" s="49"/>
      <x:c r="AJ50" s="49"/>
      <x:c r="AK50" s="49"/>
      <x:c r="AL50" s="49"/>
      <x:c r="AM50" s="49"/>
      <x:c r="AN50" s="49"/>
      <x:c r="AO50" s="49"/>
      <x:c r="AP50" s="49"/>
      <x:c r="AQ50" s="49"/>
      <x:c r="AR50" s="49"/>
      <x:c r="AS50" s="49"/>
      <x:c r="AT50" s="49"/>
      <x:c r="AU50" s="49"/>
      <x:c r="AV50" s="49"/>
      <x:c r="AW50" s="49"/>
      <x:c r="AX50" s="49"/>
      <x:c r="AY50" s="49"/>
      <x:c r="AZ50" s="49"/>
    </x:row>
    <x:row r="51">
      <x:c r="A51" s="49"/>
      <x:c r="B51" s="49"/>
      <x:c r="C51" s="49"/>
      <x:c r="D51" s="49"/>
      <x:c r="E51" s="49"/>
      <x:c r="F51" s="49"/>
      <x:c r="G51" s="49"/>
      <x:c r="H51" s="49"/>
      <x:c r="I51" s="49"/>
      <x:c r="J51" s="49"/>
      <x:c r="K51" s="49"/>
      <x:c r="L51" s="49"/>
      <x:c r="M51" s="49"/>
      <x:c r="N51" s="49"/>
      <x:c r="O51" s="49"/>
      <x:c r="P51" s="49"/>
      <x:c r="Q51" s="49"/>
      <x:c r="R51" s="49"/>
      <x:c r="S51" s="49"/>
      <x:c r="T51" s="49"/>
      <x:c r="U51" s="49"/>
      <x:c r="V51" s="49"/>
      <x:c r="W51" s="49"/>
      <x:c r="X51" s="49"/>
      <x:c r="Y51" s="49"/>
      <x:c r="Z51" s="49"/>
      <x:c r="AA51" s="49"/>
      <x:c r="AB51" s="49"/>
      <x:c r="AC51" s="49"/>
      <x:c r="AD51" s="49"/>
      <x:c r="AE51" s="49"/>
      <x:c r="AF51" s="49"/>
      <x:c r="AG51" s="49"/>
      <x:c r="AH51" s="49"/>
      <x:c r="AI51" s="49"/>
      <x:c r="AJ51" s="49"/>
      <x:c r="AK51" s="49"/>
      <x:c r="AL51" s="49"/>
      <x:c r="AM51" s="49"/>
      <x:c r="AN51" s="49"/>
      <x:c r="AO51" s="49"/>
      <x:c r="AP51" s="49"/>
      <x:c r="AQ51" s="49"/>
      <x:c r="AR51" s="49"/>
      <x:c r="AS51" s="49"/>
      <x:c r="AT51" s="49"/>
      <x:c r="AU51" s="49"/>
      <x:c r="AV51" s="49"/>
      <x:c r="AW51" s="49"/>
      <x:c r="AX51" s="49"/>
      <x:c r="AY51" s="49"/>
      <x:c r="AZ51" s="49"/>
    </x:row>
    <x:row r="52">
      <x:c r="A52" s="49"/>
      <x:c r="B52" s="49"/>
      <x:c r="C52" s="49"/>
      <x:c r="D52" s="49"/>
      <x:c r="E52" s="49"/>
      <x:c r="F52" s="49"/>
      <x:c r="G52" s="49"/>
      <x:c r="H52" s="49"/>
      <x:c r="I52" s="49"/>
      <x:c r="J52" s="49"/>
      <x:c r="K52" s="49"/>
      <x:c r="L52" s="49"/>
      <x:c r="M52" s="49"/>
      <x:c r="N52" s="49"/>
      <x:c r="O52" s="49"/>
      <x:c r="P52" s="49"/>
      <x:c r="Q52" s="49"/>
      <x:c r="R52" s="49"/>
      <x:c r="S52" s="49"/>
      <x:c r="T52" s="49"/>
      <x:c r="U52" s="49"/>
      <x:c r="V52" s="49"/>
      <x:c r="W52" s="49"/>
      <x:c r="X52" s="49"/>
      <x:c r="Y52" s="49"/>
      <x:c r="Z52" s="49"/>
      <x:c r="AA52" s="49"/>
      <x:c r="AB52" s="49"/>
      <x:c r="AC52" s="49"/>
      <x:c r="AD52" s="49"/>
      <x:c r="AE52" s="49"/>
      <x:c r="AF52" s="49"/>
      <x:c r="AG52" s="49"/>
      <x:c r="AH52" s="49"/>
      <x:c r="AI52" s="49"/>
      <x:c r="AJ52" s="49"/>
      <x:c r="AK52" s="49"/>
      <x:c r="AL52" s="49"/>
      <x:c r="AM52" s="49"/>
      <x:c r="AN52" s="49"/>
      <x:c r="AO52" s="49"/>
      <x:c r="AP52" s="49"/>
      <x:c r="AQ52" s="49"/>
      <x:c r="AR52" s="49"/>
      <x:c r="AS52" s="49"/>
      <x:c r="AT52" s="49"/>
      <x:c r="AU52" s="49"/>
      <x:c r="AV52" s="49"/>
      <x:c r="AW52" s="49"/>
      <x:c r="AX52" s="49"/>
      <x:c r="AY52" s="49"/>
      <x:c r="AZ52" s="49"/>
    </x:row>
    <x:row r="53">
      <x:c r="A53" s="49"/>
      <x:c r="B53" s="49"/>
      <x:c r="C53" s="49"/>
      <x:c r="D53" s="49"/>
      <x:c r="E53" s="49"/>
      <x:c r="F53" s="49"/>
      <x:c r="G53" s="49"/>
      <x:c r="H53" s="49"/>
      <x:c r="I53" s="49"/>
      <x:c r="J53" s="49"/>
      <x:c r="K53" s="49"/>
      <x:c r="L53" s="49"/>
      <x:c r="M53" s="49"/>
      <x:c r="N53" s="49"/>
      <x:c r="O53" s="49"/>
      <x:c r="P53" s="49"/>
      <x:c r="Q53" s="49"/>
      <x:c r="R53" s="49"/>
      <x:c r="S53" s="49"/>
      <x:c r="T53" s="49"/>
      <x:c r="U53" s="49"/>
      <x:c r="V53" s="49"/>
      <x:c r="W53" s="49"/>
      <x:c r="X53" s="49"/>
      <x:c r="Y53" s="49"/>
      <x:c r="Z53" s="49"/>
      <x:c r="AA53" s="49"/>
      <x:c r="AB53" s="49"/>
      <x:c r="AC53" s="49"/>
      <x:c r="AD53" s="49"/>
      <x:c r="AE53" s="49"/>
      <x:c r="AF53" s="49"/>
      <x:c r="AG53" s="49"/>
      <x:c r="AH53" s="49"/>
      <x:c r="AI53" s="49"/>
      <x:c r="AJ53" s="49"/>
      <x:c r="AK53" s="49"/>
      <x:c r="AL53" s="49"/>
      <x:c r="AM53" s="49"/>
      <x:c r="AN53" s="49"/>
      <x:c r="AO53" s="49"/>
      <x:c r="AP53" s="49"/>
      <x:c r="AQ53" s="49"/>
      <x:c r="AR53" s="49"/>
      <x:c r="AS53" s="49"/>
      <x:c r="AT53" s="49"/>
      <x:c r="AU53" s="49"/>
      <x:c r="AV53" s="49"/>
      <x:c r="AW53" s="49"/>
      <x:c r="AX53" s="49"/>
      <x:c r="AY53" s="49"/>
      <x:c r="AZ53" s="49"/>
    </x:row>
    <x:row r="54">
      <x:c r="A54" s="49"/>
      <x:c r="B54" s="49"/>
      <x:c r="C54" s="49"/>
      <x:c r="D54" s="49"/>
      <x:c r="E54" s="49"/>
      <x:c r="F54" s="49"/>
      <x:c r="G54" s="49"/>
      <x:c r="H54" s="49"/>
      <x:c r="I54" s="49"/>
      <x:c r="J54" s="49"/>
      <x:c r="K54" s="49"/>
      <x:c r="L54" s="49"/>
      <x:c r="M54" s="49"/>
      <x:c r="N54" s="49"/>
      <x:c r="O54" s="49"/>
      <x:c r="P54" s="49"/>
      <x:c r="Q54" s="49"/>
      <x:c r="R54" s="49"/>
      <x:c r="S54" s="49"/>
      <x:c r="T54" s="49"/>
      <x:c r="U54" s="49"/>
      <x:c r="V54" s="49"/>
      <x:c r="W54" s="49"/>
      <x:c r="X54" s="49"/>
      <x:c r="Y54" s="49"/>
      <x:c r="Z54" s="49"/>
      <x:c r="AA54" s="49"/>
      <x:c r="AB54" s="49"/>
      <x:c r="AC54" s="49"/>
      <x:c r="AD54" s="49"/>
      <x:c r="AE54" s="49"/>
      <x:c r="AF54" s="49"/>
      <x:c r="AG54" s="49"/>
      <x:c r="AH54" s="49"/>
      <x:c r="AI54" s="49"/>
      <x:c r="AJ54" s="49"/>
      <x:c r="AK54" s="49"/>
      <x:c r="AL54" s="49"/>
      <x:c r="AM54" s="49"/>
      <x:c r="AN54" s="49"/>
      <x:c r="AO54" s="49"/>
      <x:c r="AP54" s="49"/>
      <x:c r="AQ54" s="49"/>
      <x:c r="AR54" s="49"/>
      <x:c r="AS54" s="49"/>
      <x:c r="AT54" s="49"/>
      <x:c r="AU54" s="49"/>
      <x:c r="AV54" s="49"/>
      <x:c r="AW54" s="49"/>
      <x:c r="AX54" s="49"/>
      <x:c r="AY54" s="49"/>
      <x:c r="AZ54" s="49"/>
    </x:row>
    <x:row r="55">
      <x:c r="A55" s="49"/>
      <x:c r="B55" s="49"/>
      <x:c r="C55" s="49"/>
      <x:c r="D55" s="49"/>
      <x:c r="E55" s="49"/>
      <x:c r="F55" s="49"/>
      <x:c r="G55" s="49"/>
      <x:c r="H55" s="49"/>
      <x:c r="I55" s="49"/>
      <x:c r="J55" s="49"/>
      <x:c r="K55" s="49"/>
      <x:c r="L55" s="49"/>
      <x:c r="M55" s="49"/>
      <x:c r="N55" s="49"/>
      <x:c r="O55" s="49"/>
      <x:c r="P55" s="49"/>
      <x:c r="Q55" s="49"/>
      <x:c r="R55" s="49"/>
      <x:c r="S55" s="49"/>
      <x:c r="T55" s="49"/>
      <x:c r="U55" s="49"/>
      <x:c r="V55" s="49"/>
      <x:c r="W55" s="49"/>
      <x:c r="X55" s="49"/>
      <x:c r="Y55" s="49"/>
      <x:c r="Z55" s="49"/>
      <x:c r="AA55" s="49"/>
      <x:c r="AB55" s="49"/>
      <x:c r="AC55" s="49"/>
      <x:c r="AD55" s="49"/>
      <x:c r="AE55" s="49"/>
      <x:c r="AF55" s="49"/>
      <x:c r="AG55" s="49"/>
      <x:c r="AH55" s="49"/>
      <x:c r="AI55" s="49"/>
      <x:c r="AJ55" s="49"/>
      <x:c r="AK55" s="49"/>
      <x:c r="AL55" s="49"/>
      <x:c r="AM55" s="49"/>
      <x:c r="AN55" s="49"/>
      <x:c r="AO55" s="49"/>
      <x:c r="AP55" s="49"/>
      <x:c r="AQ55" s="49"/>
      <x:c r="AR55" s="49"/>
      <x:c r="AS55" s="49"/>
      <x:c r="AT55" s="49"/>
      <x:c r="AU55" s="49"/>
      <x:c r="AV55" s="49"/>
      <x:c r="AW55" s="49"/>
      <x:c r="AX55" s="49"/>
      <x:c r="AY55" s="49"/>
      <x:c r="AZ55" s="49"/>
    </x:row>
    <x:row r="56">
      <x:c r="A56" s="49"/>
      <x:c r="B56" s="49"/>
      <x:c r="C56" s="49"/>
      <x:c r="D56" s="49"/>
      <x:c r="E56" s="49"/>
      <x:c r="F56" s="49"/>
      <x:c r="G56" s="49"/>
      <x:c r="H56" s="49"/>
      <x:c r="I56" s="49"/>
      <x:c r="J56" s="49"/>
      <x:c r="K56" s="49"/>
      <x:c r="L56" s="49"/>
      <x:c r="M56" s="49"/>
      <x:c r="N56" s="49"/>
      <x:c r="O56" s="49"/>
      <x:c r="P56" s="49"/>
      <x:c r="Q56" s="49"/>
      <x:c r="R56" s="49"/>
      <x:c r="S56" s="49"/>
      <x:c r="T56" s="49"/>
      <x:c r="U56" s="49"/>
      <x:c r="V56" s="49"/>
      <x:c r="W56" s="49"/>
      <x:c r="X56" s="49"/>
      <x:c r="Y56" s="49"/>
      <x:c r="Z56" s="49"/>
      <x:c r="AA56" s="49"/>
      <x:c r="AB56" s="49"/>
      <x:c r="AC56" s="49"/>
      <x:c r="AD56" s="49"/>
      <x:c r="AE56" s="49"/>
      <x:c r="AF56" s="49"/>
      <x:c r="AG56" s="49"/>
      <x:c r="AH56" s="49"/>
      <x:c r="AI56" s="49"/>
      <x:c r="AJ56" s="49"/>
      <x:c r="AK56" s="49"/>
      <x:c r="AL56" s="49"/>
      <x:c r="AM56" s="49"/>
      <x:c r="AN56" s="49"/>
      <x:c r="AO56" s="49"/>
      <x:c r="AP56" s="49"/>
      <x:c r="AQ56" s="49"/>
      <x:c r="AR56" s="49"/>
      <x:c r="AS56" s="49"/>
      <x:c r="AT56" s="49"/>
      <x:c r="AU56" s="49"/>
      <x:c r="AV56" s="49"/>
      <x:c r="AW56" s="49"/>
      <x:c r="AX56" s="49"/>
      <x:c r="AY56" s="49"/>
      <x:c r="AZ56" s="49"/>
    </x:row>
    <x:row r="57">
      <x:c r="A57" s="49"/>
      <x:c r="B57" s="49"/>
      <x:c r="C57" s="49"/>
      <x:c r="D57" s="49"/>
      <x:c r="E57" s="49"/>
      <x:c r="F57" s="49"/>
      <x:c r="G57" s="49"/>
      <x:c r="H57" s="49"/>
      <x:c r="I57" s="49"/>
      <x:c r="J57" s="49"/>
      <x:c r="K57" s="49"/>
      <x:c r="L57" s="49"/>
      <x:c r="M57" s="49"/>
      <x:c r="N57" s="49"/>
      <x:c r="O57" s="49"/>
      <x:c r="P57" s="49"/>
      <x:c r="Q57" s="49"/>
      <x:c r="R57" s="49"/>
      <x:c r="S57" s="49"/>
      <x:c r="T57" s="49"/>
      <x:c r="U57" s="49"/>
      <x:c r="V57" s="49"/>
      <x:c r="W57" s="49"/>
      <x:c r="X57" s="49"/>
      <x:c r="Y57" s="49"/>
      <x:c r="Z57" s="49"/>
      <x:c r="AA57" s="49"/>
      <x:c r="AB57" s="49"/>
      <x:c r="AC57" s="49"/>
      <x:c r="AD57" s="49"/>
      <x:c r="AE57" s="49"/>
      <x:c r="AF57" s="49"/>
      <x:c r="AG57" s="49"/>
      <x:c r="AH57" s="49"/>
      <x:c r="AI57" s="49"/>
      <x:c r="AJ57" s="49"/>
      <x:c r="AK57" s="49"/>
      <x:c r="AL57" s="49"/>
      <x:c r="AM57" s="49"/>
      <x:c r="AN57" s="49"/>
      <x:c r="AO57" s="49"/>
      <x:c r="AP57" s="49"/>
      <x:c r="AQ57" s="49"/>
      <x:c r="AR57" s="49"/>
      <x:c r="AS57" s="49"/>
      <x:c r="AT57" s="49"/>
      <x:c r="AU57" s="49"/>
      <x:c r="AV57" s="49"/>
      <x:c r="AW57" s="49"/>
      <x:c r="AX57" s="49"/>
      <x:c r="AY57" s="49"/>
      <x:c r="AZ57" s="49"/>
    </x:row>
    <x:row r="58">
      <x:c r="A58" s="49"/>
      <x:c r="B58" s="49"/>
      <x:c r="C58" s="49"/>
      <x:c r="D58" s="49"/>
      <x:c r="E58" s="49"/>
      <x:c r="F58" s="49"/>
      <x:c r="G58" s="49"/>
      <x:c r="H58" s="49"/>
      <x:c r="I58" s="49"/>
      <x:c r="J58" s="49"/>
      <x:c r="K58" s="49"/>
      <x:c r="L58" s="49"/>
      <x:c r="M58" s="49"/>
      <x:c r="N58" s="49"/>
      <x:c r="O58" s="49"/>
      <x:c r="P58" s="49"/>
      <x:c r="Q58" s="49"/>
      <x:c r="R58" s="49"/>
      <x:c r="S58" s="49"/>
      <x:c r="T58" s="49"/>
      <x:c r="U58" s="49"/>
      <x:c r="V58" s="49"/>
      <x:c r="W58" s="49"/>
      <x:c r="X58" s="49"/>
      <x:c r="Y58" s="49"/>
      <x:c r="Z58" s="49"/>
      <x:c r="AA58" s="49"/>
      <x:c r="AB58" s="49"/>
      <x:c r="AC58" s="49"/>
      <x:c r="AD58" s="49"/>
      <x:c r="AE58" s="49"/>
      <x:c r="AF58" s="49"/>
      <x:c r="AG58" s="49"/>
      <x:c r="AH58" s="49"/>
      <x:c r="AI58" s="49"/>
      <x:c r="AJ58" s="49"/>
      <x:c r="AK58" s="49"/>
      <x:c r="AL58" s="49"/>
      <x:c r="AM58" s="49"/>
      <x:c r="AN58" s="49"/>
      <x:c r="AO58" s="49"/>
      <x:c r="AP58" s="49"/>
      <x:c r="AQ58" s="49"/>
      <x:c r="AR58" s="49"/>
      <x:c r="AS58" s="49"/>
      <x:c r="AT58" s="49"/>
      <x:c r="AU58" s="49"/>
      <x:c r="AV58" s="49"/>
      <x:c r="AW58" s="49"/>
      <x:c r="AX58" s="49"/>
      <x:c r="AY58" s="49"/>
      <x:c r="AZ58" s="49"/>
    </x:row>
    <x:row r="59">
      <x:c r="A59" s="49"/>
      <x:c r="B59" s="49"/>
      <x:c r="C59" s="49"/>
      <x:c r="D59" s="49"/>
      <x:c r="E59" s="49"/>
      <x:c r="F59" s="49"/>
      <x:c r="G59" s="49"/>
      <x:c r="H59" s="49"/>
      <x:c r="I59" s="49"/>
      <x:c r="J59" s="49"/>
      <x:c r="K59" s="49"/>
      <x:c r="L59" s="49"/>
      <x:c r="M59" s="49"/>
      <x:c r="N59" s="49"/>
      <x:c r="O59" s="49"/>
      <x:c r="P59" s="49"/>
      <x:c r="Q59" s="49"/>
      <x:c r="R59" s="49"/>
      <x:c r="S59" s="49"/>
      <x:c r="T59" s="49"/>
      <x:c r="U59" s="49"/>
      <x:c r="V59" s="49"/>
      <x:c r="W59" s="49"/>
      <x:c r="X59" s="49"/>
      <x:c r="Y59" s="49"/>
      <x:c r="Z59" s="49"/>
      <x:c r="AA59" s="49"/>
      <x:c r="AB59" s="49"/>
      <x:c r="AC59" s="49"/>
      <x:c r="AD59" s="49"/>
      <x:c r="AE59" s="49"/>
      <x:c r="AF59" s="49"/>
      <x:c r="AG59" s="49"/>
      <x:c r="AH59" s="49"/>
      <x:c r="AI59" s="49"/>
      <x:c r="AJ59" s="49"/>
      <x:c r="AK59" s="49"/>
      <x:c r="AL59" s="49"/>
      <x:c r="AM59" s="49"/>
      <x:c r="AN59" s="49"/>
      <x:c r="AO59" s="49"/>
      <x:c r="AP59" s="49"/>
      <x:c r="AQ59" s="49"/>
      <x:c r="AR59" s="49"/>
      <x:c r="AS59" s="49"/>
      <x:c r="AT59" s="49"/>
      <x:c r="AU59" s="49"/>
      <x:c r="AV59" s="49"/>
      <x:c r="AW59" s="49"/>
      <x:c r="AX59" s="49"/>
      <x:c r="AY59" s="49"/>
      <x:c r="AZ59" s="49"/>
    </x:row>
    <x:row r="60">
      <x:c r="A60" s="49"/>
      <x:c r="B60" s="49"/>
      <x:c r="C60" s="49"/>
      <x:c r="D60" s="49"/>
      <x:c r="E60" s="49"/>
      <x:c r="F60" s="49"/>
      <x:c r="G60" s="49"/>
      <x:c r="H60" s="49"/>
      <x:c r="I60" s="49"/>
      <x:c r="J60" s="49"/>
      <x:c r="K60" s="49"/>
      <x:c r="L60" s="49"/>
      <x:c r="M60" s="49"/>
      <x:c r="N60" s="49"/>
      <x:c r="O60" s="49"/>
      <x:c r="P60" s="49"/>
      <x:c r="Q60" s="49"/>
      <x:c r="R60" s="49"/>
      <x:c r="S60" s="49"/>
      <x:c r="T60" s="49"/>
      <x:c r="U60" s="49"/>
      <x:c r="V60" s="49"/>
      <x:c r="W60" s="49"/>
      <x:c r="X60" s="49"/>
      <x:c r="Y60" s="49"/>
      <x:c r="Z60" s="49"/>
      <x:c r="AA60" s="49"/>
      <x:c r="AB60" s="49"/>
      <x:c r="AC60" s="49"/>
      <x:c r="AD60" s="49"/>
      <x:c r="AE60" s="49"/>
      <x:c r="AF60" s="49"/>
      <x:c r="AG60" s="49"/>
      <x:c r="AH60" s="49"/>
      <x:c r="AI60" s="49"/>
      <x:c r="AJ60" s="49"/>
      <x:c r="AK60" s="49"/>
      <x:c r="AL60" s="49"/>
      <x:c r="AM60" s="49"/>
      <x:c r="AN60" s="49"/>
      <x:c r="AO60" s="49"/>
      <x:c r="AP60" s="49"/>
      <x:c r="AQ60" s="49"/>
      <x:c r="AR60" s="49"/>
      <x:c r="AS60" s="49"/>
      <x:c r="AT60" s="49"/>
      <x:c r="AU60" s="49"/>
      <x:c r="AV60" s="49"/>
      <x:c r="AW60" s="49"/>
      <x:c r="AX60" s="49"/>
      <x:c r="AY60" s="49"/>
      <x:c r="AZ60" s="49"/>
    </x:row>
    <x:row r="61">
      <x:c r="A61" s="49"/>
      <x:c r="B61" s="49"/>
      <x:c r="C61" s="49"/>
      <x:c r="D61" s="49"/>
      <x:c r="E61" s="49"/>
      <x:c r="F61" s="49"/>
      <x:c r="G61" s="49"/>
      <x:c r="H61" s="49"/>
      <x:c r="I61" s="49"/>
      <x:c r="J61" s="49"/>
      <x:c r="K61" s="49"/>
      <x:c r="L61" s="49"/>
      <x:c r="M61" s="49"/>
      <x:c r="N61" s="49"/>
      <x:c r="O61" s="49"/>
      <x:c r="P61" s="49"/>
      <x:c r="Q61" s="49"/>
      <x:c r="R61" s="49"/>
      <x:c r="S61" s="49"/>
      <x:c r="T61" s="49"/>
      <x:c r="U61" s="49"/>
      <x:c r="V61" s="49"/>
      <x:c r="W61" s="49"/>
      <x:c r="X61" s="49"/>
      <x:c r="Y61" s="49"/>
      <x:c r="Z61" s="49"/>
      <x:c r="AA61" s="49"/>
      <x:c r="AB61" s="49"/>
      <x:c r="AC61" s="49"/>
      <x:c r="AD61" s="49"/>
      <x:c r="AE61" s="49"/>
      <x:c r="AF61" s="49"/>
      <x:c r="AG61" s="49"/>
      <x:c r="AH61" s="49"/>
      <x:c r="AI61" s="49"/>
      <x:c r="AJ61" s="49"/>
      <x:c r="AK61" s="49"/>
      <x:c r="AL61" s="49"/>
      <x:c r="AM61" s="49"/>
      <x:c r="AN61" s="49"/>
      <x:c r="AO61" s="49"/>
      <x:c r="AP61" s="49"/>
      <x:c r="AQ61" s="49"/>
      <x:c r="AR61" s="49"/>
      <x:c r="AS61" s="49"/>
      <x:c r="AT61" s="49"/>
      <x:c r="AU61" s="49"/>
      <x:c r="AV61" s="49"/>
      <x:c r="AW61" s="49"/>
      <x:c r="AX61" s="49"/>
      <x:c r="AY61" s="49"/>
      <x:c r="AZ61" s="49"/>
    </x:row>
    <x:row r="62">
      <x:c r="A62" s="49"/>
      <x:c r="B62" s="49"/>
      <x:c r="C62" s="49"/>
      <x:c r="D62" s="49"/>
      <x:c r="E62" s="49"/>
      <x:c r="F62" s="49"/>
      <x:c r="G62" s="49"/>
      <x:c r="H62" s="49"/>
      <x:c r="I62" s="49"/>
      <x:c r="J62" s="49"/>
      <x:c r="K62" s="49"/>
      <x:c r="L62" s="49"/>
      <x:c r="M62" s="49"/>
      <x:c r="N62" s="49"/>
      <x:c r="O62" s="49"/>
      <x:c r="P62" s="49"/>
      <x:c r="Q62" s="49"/>
      <x:c r="R62" s="49"/>
      <x:c r="S62" s="49"/>
      <x:c r="T62" s="49"/>
      <x:c r="U62" s="49"/>
      <x:c r="V62" s="49"/>
      <x:c r="W62" s="49"/>
      <x:c r="X62" s="49"/>
      <x:c r="Y62" s="49"/>
      <x:c r="Z62" s="49"/>
      <x:c r="AA62" s="49"/>
      <x:c r="AB62" s="49"/>
      <x:c r="AC62" s="49"/>
      <x:c r="AD62" s="49"/>
      <x:c r="AE62" s="49"/>
      <x:c r="AF62" s="49"/>
      <x:c r="AG62" s="49"/>
      <x:c r="AH62" s="49"/>
      <x:c r="AI62" s="49"/>
      <x:c r="AJ62" s="49"/>
      <x:c r="AK62" s="49"/>
      <x:c r="AL62" s="49"/>
      <x:c r="AM62" s="49"/>
      <x:c r="AN62" s="49"/>
      <x:c r="AO62" s="49"/>
      <x:c r="AP62" s="49"/>
      <x:c r="AQ62" s="49"/>
      <x:c r="AR62" s="49"/>
      <x:c r="AS62" s="49"/>
      <x:c r="AT62" s="49"/>
      <x:c r="AU62" s="49"/>
      <x:c r="AV62" s="49"/>
      <x:c r="AW62" s="49"/>
      <x:c r="AX62" s="49"/>
      <x:c r="AY62" s="49"/>
      <x:c r="AZ62" s="49"/>
    </x:row>
    <x:row r="63">
      <x:c r="A63" s="49"/>
      <x:c r="B63" s="49"/>
      <x:c r="C63" s="49"/>
      <x:c r="D63" s="49"/>
      <x:c r="E63" s="49"/>
      <x:c r="F63" s="49"/>
      <x:c r="G63" s="49"/>
      <x:c r="H63" s="49"/>
      <x:c r="I63" s="49"/>
      <x:c r="J63" s="49"/>
      <x:c r="K63" s="49"/>
      <x:c r="L63" s="49"/>
      <x:c r="M63" s="49"/>
      <x:c r="N63" s="49"/>
      <x:c r="O63" s="49"/>
      <x:c r="P63" s="49"/>
      <x:c r="Q63" s="49"/>
      <x:c r="R63" s="49"/>
      <x:c r="S63" s="49"/>
      <x:c r="T63" s="49"/>
      <x:c r="U63" s="49"/>
      <x:c r="V63" s="49"/>
      <x:c r="W63" s="49"/>
      <x:c r="X63" s="49"/>
      <x:c r="Y63" s="49"/>
      <x:c r="Z63" s="49"/>
      <x:c r="AA63" s="49"/>
      <x:c r="AB63" s="49"/>
      <x:c r="AC63" s="49"/>
      <x:c r="AD63" s="49"/>
      <x:c r="AE63" s="49"/>
      <x:c r="AF63" s="49"/>
      <x:c r="AG63" s="49"/>
      <x:c r="AH63" s="49"/>
      <x:c r="AI63" s="49"/>
      <x:c r="AJ63" s="49"/>
      <x:c r="AK63" s="49"/>
      <x:c r="AL63" s="49"/>
      <x:c r="AM63" s="49"/>
      <x:c r="AN63" s="49"/>
      <x:c r="AO63" s="49"/>
      <x:c r="AP63" s="49"/>
      <x:c r="AQ63" s="49"/>
      <x:c r="AR63" s="49"/>
      <x:c r="AS63" s="49"/>
      <x:c r="AT63" s="49"/>
      <x:c r="AU63" s="49"/>
      <x:c r="AV63" s="49"/>
      <x:c r="AW63" s="49"/>
      <x:c r="AX63" s="49"/>
      <x:c r="AY63" s="49"/>
      <x:c r="AZ63" s="49"/>
    </x:row>
    <x:row r="64">
      <x:c r="A64" s="49"/>
      <x:c r="B64" s="49"/>
      <x:c r="C64" s="49"/>
      <x:c r="D64" s="49"/>
      <x:c r="E64" s="49"/>
      <x:c r="F64" s="49"/>
      <x:c r="G64" s="49"/>
      <x:c r="H64" s="49"/>
      <x:c r="I64" s="49"/>
      <x:c r="J64" s="49"/>
      <x:c r="K64" s="49"/>
      <x:c r="L64" s="49"/>
      <x:c r="M64" s="49"/>
      <x:c r="N64" s="49"/>
      <x:c r="O64" s="49"/>
      <x:c r="P64" s="49"/>
      <x:c r="Q64" s="49"/>
      <x:c r="R64" s="49"/>
      <x:c r="S64" s="49"/>
      <x:c r="T64" s="49"/>
      <x:c r="U64" s="49"/>
      <x:c r="V64" s="49"/>
      <x:c r="W64" s="49"/>
      <x:c r="X64" s="49"/>
      <x:c r="Y64" s="49"/>
      <x:c r="Z64" s="49"/>
      <x:c r="AA64" s="49"/>
      <x:c r="AB64" s="49"/>
      <x:c r="AC64" s="49"/>
      <x:c r="AD64" s="49"/>
      <x:c r="AE64" s="49"/>
      <x:c r="AF64" s="49"/>
      <x:c r="AG64" s="49"/>
      <x:c r="AH64" s="49"/>
      <x:c r="AI64" s="49"/>
      <x:c r="AJ64" s="49"/>
      <x:c r="AK64" s="49"/>
      <x:c r="AL64" s="49"/>
      <x:c r="AM64" s="49"/>
      <x:c r="AN64" s="49"/>
      <x:c r="AO64" s="49"/>
      <x:c r="AP64" s="49"/>
      <x:c r="AQ64" s="49"/>
      <x:c r="AR64" s="49"/>
      <x:c r="AS64" s="49"/>
      <x:c r="AT64" s="49"/>
      <x:c r="AU64" s="49"/>
      <x:c r="AV64" s="49"/>
      <x:c r="AW64" s="49"/>
      <x:c r="AX64" s="49"/>
      <x:c r="AY64" s="49"/>
      <x:c r="AZ64" s="49"/>
    </x:row>
    <x:row r="65">
      <x:c r="A65" s="49"/>
      <x:c r="B65" s="49"/>
      <x:c r="C65" s="49"/>
      <x:c r="D65" s="49"/>
      <x:c r="E65" s="49"/>
      <x:c r="F65" s="49"/>
      <x:c r="G65" s="49"/>
      <x:c r="H65" s="49"/>
      <x:c r="I65" s="49"/>
      <x:c r="J65" s="49"/>
      <x:c r="K65" s="49"/>
      <x:c r="L65" s="49"/>
      <x:c r="M65" s="49"/>
      <x:c r="N65" s="49"/>
      <x:c r="O65" s="49"/>
      <x:c r="P65" s="49"/>
      <x:c r="Q65" s="49"/>
      <x:c r="R65" s="49"/>
      <x:c r="S65" s="49"/>
      <x:c r="T65" s="49"/>
      <x:c r="U65" s="49"/>
      <x:c r="V65" s="49"/>
      <x:c r="W65" s="49"/>
      <x:c r="X65" s="49"/>
      <x:c r="Y65" s="49"/>
      <x:c r="Z65" s="49"/>
      <x:c r="AA65" s="49"/>
      <x:c r="AB65" s="49"/>
      <x:c r="AC65" s="49"/>
      <x:c r="AD65" s="49"/>
      <x:c r="AE65" s="49"/>
      <x:c r="AF65" s="49"/>
      <x:c r="AG65" s="49"/>
      <x:c r="AH65" s="49"/>
      <x:c r="AI65" s="49"/>
      <x:c r="AJ65" s="49"/>
      <x:c r="AK65" s="49"/>
      <x:c r="AL65" s="49"/>
      <x:c r="AM65" s="49"/>
      <x:c r="AN65" s="49"/>
      <x:c r="AO65" s="49"/>
      <x:c r="AP65" s="49"/>
      <x:c r="AQ65" s="49"/>
      <x:c r="AR65" s="49"/>
      <x:c r="AS65" s="49"/>
      <x:c r="AT65" s="49"/>
      <x:c r="AU65" s="49"/>
      <x:c r="AV65" s="49"/>
      <x:c r="AW65" s="49"/>
      <x:c r="AX65" s="49"/>
      <x:c r="AY65" s="49"/>
      <x:c r="AZ65" s="49"/>
    </x:row>
    <x:row r="66">
      <x:c r="A66" s="49"/>
      <x:c r="B66" s="49"/>
      <x:c r="C66" s="49"/>
      <x:c r="D66" s="49"/>
      <x:c r="E66" s="49"/>
      <x:c r="F66" s="49"/>
      <x:c r="G66" s="49"/>
      <x:c r="H66" s="49"/>
      <x:c r="I66" s="49"/>
      <x:c r="J66" s="49"/>
      <x:c r="K66" s="49"/>
      <x:c r="L66" s="49"/>
      <x:c r="M66" s="49"/>
      <x:c r="N66" s="49"/>
      <x:c r="O66" s="49"/>
      <x:c r="P66" s="49"/>
      <x:c r="Q66" s="49"/>
      <x:c r="R66" s="49"/>
      <x:c r="S66" s="49"/>
      <x:c r="T66" s="49"/>
      <x:c r="U66" s="49"/>
      <x:c r="V66" s="49"/>
      <x:c r="W66" s="49"/>
      <x:c r="X66" s="49"/>
      <x:c r="Y66" s="49"/>
      <x:c r="Z66" s="49"/>
      <x:c r="AA66" s="49"/>
      <x:c r="AB66" s="49"/>
      <x:c r="AC66" s="49"/>
      <x:c r="AD66" s="49"/>
      <x:c r="AE66" s="49"/>
      <x:c r="AF66" s="49"/>
      <x:c r="AG66" s="49"/>
      <x:c r="AH66" s="49"/>
      <x:c r="AI66" s="49"/>
      <x:c r="AJ66" s="49"/>
      <x:c r="AK66" s="49"/>
      <x:c r="AL66" s="49"/>
      <x:c r="AM66" s="49"/>
      <x:c r="AN66" s="49"/>
      <x:c r="AO66" s="49"/>
      <x:c r="AP66" s="49"/>
      <x:c r="AQ66" s="49"/>
      <x:c r="AR66" s="49"/>
      <x:c r="AS66" s="49"/>
      <x:c r="AT66" s="49"/>
      <x:c r="AU66" s="49"/>
      <x:c r="AV66" s="49"/>
      <x:c r="AW66" s="49"/>
      <x:c r="AX66" s="49"/>
      <x:c r="AY66" s="49"/>
      <x:c r="AZ66" s="49"/>
    </x:row>
    <x:row r="67">
      <x:c r="A67" s="49"/>
      <x:c r="B67" s="49"/>
      <x:c r="C67" s="49"/>
      <x:c r="D67" s="49"/>
      <x:c r="E67" s="49"/>
      <x:c r="F67" s="49"/>
      <x:c r="G67" s="49"/>
      <x:c r="H67" s="49"/>
      <x:c r="I67" s="49"/>
      <x:c r="J67" s="49"/>
      <x:c r="K67" s="49"/>
      <x:c r="L67" s="49"/>
      <x:c r="M67" s="49"/>
      <x:c r="N67" s="49"/>
      <x:c r="O67" s="49"/>
      <x:c r="P67" s="49"/>
      <x:c r="Q67" s="49"/>
      <x:c r="R67" s="49"/>
      <x:c r="S67" s="49"/>
      <x:c r="T67" s="49"/>
      <x:c r="U67" s="49"/>
      <x:c r="V67" s="49"/>
      <x:c r="W67" s="49"/>
      <x:c r="X67" s="49"/>
      <x:c r="Y67" s="49"/>
      <x:c r="Z67" s="49"/>
      <x:c r="AA67" s="49"/>
      <x:c r="AB67" s="49"/>
      <x:c r="AC67" s="49"/>
      <x:c r="AD67" s="49"/>
      <x:c r="AE67" s="49"/>
      <x:c r="AF67" s="49"/>
      <x:c r="AG67" s="49"/>
      <x:c r="AH67" s="49"/>
      <x:c r="AI67" s="49"/>
      <x:c r="AJ67" s="49"/>
      <x:c r="AK67" s="49"/>
      <x:c r="AL67" s="49"/>
      <x:c r="AM67" s="49"/>
      <x:c r="AN67" s="49"/>
      <x:c r="AO67" s="49"/>
      <x:c r="AP67" s="49"/>
      <x:c r="AQ67" s="49"/>
      <x:c r="AR67" s="49"/>
      <x:c r="AS67" s="49"/>
      <x:c r="AT67" s="49"/>
      <x:c r="AU67" s="49"/>
      <x:c r="AV67" s="49"/>
      <x:c r="AW67" s="49"/>
      <x:c r="AX67" s="49"/>
      <x:c r="AY67" s="49"/>
      <x:c r="AZ67" s="49"/>
    </x:row>
    <x:row r="68">
      <x:c r="A68" s="49"/>
      <x:c r="B68" s="49"/>
      <x:c r="C68" s="49"/>
      <x:c r="D68" s="49"/>
      <x:c r="E68" s="49"/>
      <x:c r="F68" s="49"/>
      <x:c r="G68" s="49"/>
      <x:c r="H68" s="49"/>
      <x:c r="I68" s="49"/>
      <x:c r="J68" s="49"/>
      <x:c r="K68" s="49"/>
      <x:c r="L68" s="49"/>
      <x:c r="M68" s="49"/>
      <x:c r="N68" s="49"/>
      <x:c r="O68" s="49"/>
      <x:c r="P68" s="49"/>
      <x:c r="Q68" s="49"/>
      <x:c r="R68" s="49"/>
      <x:c r="S68" s="49"/>
      <x:c r="T68" s="49"/>
      <x:c r="U68" s="49"/>
      <x:c r="V68" s="49"/>
      <x:c r="W68" s="49"/>
      <x:c r="X68" s="49"/>
      <x:c r="Y68" s="49"/>
      <x:c r="Z68" s="49"/>
      <x:c r="AA68" s="49"/>
      <x:c r="AB68" s="49"/>
      <x:c r="AC68" s="49"/>
      <x:c r="AD68" s="49"/>
      <x:c r="AE68" s="49"/>
      <x:c r="AF68" s="49"/>
      <x:c r="AG68" s="49"/>
      <x:c r="AH68" s="49"/>
      <x:c r="AI68" s="49"/>
      <x:c r="AJ68" s="49"/>
      <x:c r="AK68" s="49"/>
      <x:c r="AL68" s="49"/>
      <x:c r="AM68" s="49"/>
      <x:c r="AN68" s="49"/>
      <x:c r="AO68" s="49"/>
      <x:c r="AP68" s="49"/>
      <x:c r="AQ68" s="49"/>
      <x:c r="AR68" s="49"/>
      <x:c r="AS68" s="49"/>
      <x:c r="AT68" s="49"/>
      <x:c r="AU68" s="49"/>
      <x:c r="AV68" s="49"/>
      <x:c r="AW68" s="49"/>
      <x:c r="AX68" s="49"/>
      <x:c r="AY68" s="49"/>
      <x:c r="AZ68" s="49"/>
    </x:row>
    <x:row r="69">
      <x:c r="A69" s="49"/>
      <x:c r="B69" s="49"/>
      <x:c r="C69" s="49"/>
      <x:c r="D69" s="49"/>
      <x:c r="E69" s="49"/>
      <x:c r="F69" s="49"/>
      <x:c r="G69" s="49"/>
      <x:c r="H69" s="49"/>
      <x:c r="I69" s="49"/>
      <x:c r="J69" s="49"/>
      <x:c r="K69" s="49"/>
      <x:c r="L69" s="49"/>
      <x:c r="M69" s="49"/>
      <x:c r="N69" s="49"/>
      <x:c r="O69" s="49"/>
      <x:c r="P69" s="49"/>
      <x:c r="Q69" s="49"/>
      <x:c r="R69" s="49"/>
      <x:c r="S69" s="49"/>
      <x:c r="T69" s="49"/>
      <x:c r="U69" s="49"/>
      <x:c r="V69" s="49"/>
      <x:c r="W69" s="49"/>
      <x:c r="X69" s="49"/>
      <x:c r="Y69" s="49"/>
      <x:c r="Z69" s="49"/>
      <x:c r="AA69" s="49"/>
      <x:c r="AB69" s="49"/>
      <x:c r="AC69" s="49"/>
      <x:c r="AD69" s="49"/>
      <x:c r="AE69" s="49"/>
      <x:c r="AF69" s="49"/>
      <x:c r="AG69" s="49"/>
      <x:c r="AH69" s="49"/>
      <x:c r="AI69" s="49"/>
      <x:c r="AJ69" s="49"/>
      <x:c r="AK69" s="49"/>
      <x:c r="AL69" s="49"/>
      <x:c r="AM69" s="49"/>
      <x:c r="AN69" s="49"/>
      <x:c r="AO69" s="49"/>
      <x:c r="AP69" s="49"/>
      <x:c r="AQ69" s="49"/>
      <x:c r="AR69" s="49"/>
      <x:c r="AS69" s="49"/>
      <x:c r="AT69" s="49"/>
      <x:c r="AU69" s="49"/>
      <x:c r="AV69" s="49"/>
      <x:c r="AW69" s="49"/>
      <x:c r="AX69" s="49"/>
      <x:c r="AY69" s="49"/>
      <x:c r="AZ69" s="49"/>
    </x:row>
    <x:row r="70">
      <x:c r="A70" s="49"/>
      <x:c r="B70" s="49"/>
      <x:c r="C70" s="49"/>
      <x:c r="D70" s="49"/>
      <x:c r="E70" s="49"/>
      <x:c r="F70" s="49"/>
      <x:c r="G70" s="49"/>
      <x:c r="H70" s="49"/>
      <x:c r="I70" s="49"/>
      <x:c r="J70" s="49"/>
      <x:c r="K70" s="49"/>
      <x:c r="L70" s="49"/>
      <x:c r="M70" s="49"/>
      <x:c r="N70" s="49"/>
      <x:c r="O70" s="49"/>
      <x:c r="P70" s="49"/>
      <x:c r="Q70" s="49"/>
      <x:c r="R70" s="49"/>
      <x:c r="S70" s="49"/>
      <x:c r="T70" s="49"/>
      <x:c r="U70" s="49"/>
      <x:c r="V70" s="49"/>
      <x:c r="W70" s="49"/>
      <x:c r="X70" s="49"/>
      <x:c r="Y70" s="49"/>
      <x:c r="Z70" s="49"/>
      <x:c r="AA70" s="49"/>
      <x:c r="AB70" s="49"/>
      <x:c r="AC70" s="49"/>
      <x:c r="AD70" s="49"/>
      <x:c r="AE70" s="49"/>
      <x:c r="AF70" s="49"/>
      <x:c r="AG70" s="49"/>
      <x:c r="AH70" s="49"/>
      <x:c r="AI70" s="49"/>
      <x:c r="AJ70" s="49"/>
      <x:c r="AK70" s="49"/>
      <x:c r="AL70" s="49"/>
      <x:c r="AM70" s="49"/>
      <x:c r="AN70" s="49"/>
      <x:c r="AO70" s="49"/>
      <x:c r="AP70" s="49"/>
      <x:c r="AQ70" s="49"/>
      <x:c r="AR70" s="49"/>
      <x:c r="AS70" s="49"/>
      <x:c r="AT70" s="49"/>
      <x:c r="AU70" s="49"/>
      <x:c r="AV70" s="49"/>
      <x:c r="AW70" s="49"/>
      <x:c r="AX70" s="49"/>
      <x:c r="AY70" s="49"/>
      <x:c r="AZ70" s="49"/>
    </x:row>
    <x:row r="71">
      <x:c r="A71" s="49"/>
      <x:c r="B71" s="49"/>
      <x:c r="C71" s="49"/>
      <x:c r="D71" s="49"/>
      <x:c r="E71" s="49"/>
      <x:c r="F71" s="49"/>
      <x:c r="G71" s="49"/>
      <x:c r="H71" s="49"/>
      <x:c r="I71" s="49"/>
      <x:c r="J71" s="49"/>
      <x:c r="K71" s="49"/>
      <x:c r="L71" s="49"/>
      <x:c r="M71" s="49"/>
      <x:c r="N71" s="49"/>
      <x:c r="O71" s="49"/>
      <x:c r="P71" s="49"/>
      <x:c r="Q71" s="49"/>
      <x:c r="R71" s="49"/>
      <x:c r="S71" s="49"/>
      <x:c r="T71" s="49"/>
      <x:c r="U71" s="49"/>
      <x:c r="V71" s="49"/>
      <x:c r="W71" s="49"/>
      <x:c r="X71" s="49"/>
      <x:c r="Y71" s="49"/>
      <x:c r="Z71" s="49"/>
      <x:c r="AA71" s="49"/>
      <x:c r="AB71" s="49"/>
      <x:c r="AC71" s="49"/>
      <x:c r="AD71" s="49"/>
      <x:c r="AE71" s="49"/>
      <x:c r="AF71" s="49"/>
      <x:c r="AG71" s="49"/>
      <x:c r="AH71" s="49"/>
      <x:c r="AI71" s="49"/>
      <x:c r="AJ71" s="49"/>
      <x:c r="AK71" s="49"/>
      <x:c r="AL71" s="49"/>
      <x:c r="AM71" s="49"/>
      <x:c r="AN71" s="49"/>
      <x:c r="AO71" s="49"/>
      <x:c r="AP71" s="49"/>
      <x:c r="AQ71" s="49"/>
      <x:c r="AR71" s="49"/>
      <x:c r="AS71" s="49"/>
      <x:c r="AT71" s="49"/>
      <x:c r="AU71" s="49"/>
      <x:c r="AV71" s="49"/>
      <x:c r="AW71" s="49"/>
      <x:c r="AX71" s="49"/>
      <x:c r="AY71" s="49"/>
      <x:c r="AZ71" s="49"/>
    </x:row>
    <x:row r="72">
      <x:c r="A72" s="49"/>
      <x:c r="B72" s="49"/>
      <x:c r="C72" s="49"/>
      <x:c r="D72" s="49"/>
      <x:c r="E72" s="49"/>
      <x:c r="F72" s="49"/>
      <x:c r="G72" s="49"/>
      <x:c r="H72" s="49"/>
      <x:c r="I72" s="49"/>
      <x:c r="J72" s="49"/>
      <x:c r="K72" s="49"/>
      <x:c r="L72" s="49"/>
      <x:c r="M72" s="49"/>
      <x:c r="N72" s="49"/>
      <x:c r="O72" s="49"/>
      <x:c r="P72" s="49"/>
      <x:c r="Q72" s="49"/>
      <x:c r="R72" s="49"/>
      <x:c r="S72" s="49"/>
      <x:c r="T72" s="49"/>
      <x:c r="U72" s="49"/>
      <x:c r="V72" s="49"/>
      <x:c r="W72" s="49"/>
      <x:c r="X72" s="49"/>
      <x:c r="Y72" s="49"/>
      <x:c r="Z72" s="49"/>
      <x:c r="AA72" s="49"/>
      <x:c r="AB72" s="49"/>
      <x:c r="AC72" s="49"/>
      <x:c r="AD72" s="49"/>
      <x:c r="AE72" s="49"/>
      <x:c r="AF72" s="49"/>
      <x:c r="AG72" s="49"/>
      <x:c r="AH72" s="49"/>
      <x:c r="AI72" s="49"/>
      <x:c r="AJ72" s="49"/>
      <x:c r="AK72" s="49"/>
      <x:c r="AL72" s="49"/>
      <x:c r="AM72" s="49"/>
      <x:c r="AN72" s="49"/>
      <x:c r="AO72" s="49"/>
      <x:c r="AP72" s="49"/>
      <x:c r="AQ72" s="49"/>
      <x:c r="AR72" s="49"/>
      <x:c r="AS72" s="49"/>
      <x:c r="AT72" s="49"/>
      <x:c r="AU72" s="49"/>
      <x:c r="AV72" s="49"/>
      <x:c r="AW72" s="49"/>
      <x:c r="AX72" s="49"/>
      <x:c r="AY72" s="49"/>
      <x:c r="AZ72" s="49"/>
    </x:row>
    <x:row r="73">
      <x:c r="A73" s="49"/>
      <x:c r="B73" s="49"/>
      <x:c r="C73" s="49"/>
      <x:c r="D73" s="49"/>
      <x:c r="E73" s="49"/>
      <x:c r="F73" s="49"/>
      <x:c r="G73" s="49"/>
      <x:c r="H73" s="49"/>
      <x:c r="I73" s="49"/>
      <x:c r="J73" s="49"/>
      <x:c r="K73" s="49"/>
      <x:c r="L73" s="49"/>
      <x:c r="M73" s="49"/>
      <x:c r="N73" s="49"/>
      <x:c r="O73" s="49"/>
      <x:c r="P73" s="49"/>
      <x:c r="Q73" s="49"/>
      <x:c r="R73" s="49"/>
      <x:c r="S73" s="49"/>
      <x:c r="T73" s="49"/>
      <x:c r="U73" s="49"/>
      <x:c r="V73" s="49"/>
      <x:c r="W73" s="49"/>
      <x:c r="X73" s="49"/>
      <x:c r="Y73" s="49"/>
      <x:c r="Z73" s="49"/>
      <x:c r="AA73" s="49"/>
      <x:c r="AB73" s="49"/>
      <x:c r="AC73" s="49"/>
      <x:c r="AD73" s="49"/>
      <x:c r="AE73" s="49"/>
      <x:c r="AF73" s="49"/>
      <x:c r="AG73" s="49"/>
      <x:c r="AH73" s="49"/>
      <x:c r="AI73" s="49"/>
      <x:c r="AJ73" s="49"/>
      <x:c r="AK73" s="49"/>
      <x:c r="AL73" s="49"/>
      <x:c r="AM73" s="49"/>
      <x:c r="AN73" s="49"/>
      <x:c r="AO73" s="49"/>
      <x:c r="AP73" s="49"/>
      <x:c r="AQ73" s="49"/>
      <x:c r="AR73" s="49"/>
      <x:c r="AS73" s="49"/>
      <x:c r="AT73" s="49"/>
      <x:c r="AU73" s="49"/>
      <x:c r="AV73" s="49"/>
      <x:c r="AW73" s="49"/>
      <x:c r="AX73" s="49"/>
      <x:c r="AY73" s="49"/>
      <x:c r="AZ73" s="49"/>
    </x:row>
    <x:row r="74">
      <x:c r="A74" s="49"/>
      <x:c r="B74" s="49"/>
      <x:c r="C74" s="49"/>
      <x:c r="D74" s="49"/>
      <x:c r="E74" s="49"/>
      <x:c r="F74" s="49"/>
      <x:c r="G74" s="49"/>
      <x:c r="H74" s="49"/>
      <x:c r="I74" s="49"/>
      <x:c r="J74" s="49"/>
      <x:c r="K74" s="49"/>
      <x:c r="L74" s="49"/>
      <x:c r="M74" s="49"/>
      <x:c r="N74" s="49"/>
      <x:c r="O74" s="49"/>
      <x:c r="P74" s="49"/>
      <x:c r="Q74" s="49"/>
      <x:c r="R74" s="49"/>
      <x:c r="S74" s="49"/>
      <x:c r="T74" s="49"/>
      <x:c r="U74" s="49"/>
      <x:c r="V74" s="49"/>
      <x:c r="W74" s="49"/>
      <x:c r="X74" s="49"/>
      <x:c r="Y74" s="49"/>
      <x:c r="Z74" s="49"/>
      <x:c r="AA74" s="49"/>
      <x:c r="AB74" s="49"/>
      <x:c r="AC74" s="49"/>
      <x:c r="AD74" s="49"/>
      <x:c r="AE74" s="49"/>
      <x:c r="AF74" s="49"/>
      <x:c r="AG74" s="49"/>
      <x:c r="AH74" s="49"/>
      <x:c r="AI74" s="49"/>
      <x:c r="AJ74" s="49"/>
      <x:c r="AK74" s="49"/>
      <x:c r="AL74" s="49"/>
      <x:c r="AM74" s="49"/>
      <x:c r="AN74" s="49"/>
      <x:c r="AO74" s="49"/>
      <x:c r="AP74" s="49"/>
      <x:c r="AQ74" s="49"/>
      <x:c r="AR74" s="49"/>
      <x:c r="AS74" s="49"/>
      <x:c r="AT74" s="49"/>
      <x:c r="AU74" s="49"/>
      <x:c r="AV74" s="49"/>
      <x:c r="AW74" s="49"/>
      <x:c r="AX74" s="49"/>
      <x:c r="AY74" s="49"/>
      <x:c r="AZ74" s="49"/>
    </x:row>
    <x:row r="75">
      <x:c r="A75" s="49"/>
      <x:c r="B75" s="49"/>
      <x:c r="C75" s="49"/>
      <x:c r="D75" s="49"/>
      <x:c r="E75" s="49"/>
      <x:c r="F75" s="49"/>
      <x:c r="G75" s="49"/>
      <x:c r="H75" s="49"/>
      <x:c r="I75" s="49"/>
      <x:c r="J75" s="49"/>
      <x:c r="K75" s="49"/>
      <x:c r="L75" s="49"/>
      <x:c r="M75" s="49"/>
      <x:c r="N75" s="49"/>
      <x:c r="O75" s="49"/>
      <x:c r="P75" s="49"/>
      <x:c r="Q75" s="49"/>
      <x:c r="R75" s="49"/>
      <x:c r="S75" s="49"/>
      <x:c r="T75" s="49"/>
      <x:c r="U75" s="49"/>
      <x:c r="V75" s="49"/>
      <x:c r="W75" s="49"/>
      <x:c r="X75" s="49"/>
      <x:c r="Y75" s="49"/>
      <x:c r="Z75" s="49"/>
      <x:c r="AA75" s="49"/>
      <x:c r="AB75" s="49"/>
      <x:c r="AC75" s="49"/>
      <x:c r="AD75" s="49"/>
      <x:c r="AE75" s="49"/>
      <x:c r="AF75" s="49"/>
      <x:c r="AG75" s="49"/>
      <x:c r="AH75" s="49"/>
      <x:c r="AI75" s="49"/>
      <x:c r="AJ75" s="49"/>
      <x:c r="AK75" s="49"/>
      <x:c r="AL75" s="49"/>
      <x:c r="AM75" s="49"/>
      <x:c r="AN75" s="49"/>
      <x:c r="AO75" s="49"/>
      <x:c r="AP75" s="49"/>
      <x:c r="AQ75" s="49"/>
      <x:c r="AR75" s="49"/>
      <x:c r="AS75" s="49"/>
      <x:c r="AT75" s="49"/>
      <x:c r="AU75" s="49"/>
      <x:c r="AV75" s="49"/>
      <x:c r="AW75" s="49"/>
      <x:c r="AX75" s="49"/>
      <x:c r="AY75" s="49"/>
      <x:c r="AZ75" s="49"/>
    </x:row>
    <x:row r="76">
      <x:c r="A76" s="49"/>
      <x:c r="B76" s="49"/>
      <x:c r="C76" s="49"/>
      <x:c r="D76" s="49"/>
      <x:c r="E76" s="49"/>
      <x:c r="F76" s="49"/>
      <x:c r="G76" s="49"/>
      <x:c r="H76" s="49"/>
      <x:c r="I76" s="49"/>
      <x:c r="J76" s="49"/>
      <x:c r="K76" s="49"/>
      <x:c r="L76" s="49"/>
      <x:c r="M76" s="49"/>
      <x:c r="N76" s="49"/>
      <x:c r="O76" s="49"/>
      <x:c r="P76" s="49"/>
      <x:c r="Q76" s="49"/>
      <x:c r="R76" s="49"/>
      <x:c r="S76" s="49"/>
      <x:c r="T76" s="49"/>
      <x:c r="U76" s="49"/>
      <x:c r="V76" s="49"/>
      <x:c r="W76" s="49"/>
      <x:c r="X76" s="49"/>
      <x:c r="Y76" s="49"/>
      <x:c r="Z76" s="49"/>
      <x:c r="AA76" s="49"/>
      <x:c r="AB76" s="49"/>
      <x:c r="AC76" s="49"/>
      <x:c r="AD76" s="49"/>
      <x:c r="AE76" s="49"/>
      <x:c r="AF76" s="49"/>
      <x:c r="AG76" s="49"/>
      <x:c r="AH76" s="49"/>
      <x:c r="AI76" s="49"/>
      <x:c r="AJ76" s="49"/>
      <x:c r="AK76" s="49"/>
      <x:c r="AL76" s="49"/>
      <x:c r="AM76" s="49"/>
      <x:c r="AN76" s="49"/>
      <x:c r="AO76" s="49"/>
      <x:c r="AP76" s="49"/>
      <x:c r="AQ76" s="49"/>
      <x:c r="AR76" s="49"/>
      <x:c r="AS76" s="49"/>
      <x:c r="AT76" s="49"/>
      <x:c r="AU76" s="49"/>
      <x:c r="AV76" s="49"/>
      <x:c r="AW76" s="49"/>
      <x:c r="AX76" s="49"/>
      <x:c r="AY76" s="49"/>
      <x:c r="AZ76" s="49"/>
    </x:row>
    <x:row r="77">
      <x:c r="A77" s="49"/>
      <x:c r="B77" s="49"/>
      <x:c r="C77" s="49"/>
      <x:c r="D77" s="49"/>
      <x:c r="E77" s="49"/>
      <x:c r="F77" s="49"/>
      <x:c r="G77" s="49"/>
      <x:c r="H77" s="49"/>
      <x:c r="I77" s="49"/>
      <x:c r="J77" s="49"/>
      <x:c r="K77" s="49"/>
      <x:c r="L77" s="49"/>
      <x:c r="M77" s="49"/>
      <x:c r="N77" s="49"/>
      <x:c r="O77" s="49"/>
      <x:c r="P77" s="49"/>
      <x:c r="Q77" s="49"/>
      <x:c r="R77" s="49"/>
      <x:c r="S77" s="49"/>
      <x:c r="T77" s="49"/>
      <x:c r="U77" s="49"/>
      <x:c r="V77" s="49"/>
      <x:c r="W77" s="49"/>
      <x:c r="X77" s="49"/>
      <x:c r="Y77" s="49"/>
      <x:c r="Z77" s="49"/>
      <x:c r="AA77" s="49"/>
      <x:c r="AB77" s="49"/>
      <x:c r="AC77" s="49"/>
      <x:c r="AD77" s="49"/>
      <x:c r="AE77" s="49"/>
      <x:c r="AF77" s="49"/>
      <x:c r="AG77" s="49"/>
      <x:c r="AH77" s="49"/>
      <x:c r="AI77" s="49"/>
      <x:c r="AJ77" s="49"/>
      <x:c r="AK77" s="49"/>
      <x:c r="AL77" s="49"/>
      <x:c r="AM77" s="49"/>
      <x:c r="AN77" s="49"/>
      <x:c r="AO77" s="49"/>
      <x:c r="AP77" s="49"/>
      <x:c r="AQ77" s="49"/>
      <x:c r="AR77" s="49"/>
      <x:c r="AS77" s="49"/>
      <x:c r="AT77" s="49"/>
      <x:c r="AU77" s="49"/>
      <x:c r="AV77" s="49"/>
      <x:c r="AW77" s="49"/>
      <x:c r="AX77" s="49"/>
      <x:c r="AY77" s="49"/>
      <x:c r="AZ77" s="49"/>
    </x:row>
    <x:row r="78">
      <x:c r="A78" s="49"/>
      <x:c r="B78" s="49"/>
      <x:c r="C78" s="49"/>
      <x:c r="D78" s="49"/>
      <x:c r="E78" s="49"/>
      <x:c r="F78" s="49"/>
      <x:c r="G78" s="49"/>
      <x:c r="H78" s="49"/>
      <x:c r="I78" s="49"/>
      <x:c r="J78" s="49"/>
      <x:c r="K78" s="49"/>
      <x:c r="L78" s="49"/>
      <x:c r="M78" s="49"/>
      <x:c r="N78" s="49"/>
      <x:c r="O78" s="49"/>
      <x:c r="P78" s="49"/>
      <x:c r="Q78" s="49"/>
      <x:c r="R78" s="49"/>
      <x:c r="S78" s="49"/>
      <x:c r="T78" s="49"/>
      <x:c r="U78" s="49"/>
      <x:c r="V78" s="49"/>
      <x:c r="W78" s="49"/>
      <x:c r="X78" s="49"/>
      <x:c r="Y78" s="49"/>
      <x:c r="Z78" s="49"/>
      <x:c r="AA78" s="49"/>
      <x:c r="AB78" s="49"/>
      <x:c r="AC78" s="49"/>
      <x:c r="AD78" s="49"/>
      <x:c r="AE78" s="49"/>
      <x:c r="AF78" s="49"/>
      <x:c r="AG78" s="49"/>
      <x:c r="AH78" s="49"/>
      <x:c r="AI78" s="49"/>
      <x:c r="AJ78" s="49"/>
      <x:c r="AK78" s="49"/>
      <x:c r="AL78" s="49"/>
      <x:c r="AM78" s="49"/>
      <x:c r="AN78" s="49"/>
      <x:c r="AO78" s="49"/>
      <x:c r="AP78" s="49"/>
      <x:c r="AQ78" s="49"/>
      <x:c r="AR78" s="49"/>
      <x:c r="AS78" s="49"/>
      <x:c r="AT78" s="49"/>
      <x:c r="AU78" s="49"/>
      <x:c r="AV78" s="49"/>
      <x:c r="AW78" s="49"/>
      <x:c r="AX78" s="49"/>
      <x:c r="AY78" s="49"/>
      <x:c r="AZ78" s="49"/>
    </x:row>
    <x:row r="79">
      <x:c r="A79" s="49"/>
      <x:c r="B79" s="49"/>
      <x:c r="C79" s="49"/>
      <x:c r="D79" s="49"/>
      <x:c r="E79" s="49"/>
      <x:c r="F79" s="49"/>
      <x:c r="G79" s="49"/>
      <x:c r="H79" s="49"/>
      <x:c r="I79" s="49"/>
      <x:c r="J79" s="49"/>
      <x:c r="K79" s="49"/>
      <x:c r="L79" s="49"/>
      <x:c r="M79" s="49"/>
      <x:c r="N79" s="49"/>
      <x:c r="O79" s="49"/>
      <x:c r="P79" s="49"/>
      <x:c r="Q79" s="49"/>
      <x:c r="R79" s="49"/>
      <x:c r="S79" s="49"/>
      <x:c r="T79" s="49"/>
      <x:c r="U79" s="49"/>
      <x:c r="V79" s="49"/>
      <x:c r="W79" s="49"/>
      <x:c r="X79" s="49"/>
      <x:c r="Y79" s="49"/>
      <x:c r="Z79" s="49"/>
      <x:c r="AA79" s="49"/>
      <x:c r="AB79" s="49"/>
      <x:c r="AC79" s="49"/>
      <x:c r="AD79" s="49"/>
      <x:c r="AE79" s="49"/>
      <x:c r="AF79" s="49"/>
      <x:c r="AG79" s="49"/>
      <x:c r="AH79" s="49"/>
      <x:c r="AI79" s="49"/>
      <x:c r="AJ79" s="49"/>
      <x:c r="AK79" s="49"/>
      <x:c r="AL79" s="49"/>
      <x:c r="AM79" s="49"/>
      <x:c r="AN79" s="49"/>
      <x:c r="AO79" s="49"/>
      <x:c r="AP79" s="49"/>
      <x:c r="AQ79" s="49"/>
      <x:c r="AR79" s="49"/>
      <x:c r="AS79" s="49"/>
      <x:c r="AT79" s="49"/>
      <x:c r="AU79" s="49"/>
      <x:c r="AV79" s="49"/>
      <x:c r="AW79" s="49"/>
      <x:c r="AX79" s="49"/>
      <x:c r="AY79" s="49"/>
      <x:c r="AZ79" s="49"/>
    </x:row>
    <x:row r="80">
      <x:c r="A80" s="49"/>
      <x:c r="B80" s="49"/>
      <x:c r="C80" s="49"/>
      <x:c r="D80" s="49"/>
      <x:c r="E80" s="49"/>
      <x:c r="F80" s="49"/>
      <x:c r="G80" s="49"/>
      <x:c r="H80" s="49"/>
      <x:c r="I80" s="49"/>
      <x:c r="J80" s="49"/>
      <x:c r="K80" s="49"/>
      <x:c r="L80" s="49"/>
      <x:c r="M80" s="49"/>
      <x:c r="N80" s="49"/>
      <x:c r="O80" s="49"/>
      <x:c r="P80" s="49"/>
      <x:c r="Q80" s="49"/>
      <x:c r="R80" s="49"/>
      <x:c r="S80" s="49"/>
      <x:c r="T80" s="49"/>
      <x:c r="U80" s="49"/>
      <x:c r="V80" s="49"/>
      <x:c r="W80" s="49"/>
      <x:c r="X80" s="49"/>
      <x:c r="Y80" s="49"/>
      <x:c r="Z80" s="49"/>
      <x:c r="AA80" s="49"/>
      <x:c r="AB80" s="49"/>
      <x:c r="AC80" s="49"/>
      <x:c r="AD80" s="49"/>
      <x:c r="AE80" s="49"/>
      <x:c r="AF80" s="49"/>
      <x:c r="AG80" s="49"/>
      <x:c r="AH80" s="49"/>
      <x:c r="AI80" s="49"/>
      <x:c r="AJ80" s="49"/>
      <x:c r="AK80" s="49"/>
      <x:c r="AL80" s="49"/>
      <x:c r="AM80" s="49"/>
      <x:c r="AN80" s="49"/>
      <x:c r="AO80" s="49"/>
      <x:c r="AP80" s="49"/>
      <x:c r="AQ80" s="49"/>
      <x:c r="AR80" s="49"/>
      <x:c r="AS80" s="49"/>
      <x:c r="AT80" s="49"/>
      <x:c r="AU80" s="49"/>
      <x:c r="AV80" s="49"/>
      <x:c r="AW80" s="49"/>
      <x:c r="AX80" s="49"/>
      <x:c r="AY80" s="49"/>
      <x:c r="AZ80" s="49"/>
    </x:row>
    <x:row r="81">
      <x:c r="A81" s="49"/>
      <x:c r="B81" s="49"/>
      <x:c r="C81" s="49"/>
      <x:c r="D81" s="49"/>
      <x:c r="E81" s="49"/>
      <x:c r="F81" s="49"/>
      <x:c r="G81" s="49"/>
      <x:c r="H81" s="49"/>
      <x:c r="I81" s="49"/>
      <x:c r="J81" s="49"/>
      <x:c r="K81" s="49"/>
      <x:c r="L81" s="49"/>
      <x:c r="M81" s="49"/>
      <x:c r="N81" s="49"/>
      <x:c r="O81" s="49"/>
      <x:c r="P81" s="49"/>
      <x:c r="Q81" s="49"/>
      <x:c r="R81" s="49"/>
      <x:c r="S81" s="49"/>
      <x:c r="T81" s="49"/>
      <x:c r="U81" s="49"/>
      <x:c r="V81" s="49"/>
      <x:c r="W81" s="49"/>
      <x:c r="X81" s="49"/>
      <x:c r="Y81" s="49"/>
      <x:c r="Z81" s="49"/>
      <x:c r="AA81" s="49"/>
      <x:c r="AB81" s="49"/>
      <x:c r="AC81" s="49"/>
      <x:c r="AD81" s="49"/>
      <x:c r="AE81" s="49"/>
      <x:c r="AF81" s="49"/>
      <x:c r="AG81" s="49"/>
      <x:c r="AH81" s="49"/>
      <x:c r="AI81" s="49"/>
      <x:c r="AJ81" s="49"/>
      <x:c r="AK81" s="49"/>
      <x:c r="AL81" s="49"/>
      <x:c r="AM81" s="49"/>
      <x:c r="AN81" s="49"/>
      <x:c r="AO81" s="49"/>
      <x:c r="AP81" s="49"/>
      <x:c r="AQ81" s="49"/>
      <x:c r="AR81" s="49"/>
      <x:c r="AS81" s="49"/>
      <x:c r="AT81" s="49"/>
      <x:c r="AU81" s="49"/>
      <x:c r="AV81" s="49"/>
      <x:c r="AW81" s="49"/>
      <x:c r="AX81" s="49"/>
      <x:c r="AY81" s="49"/>
      <x:c r="AZ81" s="49"/>
    </x:row>
    <x:row r="82">
      <x:c r="A82" s="49"/>
      <x:c r="B82" s="49"/>
      <x:c r="C82" s="49"/>
      <x:c r="D82" s="49"/>
      <x:c r="E82" s="49"/>
      <x:c r="F82" s="49"/>
      <x:c r="G82" s="49"/>
      <x:c r="H82" s="49"/>
      <x:c r="I82" s="49"/>
      <x:c r="J82" s="49"/>
      <x:c r="K82" s="49"/>
      <x:c r="L82" s="49"/>
      <x:c r="M82" s="49"/>
      <x:c r="N82" s="49"/>
      <x:c r="O82" s="49"/>
      <x:c r="P82" s="49"/>
      <x:c r="Q82" s="49"/>
      <x:c r="R82" s="49"/>
      <x:c r="S82" s="49"/>
      <x:c r="T82" s="49"/>
      <x:c r="U82" s="49"/>
      <x:c r="V82" s="49"/>
      <x:c r="W82" s="49"/>
      <x:c r="X82" s="49"/>
      <x:c r="Y82" s="49"/>
      <x:c r="Z82" s="49"/>
      <x:c r="AA82" s="49"/>
      <x:c r="AB82" s="49"/>
      <x:c r="AC82" s="49"/>
      <x:c r="AD82" s="49"/>
      <x:c r="AE82" s="49"/>
      <x:c r="AF82" s="49"/>
      <x:c r="AG82" s="49"/>
      <x:c r="AH82" s="49"/>
      <x:c r="AI82" s="49"/>
      <x:c r="AJ82" s="49"/>
      <x:c r="AK82" s="49"/>
      <x:c r="AL82" s="49"/>
      <x:c r="AM82" s="49"/>
      <x:c r="AN82" s="49"/>
      <x:c r="AO82" s="49"/>
      <x:c r="AP82" s="49"/>
      <x:c r="AQ82" s="49"/>
      <x:c r="AR82" s="49"/>
      <x:c r="AS82" s="49"/>
      <x:c r="AT82" s="49"/>
      <x:c r="AU82" s="49"/>
      <x:c r="AV82" s="49"/>
      <x:c r="AW82" s="49"/>
      <x:c r="AX82" s="49"/>
      <x:c r="AY82" s="49"/>
      <x:c r="AZ82" s="49"/>
    </x:row>
    <x:row r="83">
      <x:c r="A83" s="49"/>
      <x:c r="B83" s="49"/>
      <x:c r="C83" s="49"/>
      <x:c r="D83" s="49"/>
      <x:c r="E83" s="49"/>
      <x:c r="F83" s="49"/>
      <x:c r="G83" s="49"/>
      <x:c r="H83" s="49"/>
      <x:c r="I83" s="49"/>
      <x:c r="J83" s="49"/>
      <x:c r="K83" s="49"/>
      <x:c r="L83" s="49"/>
      <x:c r="M83" s="49"/>
      <x:c r="N83" s="49"/>
      <x:c r="O83" s="49"/>
      <x:c r="P83" s="49"/>
      <x:c r="Q83" s="49"/>
      <x:c r="R83" s="49"/>
      <x:c r="S83" s="49"/>
      <x:c r="T83" s="49"/>
      <x:c r="U83" s="49"/>
      <x:c r="V83" s="49"/>
      <x:c r="W83" s="49"/>
      <x:c r="X83" s="49"/>
      <x:c r="Y83" s="49"/>
      <x:c r="Z83" s="49"/>
      <x:c r="AA83" s="49"/>
      <x:c r="AB83" s="49"/>
      <x:c r="AC83" s="49"/>
      <x:c r="AD83" s="49"/>
      <x:c r="AE83" s="49"/>
      <x:c r="AF83" s="49"/>
      <x:c r="AG83" s="49"/>
      <x:c r="AH83" s="49"/>
      <x:c r="AI83" s="49"/>
      <x:c r="AJ83" s="49"/>
      <x:c r="AK83" s="49"/>
      <x:c r="AL83" s="49"/>
      <x:c r="AM83" s="49"/>
      <x:c r="AN83" s="49"/>
      <x:c r="AO83" s="49"/>
      <x:c r="AP83" s="49"/>
      <x:c r="AQ83" s="49"/>
      <x:c r="AR83" s="49"/>
      <x:c r="AS83" s="49"/>
      <x:c r="AT83" s="49"/>
      <x:c r="AU83" s="49"/>
      <x:c r="AV83" s="49"/>
      <x:c r="AW83" s="49"/>
      <x:c r="AX83" s="49"/>
      <x:c r="AY83" s="49"/>
      <x:c r="AZ83" s="49"/>
    </x:row>
    <x:row r="84">
      <x:c r="A84" s="49"/>
      <x:c r="B84" s="49"/>
      <x:c r="C84" s="49"/>
      <x:c r="D84" s="49"/>
      <x:c r="E84" s="49"/>
      <x:c r="F84" s="49"/>
      <x:c r="G84" s="49"/>
      <x:c r="H84" s="49"/>
      <x:c r="I84" s="49"/>
      <x:c r="J84" s="49"/>
      <x:c r="K84" s="49"/>
      <x:c r="L84" s="49"/>
      <x:c r="M84" s="49"/>
      <x:c r="N84" s="49"/>
      <x:c r="O84" s="49"/>
      <x:c r="P84" s="49"/>
      <x:c r="Q84" s="49"/>
      <x:c r="R84" s="49"/>
      <x:c r="S84" s="49"/>
      <x:c r="T84" s="49"/>
      <x:c r="U84" s="49"/>
      <x:c r="V84" s="49"/>
      <x:c r="W84" s="49"/>
      <x:c r="X84" s="49"/>
      <x:c r="Y84" s="49"/>
      <x:c r="Z84" s="49"/>
      <x:c r="AA84" s="49"/>
      <x:c r="AB84" s="49"/>
      <x:c r="AC84" s="49"/>
      <x:c r="AD84" s="49"/>
      <x:c r="AE84" s="49"/>
      <x:c r="AF84" s="49"/>
      <x:c r="AG84" s="49"/>
      <x:c r="AH84" s="49"/>
      <x:c r="AI84" s="49"/>
      <x:c r="AJ84" s="49"/>
      <x:c r="AK84" s="49"/>
      <x:c r="AL84" s="49"/>
      <x:c r="AM84" s="49"/>
      <x:c r="AN84" s="49"/>
      <x:c r="AO84" s="49"/>
      <x:c r="AP84" s="49"/>
      <x:c r="AQ84" s="49"/>
      <x:c r="AR84" s="49"/>
      <x:c r="AS84" s="49"/>
      <x:c r="AT84" s="49"/>
      <x:c r="AU84" s="49"/>
      <x:c r="AV84" s="49"/>
      <x:c r="AW84" s="49"/>
      <x:c r="AX84" s="49"/>
      <x:c r="AY84" s="49"/>
      <x:c r="AZ84" s="49"/>
    </x:row>
    <x:row r="85">
      <x:c r="A85" s="49"/>
      <x:c r="B85" s="49"/>
      <x:c r="C85" s="49"/>
      <x:c r="D85" s="49"/>
      <x:c r="E85" s="49"/>
      <x:c r="F85" s="49"/>
      <x:c r="G85" s="49"/>
      <x:c r="H85" s="49"/>
      <x:c r="I85" s="49"/>
      <x:c r="J85" s="49"/>
      <x:c r="K85" s="49"/>
      <x:c r="L85" s="49"/>
      <x:c r="M85" s="49"/>
      <x:c r="N85" s="49"/>
      <x:c r="O85" s="49"/>
      <x:c r="P85" s="49"/>
      <x:c r="Q85" s="49"/>
      <x:c r="R85" s="49"/>
      <x:c r="S85" s="49"/>
      <x:c r="T85" s="49"/>
      <x:c r="U85" s="49"/>
      <x:c r="V85" s="49"/>
      <x:c r="W85" s="49"/>
      <x:c r="X85" s="49"/>
      <x:c r="Y85" s="49"/>
      <x:c r="Z85" s="49"/>
      <x:c r="AA85" s="49"/>
      <x:c r="AB85" s="49"/>
      <x:c r="AC85" s="49"/>
      <x:c r="AD85" s="49"/>
      <x:c r="AE85" s="49"/>
      <x:c r="AF85" s="49"/>
      <x:c r="AG85" s="49"/>
      <x:c r="AH85" s="49"/>
      <x:c r="AI85" s="49"/>
      <x:c r="AJ85" s="49"/>
      <x:c r="AK85" s="49"/>
      <x:c r="AL85" s="49"/>
      <x:c r="AM85" s="49"/>
      <x:c r="AN85" s="49"/>
      <x:c r="AO85" s="49"/>
      <x:c r="AP85" s="49"/>
      <x:c r="AQ85" s="49"/>
      <x:c r="AR85" s="49"/>
      <x:c r="AS85" s="49"/>
      <x:c r="AT85" s="49"/>
      <x:c r="AU85" s="49"/>
      <x:c r="AV85" s="49"/>
      <x:c r="AW85" s="49"/>
      <x:c r="AX85" s="49"/>
      <x:c r="AY85" s="49"/>
      <x:c r="AZ85" s="49"/>
    </x:row>
    <x:row r="86">
      <x:c r="A86" s="49"/>
      <x:c r="B86" s="49"/>
      <x:c r="C86" s="49"/>
      <x:c r="D86" s="49"/>
      <x:c r="E86" s="49"/>
      <x:c r="F86" s="49"/>
      <x:c r="G86" s="49"/>
      <x:c r="H86" s="49"/>
      <x:c r="I86" s="49"/>
      <x:c r="J86" s="49"/>
      <x:c r="K86" s="49"/>
      <x:c r="L86" s="49"/>
      <x:c r="M86" s="49"/>
      <x:c r="N86" s="49"/>
      <x:c r="O86" s="49"/>
      <x:c r="P86" s="49"/>
      <x:c r="Q86" s="49"/>
      <x:c r="R86" s="49"/>
      <x:c r="S86" s="49"/>
      <x:c r="T86" s="49"/>
      <x:c r="U86" s="49"/>
      <x:c r="V86" s="49"/>
      <x:c r="W86" s="49"/>
      <x:c r="X86" s="49"/>
      <x:c r="Y86" s="49"/>
      <x:c r="Z86" s="49"/>
      <x:c r="AA86" s="49"/>
      <x:c r="AB86" s="49"/>
      <x:c r="AC86" s="49"/>
      <x:c r="AD86" s="49"/>
      <x:c r="AE86" s="49"/>
      <x:c r="AF86" s="49"/>
      <x:c r="AG86" s="49"/>
      <x:c r="AH86" s="49"/>
      <x:c r="AI86" s="49"/>
      <x:c r="AJ86" s="49"/>
      <x:c r="AK86" s="49"/>
      <x:c r="AL86" s="49"/>
      <x:c r="AM86" s="49"/>
      <x:c r="AN86" s="49"/>
      <x:c r="AO86" s="49"/>
      <x:c r="AP86" s="49"/>
      <x:c r="AQ86" s="49"/>
      <x:c r="AR86" s="49"/>
      <x:c r="AS86" s="49"/>
      <x:c r="AT86" s="49"/>
      <x:c r="AU86" s="49"/>
      <x:c r="AV86" s="49"/>
      <x:c r="AW86" s="49"/>
      <x:c r="AX86" s="49"/>
      <x:c r="AY86" s="49"/>
      <x:c r="AZ86" s="49"/>
    </x:row>
    <x:row r="87">
      <x:c r="A87" s="49"/>
      <x:c r="B87" s="49"/>
      <x:c r="C87" s="49"/>
      <x:c r="D87" s="49"/>
      <x:c r="E87" s="49"/>
      <x:c r="F87" s="49"/>
      <x:c r="G87" s="49"/>
      <x:c r="H87" s="49"/>
      <x:c r="I87" s="49"/>
      <x:c r="J87" s="49"/>
      <x:c r="K87" s="49"/>
      <x:c r="L87" s="49"/>
      <x:c r="M87" s="49"/>
      <x:c r="N87" s="49"/>
      <x:c r="O87" s="49"/>
      <x:c r="P87" s="49"/>
      <x:c r="Q87" s="49"/>
      <x:c r="R87" s="49"/>
      <x:c r="S87" s="49"/>
      <x:c r="T87" s="49"/>
      <x:c r="U87" s="49"/>
      <x:c r="V87" s="49"/>
      <x:c r="W87" s="49"/>
      <x:c r="X87" s="49"/>
      <x:c r="Y87" s="49"/>
      <x:c r="Z87" s="49"/>
      <x:c r="AA87" s="49"/>
      <x:c r="AB87" s="49"/>
      <x:c r="AC87" s="49"/>
      <x:c r="AD87" s="49"/>
      <x:c r="AE87" s="49"/>
      <x:c r="AF87" s="49"/>
      <x:c r="AG87" s="49"/>
      <x:c r="AH87" s="49"/>
      <x:c r="AI87" s="49"/>
      <x:c r="AJ87" s="49"/>
      <x:c r="AK87" s="49"/>
      <x:c r="AL87" s="49"/>
      <x:c r="AM87" s="49"/>
      <x:c r="AN87" s="49"/>
      <x:c r="AO87" s="49"/>
      <x:c r="AP87" s="49"/>
      <x:c r="AQ87" s="49"/>
      <x:c r="AR87" s="49"/>
      <x:c r="AS87" s="49"/>
      <x:c r="AT87" s="49"/>
      <x:c r="AU87" s="49"/>
      <x:c r="AV87" s="49"/>
      <x:c r="AW87" s="49"/>
      <x:c r="AX87" s="49"/>
      <x:c r="AY87" s="49"/>
      <x:c r="AZ87" s="49"/>
    </x:row>
    <x:row r="88">
      <x:c r="A88" s="49"/>
      <x:c r="B88" s="49"/>
      <x:c r="C88" s="49"/>
      <x:c r="D88" s="49"/>
      <x:c r="E88" s="49"/>
      <x:c r="F88" s="49"/>
      <x:c r="G88" s="49"/>
      <x:c r="H88" s="49"/>
      <x:c r="I88" s="49"/>
      <x:c r="J88" s="49"/>
      <x:c r="K88" s="49"/>
      <x:c r="L88" s="49"/>
      <x:c r="M88" s="49"/>
      <x:c r="N88" s="49"/>
      <x:c r="O88" s="49"/>
      <x:c r="P88" s="49"/>
      <x:c r="Q88" s="49"/>
      <x:c r="R88" s="49"/>
      <x:c r="S88" s="49"/>
      <x:c r="T88" s="49"/>
      <x:c r="U88" s="49"/>
      <x:c r="V88" s="49"/>
      <x:c r="W88" s="49"/>
      <x:c r="X88" s="49"/>
      <x:c r="Y88" s="49"/>
      <x:c r="Z88" s="49"/>
      <x:c r="AA88" s="49"/>
      <x:c r="AB88" s="49"/>
      <x:c r="AC88" s="49"/>
      <x:c r="AD88" s="49"/>
      <x:c r="AE88" s="49"/>
      <x:c r="AF88" s="49"/>
      <x:c r="AG88" s="49"/>
      <x:c r="AH88" s="49"/>
      <x:c r="AI88" s="49"/>
      <x:c r="AJ88" s="49"/>
      <x:c r="AK88" s="49"/>
      <x:c r="AL88" s="49"/>
      <x:c r="AM88" s="49"/>
      <x:c r="AN88" s="49"/>
      <x:c r="AO88" s="49"/>
      <x:c r="AP88" s="49"/>
      <x:c r="AQ88" s="49"/>
      <x:c r="AR88" s="49"/>
      <x:c r="AS88" s="49"/>
      <x:c r="AT88" s="49"/>
      <x:c r="AU88" s="49"/>
      <x:c r="AV88" s="49"/>
      <x:c r="AW88" s="49"/>
      <x:c r="AX88" s="49"/>
      <x:c r="AY88" s="49"/>
      <x:c r="AZ88" s="49"/>
    </x:row>
    <x:row r="89">
      <x:c r="A89" s="49"/>
      <x:c r="B89" s="49"/>
      <x:c r="C89" s="49"/>
      <x:c r="D89" s="49"/>
      <x:c r="E89" s="49"/>
      <x:c r="F89" s="49"/>
      <x:c r="G89" s="49"/>
      <x:c r="H89" s="49"/>
      <x:c r="I89" s="49"/>
      <x:c r="J89" s="49"/>
      <x:c r="K89" s="49"/>
      <x:c r="L89" s="49"/>
      <x:c r="M89" s="49"/>
      <x:c r="N89" s="49"/>
      <x:c r="O89" s="49"/>
      <x:c r="P89" s="49"/>
      <x:c r="Q89" s="49"/>
      <x:c r="R89" s="49"/>
      <x:c r="S89" s="49"/>
      <x:c r="T89" s="49"/>
      <x:c r="U89" s="49"/>
      <x:c r="V89" s="49"/>
      <x:c r="W89" s="49"/>
      <x:c r="X89" s="49"/>
      <x:c r="Y89" s="49"/>
      <x:c r="Z89" s="49"/>
      <x:c r="AA89" s="49"/>
      <x:c r="AB89" s="49"/>
      <x:c r="AC89" s="49"/>
      <x:c r="AD89" s="49"/>
      <x:c r="AE89" s="49"/>
      <x:c r="AF89" s="49"/>
      <x:c r="AG89" s="49"/>
      <x:c r="AH89" s="49"/>
      <x:c r="AI89" s="49"/>
      <x:c r="AJ89" s="49"/>
      <x:c r="AK89" s="49"/>
      <x:c r="AL89" s="49"/>
      <x:c r="AM89" s="49"/>
      <x:c r="AN89" s="49"/>
      <x:c r="AO89" s="49"/>
      <x:c r="AP89" s="49"/>
      <x:c r="AQ89" s="49"/>
      <x:c r="AR89" s="49"/>
      <x:c r="AS89" s="49"/>
      <x:c r="AT89" s="49"/>
      <x:c r="AU89" s="49"/>
      <x:c r="AV89" s="49"/>
      <x:c r="AW89" s="49"/>
      <x:c r="AX89" s="49"/>
      <x:c r="AY89" s="49"/>
      <x:c r="AZ89" s="49"/>
    </x:row>
    <x:row r="90">
      <x:c r="A90" s="49"/>
      <x:c r="B90" s="49"/>
      <x:c r="C90" s="49"/>
      <x:c r="D90" s="49"/>
      <x:c r="E90" s="49"/>
      <x:c r="F90" s="49"/>
      <x:c r="G90" s="49"/>
      <x:c r="H90" s="49"/>
      <x:c r="I90" s="49"/>
      <x:c r="J90" s="49"/>
      <x:c r="K90" s="49"/>
      <x:c r="L90" s="49"/>
      <x:c r="M90" s="49"/>
      <x:c r="N90" s="49"/>
      <x:c r="O90" s="49"/>
      <x:c r="P90" s="49"/>
      <x:c r="Q90" s="49"/>
      <x:c r="R90" s="49"/>
      <x:c r="S90" s="49"/>
      <x:c r="T90" s="49"/>
      <x:c r="U90" s="49"/>
      <x:c r="V90" s="49"/>
      <x:c r="W90" s="49"/>
      <x:c r="X90" s="49"/>
      <x:c r="Y90" s="49"/>
      <x:c r="Z90" s="49"/>
      <x:c r="AA90" s="49"/>
      <x:c r="AB90" s="49"/>
      <x:c r="AC90" s="49"/>
      <x:c r="AD90" s="49"/>
      <x:c r="AE90" s="49"/>
      <x:c r="AF90" s="49"/>
      <x:c r="AG90" s="49"/>
      <x:c r="AH90" s="49"/>
      <x:c r="AI90" s="49"/>
      <x:c r="AJ90" s="49"/>
      <x:c r="AK90" s="49"/>
      <x:c r="AL90" s="49"/>
      <x:c r="AM90" s="49"/>
      <x:c r="AN90" s="49"/>
      <x:c r="AO90" s="49"/>
      <x:c r="AP90" s="49"/>
      <x:c r="AQ90" s="49"/>
      <x:c r="AR90" s="49"/>
      <x:c r="AS90" s="49"/>
      <x:c r="AT90" s="49"/>
      <x:c r="AU90" s="49"/>
      <x:c r="AV90" s="49"/>
      <x:c r="AW90" s="49"/>
      <x:c r="AX90" s="49"/>
      <x:c r="AY90" s="49"/>
      <x:c r="AZ90" s="49"/>
    </x:row>
    <x:row r="91">
      <x:c r="A91" s="49"/>
      <x:c r="B91" s="49"/>
      <x:c r="C91" s="49"/>
      <x:c r="D91" s="49"/>
      <x:c r="E91" s="49"/>
      <x:c r="F91" s="49"/>
      <x:c r="G91" s="49"/>
      <x:c r="H91" s="49"/>
      <x:c r="I91" s="49"/>
      <x:c r="J91" s="49"/>
      <x:c r="K91" s="49"/>
      <x:c r="L91" s="49"/>
      <x:c r="M91" s="49"/>
      <x:c r="N91" s="49"/>
      <x:c r="O91" s="49"/>
      <x:c r="P91" s="49"/>
      <x:c r="Q91" s="49"/>
      <x:c r="R91" s="49"/>
      <x:c r="S91" s="49"/>
      <x:c r="T91" s="49"/>
      <x:c r="U91" s="49"/>
      <x:c r="V91" s="49"/>
      <x:c r="W91" s="49"/>
      <x:c r="X91" s="49"/>
      <x:c r="Y91" s="49"/>
      <x:c r="Z91" s="49"/>
      <x:c r="AA91" s="49"/>
      <x:c r="AB91" s="49"/>
      <x:c r="AC91" s="49"/>
      <x:c r="AD91" s="49"/>
      <x:c r="AE91" s="49"/>
      <x:c r="AF91" s="49"/>
      <x:c r="AG91" s="49"/>
      <x:c r="AH91" s="49"/>
      <x:c r="AI91" s="49"/>
      <x:c r="AJ91" s="49"/>
      <x:c r="AK91" s="49"/>
      <x:c r="AL91" s="49"/>
      <x:c r="AM91" s="49"/>
      <x:c r="AN91" s="49"/>
      <x:c r="AO91" s="49"/>
      <x:c r="AP91" s="49"/>
      <x:c r="AQ91" s="49"/>
      <x:c r="AR91" s="49"/>
      <x:c r="AS91" s="49"/>
      <x:c r="AT91" s="49"/>
      <x:c r="AU91" s="49"/>
      <x:c r="AV91" s="49"/>
      <x:c r="AW91" s="49"/>
      <x:c r="AX91" s="49"/>
      <x:c r="AY91" s="49"/>
      <x:c r="AZ91" s="49"/>
    </x:row>
    <x:row r="92">
      <x:c r="A92" s="49"/>
      <x:c r="B92" s="49"/>
      <x:c r="C92" s="49"/>
      <x:c r="D92" s="49"/>
      <x:c r="E92" s="49"/>
      <x:c r="F92" s="49"/>
      <x:c r="G92" s="49"/>
      <x:c r="H92" s="49"/>
      <x:c r="I92" s="49"/>
      <x:c r="J92" s="49"/>
      <x:c r="K92" s="49"/>
      <x:c r="L92" s="49"/>
      <x:c r="M92" s="49"/>
      <x:c r="N92" s="49"/>
      <x:c r="O92" s="49"/>
      <x:c r="P92" s="49"/>
      <x:c r="Q92" s="49"/>
      <x:c r="R92" s="49"/>
      <x:c r="S92" s="49"/>
      <x:c r="T92" s="49"/>
      <x:c r="U92" s="49"/>
      <x:c r="V92" s="49"/>
      <x:c r="W92" s="49"/>
      <x:c r="X92" s="49"/>
      <x:c r="Y92" s="49"/>
      <x:c r="Z92" s="49"/>
      <x:c r="AA92" s="49"/>
      <x:c r="AB92" s="49"/>
      <x:c r="AC92" s="49"/>
      <x:c r="AD92" s="49"/>
      <x:c r="AE92" s="49"/>
      <x:c r="AF92" s="49"/>
      <x:c r="AG92" s="49"/>
      <x:c r="AH92" s="49"/>
      <x:c r="AI92" s="49"/>
      <x:c r="AJ92" s="49"/>
      <x:c r="AK92" s="49"/>
      <x:c r="AL92" s="49"/>
      <x:c r="AM92" s="49"/>
      <x:c r="AN92" s="49"/>
      <x:c r="AO92" s="49"/>
      <x:c r="AP92" s="49"/>
      <x:c r="AQ92" s="49"/>
      <x:c r="AR92" s="49"/>
      <x:c r="AS92" s="49"/>
      <x:c r="AT92" s="49"/>
      <x:c r="AU92" s="49"/>
      <x:c r="AV92" s="49"/>
      <x:c r="AW92" s="49"/>
      <x:c r="AX92" s="49"/>
      <x:c r="AY92" s="49"/>
      <x:c r="AZ92" s="49"/>
    </x:row>
    <x:row r="93">
      <x:c r="A93" s="49"/>
      <x:c r="B93" s="49"/>
      <x:c r="C93" s="49"/>
      <x:c r="D93" s="49"/>
      <x:c r="E93" s="49"/>
      <x:c r="F93" s="49"/>
      <x:c r="G93" s="49"/>
      <x:c r="H93" s="49"/>
      <x:c r="I93" s="49"/>
      <x:c r="J93" s="49"/>
      <x:c r="K93" s="49"/>
      <x:c r="L93" s="49"/>
      <x:c r="M93" s="49"/>
      <x:c r="N93" s="49"/>
      <x:c r="O93" s="49"/>
      <x:c r="P93" s="49"/>
      <x:c r="Q93" s="49"/>
      <x:c r="R93" s="49"/>
      <x:c r="S93" s="49"/>
      <x:c r="T93" s="49"/>
      <x:c r="U93" s="49"/>
      <x:c r="V93" s="49"/>
      <x:c r="W93" s="49"/>
      <x:c r="X93" s="49"/>
      <x:c r="Y93" s="49"/>
      <x:c r="Z93" s="49"/>
      <x:c r="AA93" s="49"/>
      <x:c r="AB93" s="49"/>
      <x:c r="AC93" s="49"/>
      <x:c r="AD93" s="49"/>
      <x:c r="AE93" s="49"/>
      <x:c r="AF93" s="49"/>
      <x:c r="AG93" s="49"/>
      <x:c r="AH93" s="49"/>
      <x:c r="AI93" s="49"/>
      <x:c r="AJ93" s="49"/>
      <x:c r="AK93" s="49"/>
      <x:c r="AL93" s="49"/>
      <x:c r="AM93" s="49"/>
      <x:c r="AN93" s="49"/>
      <x:c r="AO93" s="49"/>
      <x:c r="AP93" s="49"/>
      <x:c r="AQ93" s="49"/>
      <x:c r="AR93" s="49"/>
      <x:c r="AS93" s="49"/>
      <x:c r="AT93" s="49"/>
      <x:c r="AU93" s="49"/>
      <x:c r="AV93" s="49"/>
      <x:c r="AW93" s="49"/>
      <x:c r="AX93" s="49"/>
      <x:c r="AY93" s="49"/>
      <x:c r="AZ93" s="49"/>
    </x:row>
    <x:row r="94">
      <x:c r="A94" s="49"/>
      <x:c r="B94" s="49"/>
      <x:c r="C94" s="49"/>
      <x:c r="D94" s="49"/>
      <x:c r="E94" s="49"/>
      <x:c r="F94" s="49"/>
      <x:c r="G94" s="49"/>
      <x:c r="H94" s="49"/>
      <x:c r="I94" s="49"/>
      <x:c r="J94" s="49"/>
      <x:c r="K94" s="49"/>
      <x:c r="L94" s="49"/>
      <x:c r="M94" s="49"/>
      <x:c r="N94" s="49"/>
      <x:c r="O94" s="49"/>
      <x:c r="P94" s="49"/>
      <x:c r="Q94" s="49"/>
      <x:c r="R94" s="49"/>
      <x:c r="S94" s="49"/>
      <x:c r="T94" s="49"/>
      <x:c r="U94" s="49"/>
      <x:c r="V94" s="49"/>
      <x:c r="W94" s="49"/>
      <x:c r="X94" s="49"/>
      <x:c r="Y94" s="49"/>
      <x:c r="Z94" s="49"/>
      <x:c r="AA94" s="49"/>
      <x:c r="AB94" s="49"/>
      <x:c r="AC94" s="49"/>
      <x:c r="AD94" s="49"/>
      <x:c r="AE94" s="49"/>
      <x:c r="AF94" s="49"/>
      <x:c r="AG94" s="49"/>
      <x:c r="AH94" s="49"/>
      <x:c r="AI94" s="49"/>
      <x:c r="AJ94" s="49"/>
      <x:c r="AK94" s="49"/>
      <x:c r="AL94" s="49"/>
      <x:c r="AM94" s="49"/>
      <x:c r="AN94" s="49"/>
      <x:c r="AO94" s="49"/>
      <x:c r="AP94" s="49"/>
      <x:c r="AQ94" s="49"/>
      <x:c r="AR94" s="49"/>
      <x:c r="AS94" s="49"/>
      <x:c r="AT94" s="49"/>
      <x:c r="AU94" s="49"/>
      <x:c r="AV94" s="49"/>
      <x:c r="AW94" s="49"/>
      <x:c r="AX94" s="49"/>
      <x:c r="AY94" s="49"/>
      <x:c r="AZ94" s="49"/>
    </x:row>
    <x:row r="95">
      <x:c r="A95" s="49"/>
      <x:c r="B95" s="49"/>
      <x:c r="C95" s="49"/>
      <x:c r="D95" s="49"/>
      <x:c r="E95" s="49"/>
      <x:c r="F95" s="49"/>
      <x:c r="G95" s="49"/>
      <x:c r="H95" s="49"/>
      <x:c r="I95" s="49"/>
      <x:c r="J95" s="49"/>
      <x:c r="K95" s="49"/>
      <x:c r="L95" s="49"/>
      <x:c r="M95" s="49"/>
      <x:c r="N95" s="49"/>
      <x:c r="O95" s="49"/>
      <x:c r="P95" s="49"/>
      <x:c r="Q95" s="49"/>
      <x:c r="R95" s="49"/>
      <x:c r="S95" s="49"/>
      <x:c r="T95" s="49"/>
      <x:c r="U95" s="49"/>
      <x:c r="V95" s="49"/>
      <x:c r="W95" s="49"/>
      <x:c r="X95" s="49"/>
      <x:c r="Y95" s="49"/>
      <x:c r="Z95" s="49"/>
      <x:c r="AA95" s="49"/>
      <x:c r="AB95" s="49"/>
      <x:c r="AC95" s="49"/>
      <x:c r="AD95" s="49"/>
      <x:c r="AE95" s="49"/>
      <x:c r="AF95" s="49"/>
      <x:c r="AG95" s="49"/>
      <x:c r="AH95" s="49"/>
      <x:c r="AI95" s="49"/>
      <x:c r="AJ95" s="49"/>
      <x:c r="AK95" s="49"/>
      <x:c r="AL95" s="49"/>
      <x:c r="AM95" s="49"/>
      <x:c r="AN95" s="49"/>
      <x:c r="AO95" s="49"/>
      <x:c r="AP95" s="49"/>
      <x:c r="AQ95" s="49"/>
      <x:c r="AR95" s="49"/>
      <x:c r="AS95" s="49"/>
      <x:c r="AT95" s="49"/>
      <x:c r="AU95" s="49"/>
      <x:c r="AV95" s="49"/>
      <x:c r="AW95" s="49"/>
      <x:c r="AX95" s="49"/>
      <x:c r="AY95" s="49"/>
      <x:c r="AZ95" s="49"/>
    </x:row>
    <x:row r="96">
      <x:c r="A96" s="49"/>
      <x:c r="B96" s="49"/>
      <x:c r="C96" s="49"/>
      <x:c r="D96" s="49"/>
      <x:c r="E96" s="49"/>
      <x:c r="F96" s="49"/>
      <x:c r="G96" s="49"/>
      <x:c r="H96" s="49"/>
      <x:c r="I96" s="49"/>
      <x:c r="J96" s="49"/>
      <x:c r="K96" s="49"/>
      <x:c r="L96" s="49"/>
      <x:c r="M96" s="49"/>
      <x:c r="N96" s="49"/>
      <x:c r="O96" s="49"/>
      <x:c r="P96" s="49"/>
      <x:c r="Q96" s="49"/>
      <x:c r="R96" s="49"/>
      <x:c r="S96" s="49"/>
      <x:c r="T96" s="49"/>
      <x:c r="U96" s="49"/>
      <x:c r="V96" s="49"/>
      <x:c r="W96" s="49"/>
      <x:c r="X96" s="49"/>
      <x:c r="Y96" s="49"/>
      <x:c r="Z96" s="49"/>
      <x:c r="AA96" s="49"/>
      <x:c r="AB96" s="49"/>
      <x:c r="AC96" s="49"/>
      <x:c r="AD96" s="49"/>
      <x:c r="AE96" s="49"/>
      <x:c r="AF96" s="49"/>
      <x:c r="AG96" s="49"/>
      <x:c r="AH96" s="49"/>
      <x:c r="AI96" s="49"/>
      <x:c r="AJ96" s="49"/>
      <x:c r="AK96" s="49"/>
      <x:c r="AL96" s="49"/>
      <x:c r="AM96" s="49"/>
      <x:c r="AN96" s="49"/>
      <x:c r="AO96" s="49"/>
      <x:c r="AP96" s="49"/>
      <x:c r="AQ96" s="49"/>
      <x:c r="AR96" s="49"/>
      <x:c r="AS96" s="49"/>
      <x:c r="AT96" s="49"/>
      <x:c r="AU96" s="49"/>
      <x:c r="AV96" s="49"/>
      <x:c r="AW96" s="49"/>
      <x:c r="AX96" s="49"/>
      <x:c r="AY96" s="49"/>
      <x:c r="AZ96" s="49"/>
    </x:row>
    <x:row r="97">
      <x:c r="A97" s="49"/>
      <x:c r="B97" s="49"/>
      <x:c r="C97" s="49"/>
      <x:c r="D97" s="49"/>
      <x:c r="E97" s="49"/>
      <x:c r="F97" s="49"/>
      <x:c r="G97" s="49"/>
      <x:c r="H97" s="49"/>
      <x:c r="I97" s="49"/>
      <x:c r="J97" s="49"/>
      <x:c r="K97" s="49"/>
      <x:c r="L97" s="49"/>
      <x:c r="M97" s="49"/>
      <x:c r="N97" s="49"/>
      <x:c r="O97" s="49"/>
      <x:c r="P97" s="49"/>
      <x:c r="Q97" s="49"/>
      <x:c r="R97" s="49"/>
      <x:c r="S97" s="49"/>
      <x:c r="T97" s="49"/>
      <x:c r="U97" s="49"/>
      <x:c r="V97" s="49"/>
      <x:c r="W97" s="49"/>
      <x:c r="X97" s="49"/>
      <x:c r="Y97" s="49"/>
      <x:c r="Z97" s="49"/>
      <x:c r="AA97" s="49"/>
      <x:c r="AB97" s="49"/>
      <x:c r="AC97" s="49"/>
      <x:c r="AD97" s="49"/>
      <x:c r="AE97" s="49"/>
      <x:c r="AF97" s="49"/>
      <x:c r="AG97" s="49"/>
      <x:c r="AH97" s="49"/>
      <x:c r="AI97" s="49"/>
      <x:c r="AJ97" s="49"/>
      <x:c r="AK97" s="49"/>
      <x:c r="AL97" s="49"/>
      <x:c r="AM97" s="49"/>
      <x:c r="AN97" s="49"/>
      <x:c r="AO97" s="49"/>
      <x:c r="AP97" s="49"/>
      <x:c r="AQ97" s="49"/>
      <x:c r="AR97" s="49"/>
      <x:c r="AS97" s="49"/>
      <x:c r="AT97" s="49"/>
      <x:c r="AU97" s="49"/>
      <x:c r="AV97" s="49"/>
      <x:c r="AW97" s="49"/>
      <x:c r="AX97" s="49"/>
      <x:c r="AY97" s="49"/>
      <x:c r="AZ97" s="49"/>
    </x:row>
    <x:row r="98">
      <x:c r="A98" s="49"/>
      <x:c r="B98" s="49"/>
      <x:c r="C98" s="49"/>
      <x:c r="D98" s="49"/>
      <x:c r="E98" s="49"/>
      <x:c r="F98" s="49"/>
      <x:c r="G98" s="49"/>
      <x:c r="H98" s="49"/>
      <x:c r="I98" s="49"/>
      <x:c r="J98" s="49"/>
      <x:c r="K98" s="49"/>
      <x:c r="L98" s="49"/>
      <x:c r="M98" s="49"/>
      <x:c r="N98" s="49"/>
      <x:c r="O98" s="49"/>
      <x:c r="P98" s="49"/>
      <x:c r="Q98" s="49"/>
      <x:c r="R98" s="49"/>
      <x:c r="S98" s="49"/>
      <x:c r="T98" s="49"/>
      <x:c r="U98" s="49"/>
      <x:c r="V98" s="49"/>
      <x:c r="W98" s="49"/>
      <x:c r="X98" s="49"/>
      <x:c r="Y98" s="49"/>
      <x:c r="Z98" s="49"/>
      <x:c r="AA98" s="49"/>
      <x:c r="AB98" s="49"/>
      <x:c r="AC98" s="49"/>
      <x:c r="AD98" s="49"/>
      <x:c r="AE98" s="49"/>
      <x:c r="AF98" s="49"/>
      <x:c r="AG98" s="49"/>
      <x:c r="AH98" s="49"/>
      <x:c r="AI98" s="49"/>
      <x:c r="AJ98" s="49"/>
      <x:c r="AK98" s="49"/>
      <x:c r="AL98" s="49"/>
      <x:c r="AM98" s="49"/>
      <x:c r="AN98" s="49"/>
      <x:c r="AO98" s="49"/>
      <x:c r="AP98" s="49"/>
      <x:c r="AQ98" s="49"/>
      <x:c r="AR98" s="49"/>
      <x:c r="AS98" s="49"/>
      <x:c r="AT98" s="49"/>
      <x:c r="AU98" s="49"/>
      <x:c r="AV98" s="49"/>
      <x:c r="AW98" s="49"/>
      <x:c r="AX98" s="49"/>
      <x:c r="AY98" s="49"/>
      <x:c r="AZ98" s="49"/>
    </x:row>
    <x:row r="99">
      <x:c r="A99" s="49"/>
      <x:c r="B99" s="49"/>
      <x:c r="C99" s="49"/>
      <x:c r="D99" s="49"/>
      <x:c r="E99" s="49"/>
      <x:c r="F99" s="49"/>
      <x:c r="G99" s="49"/>
      <x:c r="H99" s="49"/>
      <x:c r="I99" s="49"/>
      <x:c r="J99" s="49"/>
      <x:c r="K99" s="49"/>
      <x:c r="L99" s="49"/>
      <x:c r="M99" s="49"/>
      <x:c r="N99" s="49"/>
      <x:c r="O99" s="49"/>
      <x:c r="P99" s="49"/>
      <x:c r="Q99" s="49"/>
      <x:c r="R99" s="49"/>
      <x:c r="S99" s="49"/>
      <x:c r="T99" s="49"/>
      <x:c r="U99" s="49"/>
      <x:c r="V99" s="49"/>
      <x:c r="W99" s="49"/>
      <x:c r="X99" s="49"/>
      <x:c r="Y99" s="49"/>
      <x:c r="Z99" s="49"/>
      <x:c r="AA99" s="49"/>
      <x:c r="AB99" s="49"/>
      <x:c r="AC99" s="49"/>
      <x:c r="AD99" s="49"/>
      <x:c r="AE99" s="49"/>
      <x:c r="AF99" s="49"/>
      <x:c r="AG99" s="49"/>
      <x:c r="AH99" s="49"/>
      <x:c r="AI99" s="49"/>
      <x:c r="AJ99" s="49"/>
      <x:c r="AK99" s="49"/>
      <x:c r="AL99" s="49"/>
      <x:c r="AM99" s="49"/>
      <x:c r="AN99" s="49"/>
      <x:c r="AO99" s="49"/>
      <x:c r="AP99" s="49"/>
      <x:c r="AQ99" s="49"/>
      <x:c r="AR99" s="49"/>
      <x:c r="AS99" s="49"/>
      <x:c r="AT99" s="49"/>
      <x:c r="AU99" s="49"/>
      <x:c r="AV99" s="49"/>
      <x:c r="AW99" s="49"/>
      <x:c r="AX99" s="49"/>
      <x:c r="AY99" s="49"/>
      <x:c r="AZ99" s="49"/>
    </x:row>
    <x:row r="100">
      <x:c r="A100" s="49"/>
      <x:c r="B100" s="49"/>
      <x:c r="C100" s="49"/>
      <x:c r="D100" s="49"/>
      <x:c r="E100" s="49"/>
      <x:c r="F100" s="49"/>
      <x:c r="G100" s="49"/>
      <x:c r="H100" s="49"/>
      <x:c r="I100" s="49"/>
      <x:c r="J100" s="49"/>
      <x:c r="K100" s="49"/>
      <x:c r="L100" s="49"/>
      <x:c r="M100" s="49"/>
      <x:c r="N100" s="49"/>
      <x:c r="O100" s="49"/>
      <x:c r="P100" s="49"/>
      <x:c r="Q100" s="49"/>
      <x:c r="R100" s="49"/>
      <x:c r="S100" s="49"/>
      <x:c r="T100" s="49"/>
      <x:c r="U100" s="49"/>
      <x:c r="V100" s="49"/>
      <x:c r="W100" s="49"/>
      <x:c r="X100" s="49"/>
      <x:c r="Y100" s="49"/>
      <x:c r="Z100" s="49"/>
      <x:c r="AA100" s="49"/>
      <x:c r="AB100" s="49"/>
      <x:c r="AC100" s="49"/>
      <x:c r="AD100" s="49"/>
      <x:c r="AE100" s="49"/>
      <x:c r="AF100" s="49"/>
      <x:c r="AG100" s="49"/>
      <x:c r="AH100" s="49"/>
      <x:c r="AI100" s="49"/>
      <x:c r="AJ100" s="49"/>
      <x:c r="AK100" s="49"/>
      <x:c r="AL100" s="49"/>
      <x:c r="AM100" s="49"/>
      <x:c r="AN100" s="49"/>
      <x:c r="AO100" s="49"/>
      <x:c r="AP100" s="49"/>
      <x:c r="AQ100" s="49"/>
      <x:c r="AR100" s="49"/>
      <x:c r="AS100" s="49"/>
      <x:c r="AT100" s="49"/>
      <x:c r="AU100" s="49"/>
      <x:c r="AV100" s="49"/>
      <x:c r="AW100" s="49"/>
      <x:c r="AX100" s="49"/>
      <x:c r="AY100" s="49"/>
      <x:c r="AZ100" s="49"/>
    </x:row>
    <x:row r="101">
      <x:c r="A101" s="49"/>
      <x:c r="B101" s="49"/>
      <x:c r="C101" s="49"/>
      <x:c r="D101" s="49"/>
      <x:c r="E101" s="49"/>
      <x:c r="F101" s="49"/>
      <x:c r="G101" s="49"/>
      <x:c r="H101" s="49"/>
      <x:c r="I101" s="49"/>
      <x:c r="J101" s="49"/>
      <x:c r="K101" s="49"/>
      <x:c r="L101" s="49"/>
      <x:c r="M101" s="49"/>
      <x:c r="N101" s="49"/>
      <x:c r="O101" s="49"/>
      <x:c r="P101" s="49"/>
      <x:c r="Q101" s="49"/>
      <x:c r="R101" s="49"/>
      <x:c r="S101" s="49"/>
      <x:c r="T101" s="49"/>
      <x:c r="U101" s="49"/>
      <x:c r="V101" s="49"/>
      <x:c r="W101" s="49"/>
      <x:c r="X101" s="49"/>
      <x:c r="Y101" s="49"/>
      <x:c r="Z101" s="49"/>
      <x:c r="AA101" s="49"/>
      <x:c r="AB101" s="49"/>
      <x:c r="AC101" s="49"/>
      <x:c r="AD101" s="49"/>
      <x:c r="AE101" s="49"/>
      <x:c r="AF101" s="49"/>
      <x:c r="AG101" s="49"/>
      <x:c r="AH101" s="49"/>
      <x:c r="AI101" s="49"/>
      <x:c r="AJ101" s="49"/>
      <x:c r="AK101" s="49"/>
      <x:c r="AL101" s="49"/>
      <x:c r="AM101" s="49"/>
      <x:c r="AN101" s="49"/>
      <x:c r="AO101" s="49"/>
      <x:c r="AP101" s="49"/>
      <x:c r="AQ101" s="49"/>
      <x:c r="AR101" s="49"/>
      <x:c r="AS101" s="49"/>
      <x:c r="AT101" s="49"/>
      <x:c r="AU101" s="49"/>
      <x:c r="AV101" s="49"/>
      <x:c r="AW101" s="49"/>
      <x:c r="AX101" s="49"/>
      <x:c r="AY101" s="49"/>
      <x:c r="AZ101" s="49"/>
    </x:row>
    <x:row r="102">
      <x:c r="A102" s="49"/>
      <x:c r="B102" s="49"/>
      <x:c r="C102" s="49"/>
      <x:c r="D102" s="49"/>
      <x:c r="E102" s="49"/>
      <x:c r="F102" s="49"/>
      <x:c r="G102" s="49"/>
      <x:c r="H102" s="49"/>
      <x:c r="I102" s="49"/>
      <x:c r="J102" s="49"/>
      <x:c r="K102" s="49"/>
      <x:c r="L102" s="49"/>
      <x:c r="M102" s="49"/>
      <x:c r="N102" s="49"/>
      <x:c r="O102" s="49"/>
      <x:c r="P102" s="49"/>
      <x:c r="Q102" s="49"/>
      <x:c r="R102" s="49"/>
      <x:c r="S102" s="49"/>
      <x:c r="T102" s="49"/>
      <x:c r="U102" s="49"/>
      <x:c r="V102" s="49"/>
      <x:c r="W102" s="49"/>
      <x:c r="X102" s="49"/>
      <x:c r="Y102" s="49"/>
      <x:c r="Z102" s="49"/>
      <x:c r="AA102" s="49"/>
      <x:c r="AB102" s="49"/>
      <x:c r="AC102" s="49"/>
      <x:c r="AD102" s="49"/>
      <x:c r="AE102" s="49"/>
      <x:c r="AF102" s="49"/>
      <x:c r="AG102" s="49"/>
      <x:c r="AH102" s="49"/>
      <x:c r="AI102" s="49"/>
      <x:c r="AJ102" s="49"/>
      <x:c r="AK102" s="49"/>
      <x:c r="AL102" s="49"/>
      <x:c r="AM102" s="49"/>
      <x:c r="AN102" s="49"/>
      <x:c r="AO102" s="49"/>
      <x:c r="AP102" s="49"/>
      <x:c r="AQ102" s="49"/>
      <x:c r="AR102" s="49"/>
      <x:c r="AS102" s="49"/>
      <x:c r="AT102" s="49"/>
      <x:c r="AU102" s="49"/>
      <x:c r="AV102" s="49"/>
      <x:c r="AW102" s="49"/>
      <x:c r="AX102" s="49"/>
      <x:c r="AY102" s="49"/>
      <x:c r="AZ102" s="49"/>
    </x:row>
    <x:row r="103">
      <x:c r="A103" s="49"/>
      <x:c r="B103" s="49"/>
      <x:c r="C103" s="49"/>
      <x:c r="D103" s="49"/>
      <x:c r="E103" s="49"/>
      <x:c r="F103" s="49"/>
      <x:c r="G103" s="49"/>
      <x:c r="H103" s="49"/>
      <x:c r="I103" s="49"/>
      <x:c r="J103" s="49"/>
      <x:c r="K103" s="49"/>
      <x:c r="L103" s="49"/>
      <x:c r="M103" s="49"/>
      <x:c r="N103" s="49"/>
      <x:c r="O103" s="49"/>
      <x:c r="P103" s="49"/>
      <x:c r="Q103" s="49"/>
      <x:c r="R103" s="49"/>
      <x:c r="S103" s="49"/>
      <x:c r="T103" s="49"/>
      <x:c r="U103" s="49"/>
      <x:c r="V103" s="49"/>
      <x:c r="W103" s="49"/>
      <x:c r="X103" s="49"/>
      <x:c r="Y103" s="49"/>
      <x:c r="Z103" s="49"/>
      <x:c r="AA103" s="49"/>
      <x:c r="AB103" s="49"/>
      <x:c r="AC103" s="49"/>
      <x:c r="AD103" s="49"/>
      <x:c r="AE103" s="49"/>
      <x:c r="AF103" s="49"/>
      <x:c r="AG103" s="49"/>
      <x:c r="AH103" s="49"/>
      <x:c r="AI103" s="49"/>
      <x:c r="AJ103" s="49"/>
      <x:c r="AK103" s="49"/>
      <x:c r="AL103" s="49"/>
      <x:c r="AM103" s="49"/>
      <x:c r="AN103" s="49"/>
      <x:c r="AO103" s="49"/>
      <x:c r="AP103" s="49"/>
      <x:c r="AQ103" s="49"/>
      <x:c r="AR103" s="49"/>
      <x:c r="AS103" s="49"/>
      <x:c r="AT103" s="49"/>
      <x:c r="AU103" s="49"/>
      <x:c r="AV103" s="49"/>
      <x:c r="AW103" s="49"/>
      <x:c r="AX103" s="49"/>
      <x:c r="AY103" s="49"/>
      <x:c r="AZ103" s="49"/>
    </x:row>
    <x:row r="104">
      <x:c r="A104" s="49"/>
      <x:c r="B104" s="49"/>
      <x:c r="C104" s="49"/>
      <x:c r="D104" s="49"/>
      <x:c r="E104" s="49"/>
      <x:c r="F104" s="49"/>
      <x:c r="G104" s="49"/>
      <x:c r="H104" s="49"/>
      <x:c r="I104" s="49"/>
      <x:c r="J104" s="49"/>
      <x:c r="K104" s="49"/>
      <x:c r="L104" s="49"/>
      <x:c r="M104" s="49"/>
      <x:c r="N104" s="49"/>
      <x:c r="O104" s="49"/>
      <x:c r="P104" s="49"/>
      <x:c r="Q104" s="49"/>
      <x:c r="R104" s="49"/>
      <x:c r="S104" s="49"/>
      <x:c r="T104" s="49"/>
      <x:c r="U104" s="49"/>
      <x:c r="V104" s="49"/>
      <x:c r="W104" s="49"/>
      <x:c r="X104" s="49"/>
      <x:c r="Y104" s="49"/>
      <x:c r="Z104" s="49"/>
      <x:c r="AA104" s="49"/>
      <x:c r="AB104" s="49"/>
      <x:c r="AC104" s="49"/>
      <x:c r="AD104" s="49"/>
      <x:c r="AE104" s="49"/>
      <x:c r="AF104" s="49"/>
      <x:c r="AG104" s="49"/>
      <x:c r="AH104" s="49"/>
      <x:c r="AI104" s="49"/>
      <x:c r="AJ104" s="49"/>
      <x:c r="AK104" s="49"/>
      <x:c r="AL104" s="49"/>
      <x:c r="AM104" s="49"/>
      <x:c r="AN104" s="49"/>
      <x:c r="AO104" s="49"/>
      <x:c r="AP104" s="49"/>
      <x:c r="AQ104" s="49"/>
      <x:c r="AR104" s="49"/>
      <x:c r="AS104" s="49"/>
      <x:c r="AT104" s="49"/>
      <x:c r="AU104" s="49"/>
      <x:c r="AV104" s="49"/>
      <x:c r="AW104" s="49"/>
      <x:c r="AX104" s="49"/>
      <x:c r="AY104" s="49"/>
      <x:c r="AZ104" s="49"/>
    </x:row>
    <x:row r="105">
      <x:c r="A105" s="49"/>
      <x:c r="B105" s="49"/>
      <x:c r="C105" s="49"/>
      <x:c r="D105" s="49"/>
      <x:c r="E105" s="49"/>
      <x:c r="F105" s="49"/>
      <x:c r="G105" s="49"/>
      <x:c r="H105" s="49"/>
      <x:c r="I105" s="49"/>
      <x:c r="J105" s="49"/>
      <x:c r="K105" s="49"/>
      <x:c r="L105" s="49"/>
      <x:c r="M105" s="49"/>
      <x:c r="N105" s="49"/>
      <x:c r="O105" s="49"/>
      <x:c r="P105" s="49"/>
      <x:c r="Q105" s="49"/>
      <x:c r="R105" s="49"/>
      <x:c r="S105" s="49"/>
      <x:c r="T105" s="49"/>
      <x:c r="U105" s="49"/>
      <x:c r="V105" s="49"/>
      <x:c r="W105" s="49"/>
      <x:c r="X105" s="49"/>
      <x:c r="Y105" s="49"/>
      <x:c r="Z105" s="49"/>
      <x:c r="AA105" s="49"/>
      <x:c r="AB105" s="49"/>
      <x:c r="AC105" s="49"/>
      <x:c r="AD105" s="49"/>
      <x:c r="AE105" s="49"/>
      <x:c r="AF105" s="49"/>
      <x:c r="AG105" s="49"/>
      <x:c r="AH105" s="49"/>
      <x:c r="AI105" s="49"/>
      <x:c r="AJ105" s="49"/>
      <x:c r="AK105" s="49"/>
      <x:c r="AL105" s="49"/>
      <x:c r="AM105" s="49"/>
      <x:c r="AN105" s="49"/>
      <x:c r="AO105" s="49"/>
      <x:c r="AP105" s="49"/>
      <x:c r="AQ105" s="49"/>
      <x:c r="AR105" s="49"/>
      <x:c r="AS105" s="49"/>
      <x:c r="AT105" s="49"/>
      <x:c r="AU105" s="49"/>
      <x:c r="AV105" s="49"/>
      <x:c r="AW105" s="49"/>
      <x:c r="AX105" s="49"/>
      <x:c r="AY105" s="49"/>
      <x:c r="AZ105" s="49"/>
    </x:row>
    <x:row r="106">
      <x:c r="A106" s="49"/>
      <x:c r="B106" s="49"/>
      <x:c r="C106" s="49"/>
      <x:c r="D106" s="49"/>
      <x:c r="E106" s="49"/>
      <x:c r="F106" s="49"/>
      <x:c r="G106" s="49"/>
      <x:c r="H106" s="49"/>
      <x:c r="I106" s="49"/>
      <x:c r="J106" s="49"/>
      <x:c r="K106" s="49"/>
      <x:c r="L106" s="49"/>
      <x:c r="M106" s="49"/>
      <x:c r="N106" s="49"/>
      <x:c r="O106" s="49"/>
      <x:c r="P106" s="49"/>
      <x:c r="Q106" s="49"/>
      <x:c r="R106" s="49"/>
      <x:c r="S106" s="49"/>
      <x:c r="T106" s="49"/>
      <x:c r="U106" s="49"/>
      <x:c r="V106" s="49"/>
      <x:c r="W106" s="49"/>
      <x:c r="X106" s="49"/>
      <x:c r="Y106" s="49"/>
      <x:c r="Z106" s="49"/>
      <x:c r="AA106" s="49"/>
      <x:c r="AB106" s="49"/>
      <x:c r="AC106" s="49"/>
      <x:c r="AD106" s="49"/>
      <x:c r="AE106" s="49"/>
      <x:c r="AF106" s="49"/>
      <x:c r="AG106" s="49"/>
      <x:c r="AH106" s="49"/>
      <x:c r="AI106" s="49"/>
      <x:c r="AJ106" s="49"/>
      <x:c r="AK106" s="49"/>
      <x:c r="AL106" s="49"/>
      <x:c r="AM106" s="49"/>
      <x:c r="AN106" s="49"/>
      <x:c r="AO106" s="49"/>
      <x:c r="AP106" s="49"/>
      <x:c r="AQ106" s="49"/>
      <x:c r="AR106" s="49"/>
      <x:c r="AS106" s="49"/>
      <x:c r="AT106" s="49"/>
      <x:c r="AU106" s="49"/>
      <x:c r="AV106" s="49"/>
      <x:c r="AW106" s="49"/>
      <x:c r="AX106" s="49"/>
      <x:c r="AY106" s="49"/>
      <x:c r="AZ106" s="49"/>
    </x:row>
    <x:row r="107">
      <x:c r="A107" s="49"/>
      <x:c r="B107" s="49"/>
      <x:c r="C107" s="49"/>
      <x:c r="D107" s="49"/>
      <x:c r="E107" s="49"/>
      <x:c r="F107" s="49"/>
      <x:c r="G107" s="49"/>
      <x:c r="H107" s="49"/>
      <x:c r="I107" s="49"/>
      <x:c r="J107" s="49"/>
      <x:c r="K107" s="49"/>
      <x:c r="L107" s="49"/>
      <x:c r="M107" s="49"/>
      <x:c r="N107" s="49"/>
      <x:c r="O107" s="49"/>
      <x:c r="P107" s="49"/>
      <x:c r="Q107" s="49"/>
      <x:c r="R107" s="49"/>
      <x:c r="S107" s="49"/>
      <x:c r="T107" s="49"/>
      <x:c r="U107" s="49"/>
      <x:c r="V107" s="49"/>
      <x:c r="W107" s="49"/>
      <x:c r="X107" s="49"/>
      <x:c r="Y107" s="49"/>
      <x:c r="Z107" s="49"/>
      <x:c r="AA107" s="49"/>
      <x:c r="AB107" s="49"/>
      <x:c r="AC107" s="49"/>
      <x:c r="AD107" s="49"/>
      <x:c r="AE107" s="49"/>
      <x:c r="AF107" s="49"/>
      <x:c r="AG107" s="49"/>
      <x:c r="AH107" s="49"/>
      <x:c r="AI107" s="49"/>
      <x:c r="AJ107" s="49"/>
      <x:c r="AK107" s="49"/>
      <x:c r="AL107" s="49"/>
      <x:c r="AM107" s="49"/>
      <x:c r="AN107" s="49"/>
      <x:c r="AO107" s="49"/>
      <x:c r="AP107" s="49"/>
      <x:c r="AQ107" s="49"/>
      <x:c r="AR107" s="49"/>
      <x:c r="AS107" s="49"/>
      <x:c r="AT107" s="49"/>
      <x:c r="AU107" s="49"/>
      <x:c r="AV107" s="49"/>
      <x:c r="AW107" s="49"/>
      <x:c r="AX107" s="49"/>
      <x:c r="AY107" s="49"/>
      <x:c r="AZ107" s="49"/>
    </x:row>
    <x:row r="108">
      <x:c r="A108" s="49"/>
      <x:c r="B108" s="49"/>
      <x:c r="C108" s="49"/>
      <x:c r="D108" s="49"/>
      <x:c r="E108" s="49"/>
      <x:c r="F108" s="49"/>
      <x:c r="G108" s="49"/>
      <x:c r="H108" s="49"/>
      <x:c r="I108" s="49"/>
      <x:c r="J108" s="49"/>
      <x:c r="K108" s="49"/>
      <x:c r="L108" s="49"/>
      <x:c r="M108" s="49"/>
      <x:c r="N108" s="49"/>
      <x:c r="O108" s="49"/>
      <x:c r="P108" s="49"/>
      <x:c r="Q108" s="49"/>
      <x:c r="R108" s="49"/>
      <x:c r="S108" s="49"/>
      <x:c r="T108" s="49"/>
      <x:c r="U108" s="49"/>
      <x:c r="V108" s="49"/>
      <x:c r="W108" s="49"/>
      <x:c r="X108" s="49"/>
      <x:c r="Y108" s="49"/>
      <x:c r="Z108" s="49"/>
      <x:c r="AA108" s="49"/>
      <x:c r="AB108" s="49"/>
      <x:c r="AC108" s="49"/>
      <x:c r="AD108" s="49"/>
      <x:c r="AE108" s="49"/>
      <x:c r="AF108" s="49"/>
      <x:c r="AG108" s="49"/>
      <x:c r="AH108" s="49"/>
      <x:c r="AI108" s="49"/>
      <x:c r="AJ108" s="49"/>
      <x:c r="AK108" s="49"/>
      <x:c r="AL108" s="49"/>
      <x:c r="AM108" s="49"/>
      <x:c r="AN108" s="49"/>
      <x:c r="AO108" s="49"/>
      <x:c r="AP108" s="49"/>
      <x:c r="AQ108" s="49"/>
      <x:c r="AR108" s="49"/>
      <x:c r="AS108" s="49"/>
      <x:c r="AT108" s="49"/>
      <x:c r="AU108" s="49"/>
      <x:c r="AV108" s="49"/>
      <x:c r="AW108" s="49"/>
      <x:c r="AX108" s="49"/>
      <x:c r="AY108" s="49"/>
      <x:c r="AZ108" s="49"/>
    </x:row>
    <x:row r="109">
      <x:c r="A109" s="49"/>
      <x:c r="B109" s="49"/>
      <x:c r="C109" s="49"/>
      <x:c r="D109" s="49"/>
      <x:c r="E109" s="49"/>
      <x:c r="F109" s="49"/>
      <x:c r="G109" s="49"/>
      <x:c r="H109" s="49"/>
      <x:c r="I109" s="49"/>
      <x:c r="J109" s="49"/>
      <x:c r="K109" s="49"/>
      <x:c r="L109" s="49"/>
      <x:c r="M109" s="49"/>
      <x:c r="N109" s="49"/>
      <x:c r="O109" s="49"/>
      <x:c r="P109" s="49"/>
      <x:c r="Q109" s="49"/>
      <x:c r="R109" s="49"/>
      <x:c r="S109" s="49"/>
      <x:c r="T109" s="49"/>
      <x:c r="U109" s="49"/>
      <x:c r="V109" s="49"/>
      <x:c r="W109" s="49"/>
      <x:c r="X109" s="49"/>
      <x:c r="Y109" s="49"/>
      <x:c r="Z109" s="49"/>
      <x:c r="AA109" s="49"/>
      <x:c r="AB109" s="49"/>
      <x:c r="AC109" s="49"/>
      <x:c r="AD109" s="49"/>
      <x:c r="AE109" s="49"/>
      <x:c r="AF109" s="49"/>
      <x:c r="AG109" s="49"/>
      <x:c r="AH109" s="49"/>
      <x:c r="AI109" s="49"/>
      <x:c r="AJ109" s="49"/>
      <x:c r="AK109" s="49"/>
      <x:c r="AL109" s="49"/>
      <x:c r="AM109" s="49"/>
      <x:c r="AN109" s="49"/>
      <x:c r="AO109" s="49"/>
      <x:c r="AP109" s="49"/>
      <x:c r="AQ109" s="49"/>
      <x:c r="AR109" s="49"/>
      <x:c r="AS109" s="49"/>
      <x:c r="AT109" s="49"/>
      <x:c r="AU109" s="49"/>
      <x:c r="AV109" s="49"/>
      <x:c r="AW109" s="49"/>
      <x:c r="AX109" s="49"/>
      <x:c r="AY109" s="49"/>
      <x:c r="AZ109" s="49"/>
    </x:row>
    <x:row r="110">
      <x:c r="A110" s="49"/>
      <x:c r="B110" s="49"/>
      <x:c r="C110" s="49"/>
      <x:c r="D110" s="49"/>
      <x:c r="E110" s="49"/>
      <x:c r="F110" s="49"/>
      <x:c r="G110" s="49"/>
      <x:c r="H110" s="49"/>
      <x:c r="I110" s="49"/>
      <x:c r="J110" s="49"/>
      <x:c r="K110" s="49"/>
      <x:c r="L110" s="49"/>
      <x:c r="M110" s="49"/>
      <x:c r="N110" s="49"/>
      <x:c r="O110" s="49"/>
      <x:c r="P110" s="49"/>
      <x:c r="Q110" s="49"/>
      <x:c r="R110" s="49"/>
      <x:c r="S110" s="49"/>
      <x:c r="T110" s="49"/>
      <x:c r="U110" s="49"/>
      <x:c r="V110" s="49"/>
      <x:c r="W110" s="49"/>
      <x:c r="X110" s="49"/>
      <x:c r="Y110" s="49"/>
      <x:c r="Z110" s="49"/>
      <x:c r="AA110" s="49"/>
      <x:c r="AB110" s="49"/>
      <x:c r="AC110" s="49"/>
      <x:c r="AD110" s="49"/>
      <x:c r="AE110" s="49"/>
      <x:c r="AF110" s="49"/>
      <x:c r="AG110" s="49"/>
      <x:c r="AH110" s="49"/>
      <x:c r="AI110" s="49"/>
      <x:c r="AJ110" s="49"/>
      <x:c r="AK110" s="49"/>
      <x:c r="AL110" s="49"/>
      <x:c r="AM110" s="49"/>
      <x:c r="AN110" s="49"/>
      <x:c r="AO110" s="49"/>
      <x:c r="AP110" s="49"/>
      <x:c r="AQ110" s="49"/>
      <x:c r="AR110" s="49"/>
      <x:c r="AS110" s="49"/>
      <x:c r="AT110" s="49"/>
      <x:c r="AU110" s="49"/>
      <x:c r="AV110" s="49"/>
      <x:c r="AW110" s="49"/>
      <x:c r="AX110" s="49"/>
      <x:c r="AY110" s="49"/>
      <x:c r="AZ110" s="49"/>
    </x:row>
    <x:row r="111">
      <x:c r="A111" s="49"/>
      <x:c r="B111" s="49"/>
      <x:c r="C111" s="49"/>
      <x:c r="D111" s="49"/>
      <x:c r="E111" s="49"/>
      <x:c r="F111" s="49"/>
      <x:c r="G111" s="49"/>
      <x:c r="H111" s="49"/>
      <x:c r="I111" s="49"/>
      <x:c r="J111" s="49"/>
      <x:c r="K111" s="49"/>
      <x:c r="L111" s="49"/>
      <x:c r="M111" s="49"/>
      <x:c r="N111" s="49"/>
      <x:c r="O111" s="49"/>
      <x:c r="P111" s="49"/>
      <x:c r="Q111" s="49"/>
      <x:c r="R111" s="49"/>
      <x:c r="S111" s="49"/>
      <x:c r="T111" s="49"/>
      <x:c r="U111" s="49"/>
      <x:c r="V111" s="49"/>
      <x:c r="W111" s="49"/>
      <x:c r="X111" s="49"/>
      <x:c r="Y111" s="49"/>
      <x:c r="Z111" s="49"/>
      <x:c r="AA111" s="49"/>
      <x:c r="AB111" s="49"/>
      <x:c r="AC111" s="49"/>
      <x:c r="AD111" s="49"/>
      <x:c r="AE111" s="49"/>
      <x:c r="AF111" s="49"/>
      <x:c r="AG111" s="49"/>
      <x:c r="AH111" s="49"/>
      <x:c r="AI111" s="49"/>
      <x:c r="AJ111" s="49"/>
      <x:c r="AK111" s="49"/>
      <x:c r="AL111" s="49"/>
      <x:c r="AM111" s="49"/>
      <x:c r="AN111" s="49"/>
      <x:c r="AO111" s="49"/>
      <x:c r="AP111" s="49"/>
      <x:c r="AQ111" s="49"/>
      <x:c r="AR111" s="49"/>
      <x:c r="AS111" s="49"/>
      <x:c r="AT111" s="49"/>
      <x:c r="AU111" s="49"/>
      <x:c r="AV111" s="49"/>
      <x:c r="AW111" s="49"/>
      <x:c r="AX111" s="49"/>
      <x:c r="AY111" s="49"/>
      <x:c r="AZ111" s="49"/>
    </x:row>
    <x:row r="112">
      <x:c r="A112" s="49"/>
      <x:c r="B112" s="49"/>
      <x:c r="C112" s="49"/>
      <x:c r="D112" s="49"/>
      <x:c r="E112" s="49"/>
      <x:c r="F112" s="49"/>
      <x:c r="G112" s="49"/>
      <x:c r="H112" s="49"/>
      <x:c r="I112" s="49"/>
      <x:c r="J112" s="49"/>
      <x:c r="K112" s="49"/>
      <x:c r="L112" s="49"/>
      <x:c r="M112" s="49"/>
      <x:c r="N112" s="49"/>
      <x:c r="O112" s="49"/>
      <x:c r="P112" s="49"/>
      <x:c r="Q112" s="49"/>
      <x:c r="R112" s="49"/>
      <x:c r="S112" s="49"/>
      <x:c r="T112" s="49"/>
      <x:c r="U112" s="49"/>
      <x:c r="V112" s="49"/>
      <x:c r="W112" s="49"/>
      <x:c r="X112" s="49"/>
      <x:c r="Y112" s="49"/>
      <x:c r="Z112" s="49"/>
      <x:c r="AA112" s="49"/>
      <x:c r="AB112" s="49"/>
      <x:c r="AC112" s="49"/>
      <x:c r="AD112" s="49"/>
      <x:c r="AE112" s="49"/>
      <x:c r="AF112" s="49"/>
      <x:c r="AG112" s="49"/>
      <x:c r="AH112" s="49"/>
      <x:c r="AI112" s="49"/>
      <x:c r="AJ112" s="49"/>
      <x:c r="AK112" s="49"/>
      <x:c r="AL112" s="49"/>
      <x:c r="AM112" s="49"/>
      <x:c r="AN112" s="49"/>
      <x:c r="AO112" s="49"/>
      <x:c r="AP112" s="49"/>
      <x:c r="AQ112" s="49"/>
      <x:c r="AR112" s="49"/>
      <x:c r="AS112" s="49"/>
      <x:c r="AT112" s="49"/>
      <x:c r="AU112" s="49"/>
      <x:c r="AV112" s="49"/>
      <x:c r="AW112" s="49"/>
      <x:c r="AX112" s="49"/>
      <x:c r="AY112" s="49"/>
      <x:c r="AZ112" s="49"/>
    </x:row>
    <x:row r="113">
      <x:c r="A113" s="49"/>
      <x:c r="B113" s="49"/>
      <x:c r="C113" s="49"/>
      <x:c r="D113" s="49"/>
      <x:c r="E113" s="49"/>
      <x:c r="F113" s="49"/>
      <x:c r="G113" s="49"/>
      <x:c r="H113" s="49"/>
      <x:c r="I113" s="49"/>
      <x:c r="J113" s="49"/>
      <x:c r="K113" s="49"/>
      <x:c r="L113" s="49"/>
      <x:c r="M113" s="49"/>
      <x:c r="N113" s="49"/>
      <x:c r="O113" s="49"/>
      <x:c r="P113" s="49"/>
      <x:c r="Q113" s="49"/>
      <x:c r="R113" s="49"/>
      <x:c r="S113" s="49"/>
      <x:c r="T113" s="49"/>
      <x:c r="U113" s="49"/>
      <x:c r="V113" s="49"/>
      <x:c r="W113" s="49"/>
      <x:c r="X113" s="49"/>
      <x:c r="Y113" s="49"/>
      <x:c r="Z113" s="49"/>
      <x:c r="AA113" s="49"/>
      <x:c r="AB113" s="49"/>
      <x:c r="AC113" s="49"/>
      <x:c r="AD113" s="49"/>
      <x:c r="AE113" s="49"/>
      <x:c r="AF113" s="49"/>
      <x:c r="AG113" s="49"/>
      <x:c r="AH113" s="49"/>
      <x:c r="AI113" s="49"/>
      <x:c r="AJ113" s="49"/>
      <x:c r="AK113" s="49"/>
      <x:c r="AL113" s="49"/>
      <x:c r="AM113" s="49"/>
      <x:c r="AN113" s="49"/>
      <x:c r="AO113" s="49"/>
      <x:c r="AP113" s="49"/>
      <x:c r="AQ113" s="49"/>
      <x:c r="AR113" s="49"/>
      <x:c r="AS113" s="49"/>
      <x:c r="AT113" s="49"/>
      <x:c r="AU113" s="49"/>
      <x:c r="AV113" s="49"/>
      <x:c r="AW113" s="49"/>
      <x:c r="AX113" s="49"/>
      <x:c r="AY113" s="49"/>
      <x:c r="AZ113" s="49"/>
    </x:row>
    <x:row r="114">
      <x:c r="A114" s="49"/>
      <x:c r="B114" s="49"/>
      <x:c r="C114" s="49"/>
      <x:c r="D114" s="49"/>
      <x:c r="E114" s="49"/>
      <x:c r="F114" s="49"/>
      <x:c r="G114" s="49"/>
      <x:c r="H114" s="49"/>
      <x:c r="I114" s="49"/>
      <x:c r="J114" s="49"/>
      <x:c r="K114" s="49"/>
      <x:c r="L114" s="49"/>
      <x:c r="M114" s="49"/>
      <x:c r="N114" s="49"/>
      <x:c r="O114" s="49"/>
      <x:c r="P114" s="49"/>
      <x:c r="Q114" s="49"/>
      <x:c r="R114" s="49"/>
      <x:c r="S114" s="49"/>
      <x:c r="T114" s="49"/>
      <x:c r="U114" s="49"/>
      <x:c r="V114" s="49"/>
      <x:c r="W114" s="49"/>
      <x:c r="X114" s="49"/>
      <x:c r="Y114" s="49"/>
      <x:c r="Z114" s="49"/>
      <x:c r="AA114" s="49"/>
      <x:c r="AB114" s="49"/>
      <x:c r="AC114" s="49"/>
      <x:c r="AD114" s="49"/>
      <x:c r="AE114" s="49"/>
      <x:c r="AF114" s="49"/>
      <x:c r="AG114" s="49"/>
      <x:c r="AH114" s="49"/>
      <x:c r="AI114" s="49"/>
      <x:c r="AJ114" s="49"/>
      <x:c r="AK114" s="49"/>
      <x:c r="AL114" s="49"/>
      <x:c r="AM114" s="49"/>
      <x:c r="AN114" s="49"/>
      <x:c r="AO114" s="49"/>
      <x:c r="AP114" s="49"/>
      <x:c r="AQ114" s="49"/>
      <x:c r="AR114" s="49"/>
      <x:c r="AS114" s="49"/>
      <x:c r="AT114" s="49"/>
      <x:c r="AU114" s="49"/>
      <x:c r="AV114" s="49"/>
      <x:c r="AW114" s="49"/>
      <x:c r="AX114" s="49"/>
      <x:c r="AY114" s="49"/>
      <x:c r="AZ114" s="49"/>
    </x:row>
    <x:row r="115">
      <x:c r="A115" s="49"/>
      <x:c r="B115" s="49"/>
      <x:c r="C115" s="49"/>
      <x:c r="D115" s="49"/>
      <x:c r="E115" s="49"/>
      <x:c r="F115" s="49"/>
      <x:c r="G115" s="49"/>
      <x:c r="H115" s="49"/>
      <x:c r="I115" s="49"/>
      <x:c r="J115" s="49"/>
      <x:c r="K115" s="49"/>
      <x:c r="L115" s="49"/>
      <x:c r="M115" s="49"/>
      <x:c r="N115" s="49"/>
      <x:c r="O115" s="49"/>
      <x:c r="P115" s="49"/>
      <x:c r="Q115" s="49"/>
      <x:c r="R115" s="49"/>
      <x:c r="S115" s="49"/>
      <x:c r="T115" s="49"/>
      <x:c r="U115" s="49"/>
      <x:c r="V115" s="49"/>
      <x:c r="W115" s="49"/>
      <x:c r="X115" s="49"/>
      <x:c r="Y115" s="49"/>
      <x:c r="Z115" s="49"/>
      <x:c r="AA115" s="49"/>
      <x:c r="AB115" s="49"/>
      <x:c r="AC115" s="49"/>
      <x:c r="AD115" s="49"/>
      <x:c r="AE115" s="49"/>
      <x:c r="AF115" s="49"/>
      <x:c r="AG115" s="49"/>
      <x:c r="AH115" s="49"/>
      <x:c r="AI115" s="49"/>
      <x:c r="AJ115" s="49"/>
      <x:c r="AK115" s="49"/>
      <x:c r="AL115" s="49"/>
      <x:c r="AM115" s="49"/>
      <x:c r="AN115" s="49"/>
      <x:c r="AO115" s="49"/>
      <x:c r="AP115" s="49"/>
      <x:c r="AQ115" s="49"/>
      <x:c r="AR115" s="49"/>
      <x:c r="AS115" s="49"/>
      <x:c r="AT115" s="49"/>
      <x:c r="AU115" s="49"/>
      <x:c r="AV115" s="49"/>
      <x:c r="AW115" s="49"/>
      <x:c r="AX115" s="49"/>
      <x:c r="AY115" s="49"/>
      <x:c r="AZ115" s="49"/>
    </x:row>
    <x:row r="116">
      <x:c r="A116" s="49"/>
      <x:c r="B116" s="49"/>
      <x:c r="C116" s="49"/>
      <x:c r="D116" s="49"/>
      <x:c r="E116" s="49"/>
      <x:c r="F116" s="49"/>
      <x:c r="G116" s="49"/>
      <x:c r="H116" s="49"/>
      <x:c r="I116" s="49"/>
      <x:c r="J116" s="49"/>
      <x:c r="K116" s="49"/>
      <x:c r="L116" s="49"/>
      <x:c r="M116" s="49"/>
      <x:c r="N116" s="49"/>
      <x:c r="O116" s="49"/>
      <x:c r="P116" s="49"/>
      <x:c r="Q116" s="49"/>
      <x:c r="R116" s="49"/>
      <x:c r="S116" s="49"/>
      <x:c r="T116" s="49"/>
      <x:c r="U116" s="49"/>
      <x:c r="V116" s="49"/>
      <x:c r="W116" s="49"/>
      <x:c r="X116" s="49"/>
      <x:c r="Y116" s="49"/>
      <x:c r="Z116" s="49"/>
      <x:c r="AA116" s="49"/>
      <x:c r="AB116" s="49"/>
      <x:c r="AC116" s="49"/>
      <x:c r="AD116" s="49"/>
      <x:c r="AE116" s="49"/>
      <x:c r="AF116" s="49"/>
      <x:c r="AG116" s="49"/>
      <x:c r="AH116" s="49"/>
      <x:c r="AI116" s="49"/>
      <x:c r="AJ116" s="49"/>
      <x:c r="AK116" s="49"/>
      <x:c r="AL116" s="49"/>
      <x:c r="AM116" s="49"/>
      <x:c r="AN116" s="49"/>
      <x:c r="AO116" s="49"/>
      <x:c r="AP116" s="49"/>
      <x:c r="AQ116" s="49"/>
      <x:c r="AR116" s="49"/>
      <x:c r="AS116" s="49"/>
      <x:c r="AT116" s="49"/>
      <x:c r="AU116" s="49"/>
      <x:c r="AV116" s="49"/>
      <x:c r="AW116" s="49"/>
      <x:c r="AX116" s="49"/>
      <x:c r="AY116" s="49"/>
      <x:c r="AZ116" s="49"/>
    </x:row>
    <x:row r="117">
      <x:c r="A117" s="49"/>
      <x:c r="B117" s="49"/>
      <x:c r="C117" s="49"/>
      <x:c r="D117" s="49"/>
      <x:c r="E117" s="49"/>
      <x:c r="F117" s="49"/>
      <x:c r="G117" s="49"/>
      <x:c r="H117" s="49"/>
      <x:c r="I117" s="49"/>
      <x:c r="J117" s="49"/>
      <x:c r="K117" s="49"/>
      <x:c r="L117" s="49"/>
      <x:c r="M117" s="49"/>
      <x:c r="N117" s="49"/>
      <x:c r="O117" s="49"/>
      <x:c r="P117" s="49"/>
      <x:c r="Q117" s="49"/>
      <x:c r="R117" s="49"/>
      <x:c r="S117" s="49"/>
      <x:c r="T117" s="49"/>
      <x:c r="U117" s="49"/>
      <x:c r="V117" s="49"/>
      <x:c r="W117" s="49"/>
      <x:c r="X117" s="49"/>
      <x:c r="Y117" s="49"/>
      <x:c r="Z117" s="49"/>
      <x:c r="AA117" s="49"/>
      <x:c r="AB117" s="49"/>
      <x:c r="AC117" s="49"/>
      <x:c r="AD117" s="49"/>
      <x:c r="AE117" s="49"/>
      <x:c r="AF117" s="49"/>
      <x:c r="AG117" s="49"/>
      <x:c r="AH117" s="49"/>
      <x:c r="AI117" s="49"/>
      <x:c r="AJ117" s="49"/>
      <x:c r="AK117" s="49"/>
      <x:c r="AL117" s="49"/>
      <x:c r="AM117" s="49"/>
      <x:c r="AN117" s="49"/>
      <x:c r="AO117" s="49"/>
      <x:c r="AP117" s="49"/>
      <x:c r="AQ117" s="49"/>
      <x:c r="AR117" s="49"/>
      <x:c r="AS117" s="49"/>
      <x:c r="AT117" s="49"/>
      <x:c r="AU117" s="49"/>
      <x:c r="AV117" s="49"/>
      <x:c r="AW117" s="49"/>
      <x:c r="AX117" s="49"/>
      <x:c r="AY117" s="49"/>
      <x:c r="AZ117" s="49"/>
    </x:row>
    <x:row r="118">
      <x:c r="A118" s="49"/>
      <x:c r="B118" s="49"/>
      <x:c r="C118" s="49"/>
      <x:c r="D118" s="49"/>
      <x:c r="E118" s="49"/>
      <x:c r="F118" s="49"/>
      <x:c r="G118" s="49"/>
      <x:c r="H118" s="49"/>
      <x:c r="I118" s="49"/>
      <x:c r="J118" s="49"/>
      <x:c r="K118" s="49"/>
      <x:c r="L118" s="49"/>
      <x:c r="M118" s="49"/>
      <x:c r="N118" s="49"/>
      <x:c r="O118" s="49"/>
      <x:c r="P118" s="49"/>
      <x:c r="Q118" s="49"/>
      <x:c r="R118" s="49"/>
      <x:c r="S118" s="49"/>
      <x:c r="T118" s="49"/>
      <x:c r="U118" s="49"/>
      <x:c r="V118" s="49"/>
      <x:c r="W118" s="49"/>
      <x:c r="X118" s="49"/>
      <x:c r="Y118" s="49"/>
      <x:c r="Z118" s="49"/>
      <x:c r="AA118" s="49"/>
      <x:c r="AB118" s="49"/>
      <x:c r="AC118" s="49"/>
      <x:c r="AD118" s="49"/>
      <x:c r="AE118" s="49"/>
      <x:c r="AF118" s="49"/>
      <x:c r="AG118" s="49"/>
      <x:c r="AH118" s="49"/>
      <x:c r="AI118" s="49"/>
      <x:c r="AJ118" s="49"/>
      <x:c r="AK118" s="49"/>
      <x:c r="AL118" s="49"/>
      <x:c r="AM118" s="49"/>
      <x:c r="AN118" s="49"/>
      <x:c r="AO118" s="49"/>
      <x:c r="AP118" s="49"/>
      <x:c r="AQ118" s="49"/>
      <x:c r="AR118" s="49"/>
      <x:c r="AS118" s="49"/>
      <x:c r="AT118" s="49"/>
      <x:c r="AU118" s="49"/>
      <x:c r="AV118" s="49"/>
      <x:c r="AW118" s="49"/>
      <x:c r="AX118" s="49"/>
      <x:c r="AY118" s="49"/>
      <x:c r="AZ118" s="49"/>
    </x:row>
    <x:row r="119">
      <x:c r="A119" s="49"/>
      <x:c r="B119" s="49"/>
      <x:c r="C119" s="49"/>
      <x:c r="D119" s="49"/>
      <x:c r="E119" s="49"/>
      <x:c r="F119" s="49"/>
      <x:c r="G119" s="49"/>
      <x:c r="H119" s="49"/>
      <x:c r="I119" s="49"/>
      <x:c r="J119" s="49"/>
      <x:c r="K119" s="49"/>
      <x:c r="L119" s="49"/>
      <x:c r="M119" s="49"/>
      <x:c r="N119" s="49"/>
      <x:c r="O119" s="49"/>
      <x:c r="P119" s="49"/>
      <x:c r="Q119" s="49"/>
      <x:c r="R119" s="49"/>
      <x:c r="S119" s="49"/>
      <x:c r="T119" s="49"/>
      <x:c r="U119" s="49"/>
      <x:c r="V119" s="49"/>
      <x:c r="W119" s="49"/>
      <x:c r="X119" s="49"/>
      <x:c r="Y119" s="49"/>
      <x:c r="Z119" s="49"/>
      <x:c r="AA119" s="49"/>
      <x:c r="AB119" s="49"/>
      <x:c r="AC119" s="49"/>
      <x:c r="AD119" s="49"/>
      <x:c r="AE119" s="49"/>
      <x:c r="AF119" s="49"/>
      <x:c r="AG119" s="49"/>
      <x:c r="AH119" s="49"/>
      <x:c r="AI119" s="49"/>
      <x:c r="AJ119" s="49"/>
      <x:c r="AK119" s="49"/>
      <x:c r="AL119" s="49"/>
      <x:c r="AM119" s="49"/>
      <x:c r="AN119" s="49"/>
      <x:c r="AO119" s="49"/>
      <x:c r="AP119" s="49"/>
      <x:c r="AQ119" s="49"/>
      <x:c r="AR119" s="49"/>
      <x:c r="AS119" s="49"/>
      <x:c r="AT119" s="49"/>
      <x:c r="AU119" s="49"/>
      <x:c r="AV119" s="49"/>
      <x:c r="AW119" s="49"/>
      <x:c r="AX119" s="49"/>
      <x:c r="AY119" s="49"/>
      <x:c r="AZ119" s="49"/>
    </x:row>
    <x:row r="120">
      <x:c r="A120" s="49"/>
      <x:c r="B120" s="49"/>
      <x:c r="C120" s="49"/>
      <x:c r="D120" s="49"/>
      <x:c r="E120" s="49"/>
      <x:c r="F120" s="49"/>
      <x:c r="G120" s="49"/>
      <x:c r="H120" s="49"/>
      <x:c r="I120" s="49"/>
      <x:c r="J120" s="49"/>
      <x:c r="K120" s="49"/>
      <x:c r="L120" s="49"/>
      <x:c r="M120" s="49"/>
      <x:c r="N120" s="49"/>
      <x:c r="O120" s="49"/>
      <x:c r="P120" s="49"/>
      <x:c r="Q120" s="49"/>
      <x:c r="R120" s="49"/>
      <x:c r="S120" s="49"/>
      <x:c r="T120" s="49"/>
      <x:c r="U120" s="49"/>
      <x:c r="V120" s="49"/>
      <x:c r="W120" s="49"/>
      <x:c r="X120" s="49"/>
      <x:c r="Y120" s="49"/>
      <x:c r="Z120" s="49"/>
      <x:c r="AA120" s="49"/>
      <x:c r="AB120" s="49"/>
      <x:c r="AC120" s="49"/>
      <x:c r="AD120" s="49"/>
      <x:c r="AE120" s="49"/>
      <x:c r="AF120" s="49"/>
      <x:c r="AG120" s="49"/>
      <x:c r="AH120" s="49"/>
      <x:c r="AI120" s="49"/>
      <x:c r="AJ120" s="49"/>
      <x:c r="AK120" s="49"/>
      <x:c r="AL120" s="49"/>
      <x:c r="AM120" s="49"/>
      <x:c r="AN120" s="49"/>
      <x:c r="AO120" s="49"/>
      <x:c r="AP120" s="49"/>
      <x:c r="AQ120" s="49"/>
      <x:c r="AR120" s="49"/>
      <x:c r="AS120" s="49"/>
      <x:c r="AT120" s="49"/>
      <x:c r="AU120" s="49"/>
      <x:c r="AV120" s="49"/>
      <x:c r="AW120" s="49"/>
      <x:c r="AX120" s="49"/>
      <x:c r="AY120" s="49"/>
      <x:c r="AZ120" s="49"/>
    </x:row>
    <x:row r="121">
      <x:c r="A121" s="49"/>
      <x:c r="B121" s="49"/>
      <x:c r="C121" s="49"/>
      <x:c r="D121" s="49"/>
      <x:c r="E121" s="49"/>
      <x:c r="F121" s="49"/>
      <x:c r="G121" s="49"/>
      <x:c r="H121" s="49"/>
      <x:c r="I121" s="49"/>
      <x:c r="J121" s="49"/>
      <x:c r="K121" s="49"/>
      <x:c r="L121" s="49"/>
      <x:c r="M121" s="49"/>
      <x:c r="N121" s="49"/>
      <x:c r="O121" s="49"/>
      <x:c r="P121" s="49"/>
      <x:c r="Q121" s="49"/>
      <x:c r="R121" s="49"/>
      <x:c r="S121" s="49"/>
      <x:c r="T121" s="49"/>
      <x:c r="U121" s="49"/>
      <x:c r="V121" s="49"/>
      <x:c r="W121" s="49"/>
      <x:c r="X121" s="49"/>
      <x:c r="Y121" s="49"/>
      <x:c r="Z121" s="49"/>
      <x:c r="AA121" s="49"/>
      <x:c r="AB121" s="49"/>
      <x:c r="AC121" s="49"/>
      <x:c r="AD121" s="49"/>
      <x:c r="AE121" s="49"/>
      <x:c r="AF121" s="49"/>
      <x:c r="AG121" s="49"/>
      <x:c r="AH121" s="49"/>
      <x:c r="AI121" s="49"/>
      <x:c r="AJ121" s="49"/>
      <x:c r="AK121" s="49"/>
      <x:c r="AL121" s="49"/>
      <x:c r="AM121" s="49"/>
      <x:c r="AN121" s="49"/>
      <x:c r="AO121" s="49"/>
      <x:c r="AP121" s="49"/>
      <x:c r="AQ121" s="49"/>
      <x:c r="AR121" s="49"/>
      <x:c r="AS121" s="49"/>
      <x:c r="AT121" s="49"/>
      <x:c r="AU121" s="49"/>
      <x:c r="AV121" s="49"/>
      <x:c r="AW121" s="49"/>
      <x:c r="AX121" s="49"/>
      <x:c r="AY121" s="49"/>
      <x:c r="AZ121" s="49"/>
    </x:row>
    <x:row r="122">
      <x:c r="A122" s="49"/>
      <x:c r="B122" s="49"/>
      <x:c r="C122" s="49"/>
      <x:c r="D122" s="49"/>
      <x:c r="E122" s="49"/>
      <x:c r="F122" s="49"/>
      <x:c r="G122" s="49"/>
      <x:c r="H122" s="49"/>
      <x:c r="I122" s="49"/>
      <x:c r="J122" s="49"/>
      <x:c r="K122" s="49"/>
      <x:c r="L122" s="49"/>
      <x:c r="M122" s="49"/>
      <x:c r="N122" s="49"/>
      <x:c r="O122" s="49"/>
      <x:c r="P122" s="49"/>
      <x:c r="Q122" s="49"/>
      <x:c r="R122" s="49"/>
      <x:c r="S122" s="49"/>
      <x:c r="T122" s="49"/>
      <x:c r="U122" s="49"/>
      <x:c r="V122" s="49"/>
      <x:c r="W122" s="49"/>
      <x:c r="X122" s="49"/>
      <x:c r="Y122" s="49"/>
      <x:c r="Z122" s="49"/>
      <x:c r="AA122" s="49"/>
      <x:c r="AB122" s="49"/>
      <x:c r="AC122" s="49"/>
      <x:c r="AD122" s="49"/>
      <x:c r="AE122" s="49"/>
      <x:c r="AF122" s="49"/>
      <x:c r="AG122" s="49"/>
      <x:c r="AH122" s="49"/>
      <x:c r="AI122" s="49"/>
      <x:c r="AJ122" s="49"/>
      <x:c r="AK122" s="49"/>
      <x:c r="AL122" s="49"/>
      <x:c r="AM122" s="49"/>
      <x:c r="AN122" s="49"/>
      <x:c r="AO122" s="49"/>
      <x:c r="AP122" s="49"/>
      <x:c r="AQ122" s="49"/>
      <x:c r="AR122" s="49"/>
      <x:c r="AS122" s="49"/>
      <x:c r="AT122" s="49"/>
      <x:c r="AU122" s="49"/>
      <x:c r="AV122" s="49"/>
      <x:c r="AW122" s="49"/>
      <x:c r="AX122" s="49"/>
      <x:c r="AY122" s="49"/>
      <x:c r="AZ122" s="49"/>
    </x:row>
    <x:row r="123">
      <x:c r="A123" s="49"/>
      <x:c r="B123" s="49"/>
      <x:c r="C123" s="49"/>
      <x:c r="D123" s="49"/>
      <x:c r="E123" s="49"/>
      <x:c r="F123" s="49"/>
      <x:c r="G123" s="49"/>
      <x:c r="H123" s="49"/>
      <x:c r="I123" s="49"/>
      <x:c r="J123" s="49"/>
      <x:c r="K123" s="49"/>
      <x:c r="L123" s="49"/>
      <x:c r="M123" s="49"/>
      <x:c r="N123" s="49"/>
      <x:c r="O123" s="49"/>
      <x:c r="P123" s="49"/>
      <x:c r="Q123" s="49"/>
      <x:c r="R123" s="49"/>
      <x:c r="S123" s="49"/>
      <x:c r="T123" s="49"/>
      <x:c r="U123" s="49"/>
      <x:c r="V123" s="49"/>
      <x:c r="W123" s="49"/>
      <x:c r="X123" s="49"/>
      <x:c r="Y123" s="49"/>
      <x:c r="Z123" s="49"/>
      <x:c r="AA123" s="49"/>
      <x:c r="AB123" s="49"/>
      <x:c r="AC123" s="49"/>
      <x:c r="AD123" s="49"/>
      <x:c r="AE123" s="49"/>
      <x:c r="AF123" s="49"/>
      <x:c r="AG123" s="49"/>
      <x:c r="AH123" s="49"/>
      <x:c r="AI123" s="49"/>
      <x:c r="AJ123" s="49"/>
      <x:c r="AK123" s="49"/>
      <x:c r="AL123" s="49"/>
      <x:c r="AM123" s="49"/>
      <x:c r="AN123" s="49"/>
      <x:c r="AO123" s="49"/>
      <x:c r="AP123" s="49"/>
      <x:c r="AQ123" s="49"/>
      <x:c r="AR123" s="49"/>
      <x:c r="AS123" s="49"/>
      <x:c r="AT123" s="49"/>
      <x:c r="AU123" s="49"/>
      <x:c r="AV123" s="49"/>
      <x:c r="AW123" s="49"/>
      <x:c r="AX123" s="49"/>
      <x:c r="AY123" s="49"/>
      <x:c r="AZ123" s="49"/>
    </x:row>
    <x:row r="124">
      <x:c r="A124" s="49"/>
      <x:c r="B124" s="49"/>
      <x:c r="C124" s="49"/>
      <x:c r="D124" s="49"/>
      <x:c r="E124" s="49"/>
      <x:c r="F124" s="49"/>
      <x:c r="G124" s="49"/>
      <x:c r="H124" s="49"/>
      <x:c r="I124" s="49"/>
      <x:c r="J124" s="49"/>
      <x:c r="K124" s="49"/>
      <x:c r="L124" s="49"/>
      <x:c r="M124" s="49"/>
      <x:c r="N124" s="49"/>
      <x:c r="O124" s="49"/>
      <x:c r="P124" s="49"/>
      <x:c r="Q124" s="49"/>
      <x:c r="R124" s="49"/>
      <x:c r="S124" s="49"/>
      <x:c r="T124" s="49"/>
      <x:c r="U124" s="49"/>
      <x:c r="V124" s="49"/>
      <x:c r="W124" s="49"/>
      <x:c r="X124" s="49"/>
      <x:c r="Y124" s="49"/>
      <x:c r="Z124" s="49"/>
      <x:c r="AA124" s="49"/>
      <x:c r="AB124" s="49"/>
      <x:c r="AC124" s="49"/>
      <x:c r="AD124" s="49"/>
      <x:c r="AE124" s="49"/>
      <x:c r="AF124" s="49"/>
      <x:c r="AG124" s="49"/>
      <x:c r="AH124" s="49"/>
      <x:c r="AI124" s="49"/>
      <x:c r="AJ124" s="49"/>
      <x:c r="AK124" s="49"/>
      <x:c r="AL124" s="49"/>
      <x:c r="AM124" s="49"/>
      <x:c r="AN124" s="49"/>
      <x:c r="AO124" s="49"/>
      <x:c r="AP124" s="49"/>
      <x:c r="AQ124" s="49"/>
      <x:c r="AR124" s="49"/>
      <x:c r="AS124" s="49"/>
      <x:c r="AT124" s="49"/>
      <x:c r="AU124" s="49"/>
      <x:c r="AV124" s="49"/>
      <x:c r="AW124" s="49"/>
      <x:c r="AX124" s="49"/>
      <x:c r="AY124" s="49"/>
      <x:c r="AZ124" s="49"/>
    </x:row>
    <x:row r="125">
      <x:c r="A125" s="49"/>
      <x:c r="B125" s="49"/>
      <x:c r="C125" s="49"/>
      <x:c r="D125" s="49"/>
      <x:c r="E125" s="49"/>
      <x:c r="F125" s="49"/>
      <x:c r="G125" s="49"/>
      <x:c r="H125" s="49"/>
      <x:c r="I125" s="49"/>
      <x:c r="J125" s="49"/>
      <x:c r="K125" s="49"/>
      <x:c r="L125" s="49"/>
      <x:c r="M125" s="49"/>
      <x:c r="N125" s="49"/>
      <x:c r="O125" s="49"/>
      <x:c r="P125" s="49"/>
      <x:c r="Q125" s="49"/>
      <x:c r="R125" s="49"/>
      <x:c r="S125" s="49"/>
      <x:c r="T125" s="49"/>
      <x:c r="U125" s="49"/>
      <x:c r="V125" s="49"/>
      <x:c r="W125" s="49"/>
      <x:c r="X125" s="49"/>
      <x:c r="Y125" s="49"/>
      <x:c r="Z125" s="49"/>
      <x:c r="AA125" s="49"/>
      <x:c r="AB125" s="49"/>
      <x:c r="AC125" s="49"/>
      <x:c r="AD125" s="49"/>
      <x:c r="AE125" s="49"/>
      <x:c r="AF125" s="49"/>
      <x:c r="AG125" s="49"/>
      <x:c r="AH125" s="49"/>
      <x:c r="AI125" s="49"/>
      <x:c r="AJ125" s="49"/>
      <x:c r="AK125" s="49"/>
      <x:c r="AL125" s="49"/>
      <x:c r="AM125" s="49"/>
      <x:c r="AN125" s="49"/>
      <x:c r="AO125" s="49"/>
      <x:c r="AP125" s="49"/>
      <x:c r="AQ125" s="49"/>
      <x:c r="AR125" s="49"/>
      <x:c r="AS125" s="49"/>
      <x:c r="AT125" s="49"/>
      <x:c r="AU125" s="49"/>
      <x:c r="AV125" s="49"/>
      <x:c r="AW125" s="49"/>
      <x:c r="AX125" s="49"/>
      <x:c r="AY125" s="49"/>
      <x:c r="AZ125" s="49"/>
    </x:row>
    <x:row r="126">
      <x:c r="A126" s="49"/>
      <x:c r="B126" s="49"/>
      <x:c r="C126" s="49"/>
      <x:c r="D126" s="49"/>
      <x:c r="E126" s="49"/>
      <x:c r="F126" s="49"/>
      <x:c r="G126" s="49"/>
      <x:c r="H126" s="49"/>
      <x:c r="I126" s="49"/>
      <x:c r="J126" s="49"/>
      <x:c r="K126" s="49"/>
      <x:c r="L126" s="49"/>
      <x:c r="M126" s="49"/>
      <x:c r="N126" s="49"/>
      <x:c r="O126" s="49"/>
      <x:c r="P126" s="49"/>
      <x:c r="Q126" s="49"/>
      <x:c r="R126" s="49"/>
      <x:c r="S126" s="49"/>
      <x:c r="T126" s="49"/>
      <x:c r="U126" s="49"/>
      <x:c r="V126" s="49"/>
      <x:c r="W126" s="49"/>
      <x:c r="X126" s="49"/>
      <x:c r="Y126" s="49"/>
      <x:c r="Z126" s="49"/>
      <x:c r="AA126" s="49"/>
      <x:c r="AB126" s="49"/>
      <x:c r="AC126" s="49"/>
      <x:c r="AD126" s="49"/>
      <x:c r="AE126" s="49"/>
      <x:c r="AF126" s="49"/>
      <x:c r="AG126" s="49"/>
      <x:c r="AH126" s="49"/>
      <x:c r="AI126" s="49"/>
      <x:c r="AJ126" s="49"/>
      <x:c r="AK126" s="49"/>
      <x:c r="AL126" s="49"/>
      <x:c r="AM126" s="49"/>
      <x:c r="AN126" s="49"/>
      <x:c r="AO126" s="49"/>
      <x:c r="AP126" s="49"/>
      <x:c r="AQ126" s="49"/>
      <x:c r="AR126" s="49"/>
      <x:c r="AS126" s="49"/>
      <x:c r="AT126" s="49"/>
      <x:c r="AU126" s="49"/>
      <x:c r="AV126" s="49"/>
      <x:c r="AW126" s="49"/>
      <x:c r="AX126" s="49"/>
      <x:c r="AY126" s="49"/>
      <x:c r="AZ126" s="49"/>
    </x:row>
    <x:row r="127">
      <x:c r="A127" s="49"/>
      <x:c r="B127" s="49"/>
      <x:c r="C127" s="49"/>
      <x:c r="D127" s="49"/>
      <x:c r="E127" s="49"/>
      <x:c r="F127" s="49"/>
      <x:c r="G127" s="49"/>
      <x:c r="H127" s="49"/>
      <x:c r="I127" s="49"/>
      <x:c r="J127" s="49"/>
      <x:c r="K127" s="49"/>
      <x:c r="L127" s="49"/>
      <x:c r="M127" s="49"/>
      <x:c r="N127" s="49"/>
      <x:c r="O127" s="49"/>
      <x:c r="P127" s="49"/>
      <x:c r="Q127" s="49"/>
      <x:c r="R127" s="49"/>
      <x:c r="S127" s="49"/>
      <x:c r="T127" s="49"/>
      <x:c r="U127" s="49"/>
      <x:c r="V127" s="49"/>
      <x:c r="W127" s="49"/>
      <x:c r="X127" s="49"/>
      <x:c r="Y127" s="49"/>
      <x:c r="Z127" s="49"/>
      <x:c r="AA127" s="49"/>
      <x:c r="AB127" s="49"/>
      <x:c r="AC127" s="49"/>
      <x:c r="AD127" s="49"/>
      <x:c r="AE127" s="49"/>
      <x:c r="AF127" s="49"/>
      <x:c r="AG127" s="49"/>
      <x:c r="AH127" s="49"/>
      <x:c r="AI127" s="49"/>
      <x:c r="AJ127" s="49"/>
      <x:c r="AK127" s="49"/>
      <x:c r="AL127" s="49"/>
      <x:c r="AM127" s="49"/>
      <x:c r="AN127" s="49"/>
      <x:c r="AO127" s="49"/>
      <x:c r="AP127" s="49"/>
      <x:c r="AQ127" s="49"/>
      <x:c r="AR127" s="49"/>
      <x:c r="AS127" s="49"/>
      <x:c r="AT127" s="49"/>
      <x:c r="AU127" s="49"/>
      <x:c r="AV127" s="49"/>
      <x:c r="AW127" s="49"/>
      <x:c r="AX127" s="49"/>
      <x:c r="AY127" s="49"/>
      <x:c r="AZ127" s="49"/>
    </x:row>
    <x:row r="128">
      <x:c r="A128" s="49"/>
      <x:c r="B128" s="49"/>
      <x:c r="C128" s="49"/>
      <x:c r="D128" s="49"/>
      <x:c r="E128" s="49"/>
      <x:c r="F128" s="49"/>
      <x:c r="G128" s="49"/>
      <x:c r="H128" s="49"/>
      <x:c r="I128" s="49"/>
      <x:c r="J128" s="49"/>
      <x:c r="K128" s="49"/>
      <x:c r="L128" s="49"/>
      <x:c r="M128" s="49"/>
      <x:c r="N128" s="49"/>
      <x:c r="O128" s="49"/>
      <x:c r="P128" s="49"/>
      <x:c r="Q128" s="49"/>
      <x:c r="R128" s="49"/>
      <x:c r="S128" s="49"/>
      <x:c r="T128" s="49"/>
      <x:c r="U128" s="49"/>
      <x:c r="V128" s="49"/>
      <x:c r="W128" s="49"/>
      <x:c r="X128" s="49"/>
      <x:c r="Y128" s="49"/>
      <x:c r="Z128" s="49"/>
      <x:c r="AA128" s="49"/>
      <x:c r="AB128" s="49"/>
      <x:c r="AC128" s="49"/>
      <x:c r="AD128" s="49"/>
      <x:c r="AE128" s="49"/>
      <x:c r="AF128" s="49"/>
      <x:c r="AG128" s="49"/>
      <x:c r="AH128" s="49"/>
      <x:c r="AI128" s="49"/>
      <x:c r="AJ128" s="49"/>
      <x:c r="AK128" s="49"/>
      <x:c r="AL128" s="49"/>
      <x:c r="AM128" s="49"/>
      <x:c r="AN128" s="49"/>
      <x:c r="AO128" s="49"/>
      <x:c r="AP128" s="49"/>
      <x:c r="AQ128" s="49"/>
      <x:c r="AR128" s="49"/>
      <x:c r="AS128" s="49"/>
      <x:c r="AT128" s="49"/>
      <x:c r="AU128" s="49"/>
      <x:c r="AV128" s="49"/>
      <x:c r="AW128" s="49"/>
      <x:c r="AX128" s="49"/>
      <x:c r="AY128" s="49"/>
      <x:c r="AZ128" s="49"/>
    </x:row>
    <x:row r="129">
      <x:c r="A129" s="49"/>
      <x:c r="B129" s="49"/>
      <x:c r="C129" s="49"/>
      <x:c r="D129" s="49"/>
      <x:c r="E129" s="49"/>
      <x:c r="F129" s="49"/>
      <x:c r="G129" s="49"/>
      <x:c r="H129" s="49"/>
      <x:c r="I129" s="49"/>
      <x:c r="J129" s="49"/>
      <x:c r="K129" s="49"/>
      <x:c r="L129" s="49"/>
      <x:c r="M129" s="49"/>
      <x:c r="N129" s="49"/>
      <x:c r="O129" s="49"/>
      <x:c r="P129" s="49"/>
      <x:c r="Q129" s="49"/>
      <x:c r="R129" s="49"/>
      <x:c r="S129" s="49"/>
      <x:c r="T129" s="49"/>
      <x:c r="U129" s="49"/>
      <x:c r="V129" s="49"/>
      <x:c r="W129" s="49"/>
      <x:c r="X129" s="49"/>
      <x:c r="Y129" s="49"/>
      <x:c r="Z129" s="49"/>
      <x:c r="AA129" s="49"/>
      <x:c r="AB129" s="49"/>
      <x:c r="AC129" s="49"/>
      <x:c r="AD129" s="49"/>
      <x:c r="AE129" s="49"/>
      <x:c r="AF129" s="49"/>
      <x:c r="AG129" s="49"/>
      <x:c r="AH129" s="49"/>
      <x:c r="AI129" s="49"/>
      <x:c r="AJ129" s="49"/>
      <x:c r="AK129" s="49"/>
      <x:c r="AL129" s="49"/>
      <x:c r="AM129" s="49"/>
      <x:c r="AN129" s="49"/>
      <x:c r="AO129" s="49"/>
      <x:c r="AP129" s="49"/>
      <x:c r="AQ129" s="49"/>
      <x:c r="AR129" s="49"/>
      <x:c r="AS129" s="49"/>
      <x:c r="AT129" s="49"/>
      <x:c r="AU129" s="49"/>
      <x:c r="AV129" s="49"/>
      <x:c r="AW129" s="49"/>
      <x:c r="AX129" s="49"/>
      <x:c r="AY129" s="49"/>
      <x:c r="AZ129" s="49"/>
    </x:row>
    <x:row r="130">
      <x:c r="A130" s="49"/>
      <x:c r="B130" s="49"/>
      <x:c r="C130" s="49"/>
      <x:c r="D130" s="49"/>
      <x:c r="E130" s="49"/>
      <x:c r="F130" s="49"/>
      <x:c r="G130" s="49"/>
      <x:c r="H130" s="49"/>
      <x:c r="I130" s="49"/>
      <x:c r="J130" s="49"/>
      <x:c r="K130" s="49"/>
      <x:c r="L130" s="49"/>
      <x:c r="M130" s="49"/>
      <x:c r="N130" s="49"/>
      <x:c r="O130" s="49"/>
      <x:c r="P130" s="49"/>
      <x:c r="Q130" s="49"/>
      <x:c r="R130" s="49"/>
      <x:c r="S130" s="49"/>
      <x:c r="T130" s="49"/>
      <x:c r="U130" s="49"/>
      <x:c r="V130" s="49"/>
      <x:c r="W130" s="49"/>
      <x:c r="X130" s="49"/>
      <x:c r="Y130" s="49"/>
      <x:c r="Z130" s="49"/>
      <x:c r="AA130" s="49"/>
      <x:c r="AB130" s="49"/>
      <x:c r="AC130" s="49"/>
      <x:c r="AD130" s="49"/>
      <x:c r="AE130" s="49"/>
      <x:c r="AF130" s="49"/>
      <x:c r="AG130" s="49"/>
      <x:c r="AH130" s="49"/>
      <x:c r="AI130" s="49"/>
      <x:c r="AJ130" s="49"/>
      <x:c r="AK130" s="49"/>
      <x:c r="AL130" s="49"/>
      <x:c r="AM130" s="49"/>
      <x:c r="AN130" s="49"/>
      <x:c r="AO130" s="49"/>
      <x:c r="AP130" s="49"/>
      <x:c r="AQ130" s="49"/>
      <x:c r="AR130" s="49"/>
      <x:c r="AS130" s="49"/>
      <x:c r="AT130" s="49"/>
      <x:c r="AU130" s="49"/>
      <x:c r="AV130" s="49"/>
      <x:c r="AW130" s="49"/>
      <x:c r="AX130" s="49"/>
      <x:c r="AY130" s="49"/>
      <x:c r="AZ130" s="49"/>
    </x:row>
    <x:row r="131">
      <x:c r="A131" s="49"/>
      <x:c r="B131" s="49"/>
      <x:c r="C131" s="49"/>
      <x:c r="D131" s="49"/>
      <x:c r="E131" s="49"/>
      <x:c r="F131" s="49"/>
      <x:c r="G131" s="49"/>
      <x:c r="H131" s="49"/>
      <x:c r="I131" s="49"/>
      <x:c r="J131" s="49"/>
      <x:c r="K131" s="49"/>
      <x:c r="L131" s="49"/>
      <x:c r="M131" s="49"/>
      <x:c r="N131" s="49"/>
      <x:c r="O131" s="49"/>
      <x:c r="P131" s="49"/>
      <x:c r="Q131" s="49"/>
      <x:c r="R131" s="49"/>
      <x:c r="S131" s="49"/>
      <x:c r="T131" s="49"/>
      <x:c r="U131" s="49"/>
      <x:c r="V131" s="49"/>
      <x:c r="W131" s="49"/>
      <x:c r="X131" s="49"/>
      <x:c r="Y131" s="49"/>
      <x:c r="Z131" s="49"/>
      <x:c r="AA131" s="49"/>
      <x:c r="AB131" s="49"/>
      <x:c r="AC131" s="49"/>
      <x:c r="AD131" s="49"/>
      <x:c r="AE131" s="49"/>
      <x:c r="AF131" s="49"/>
      <x:c r="AG131" s="49"/>
      <x:c r="AH131" s="49"/>
      <x:c r="AI131" s="49"/>
      <x:c r="AJ131" s="49"/>
      <x:c r="AK131" s="49"/>
      <x:c r="AL131" s="49"/>
      <x:c r="AM131" s="49"/>
      <x:c r="AN131" s="49"/>
      <x:c r="AO131" s="49"/>
      <x:c r="AP131" s="49"/>
      <x:c r="AQ131" s="49"/>
      <x:c r="AR131" s="49"/>
      <x:c r="AS131" s="49"/>
      <x:c r="AT131" s="49"/>
      <x:c r="AU131" s="49"/>
      <x:c r="AV131" s="49"/>
      <x:c r="AW131" s="49"/>
      <x:c r="AX131" s="49"/>
      <x:c r="AY131" s="49"/>
      <x:c r="AZ131" s="49"/>
    </x:row>
    <x:row r="132">
      <x:c r="A132" s="49"/>
      <x:c r="B132" s="49"/>
      <x:c r="C132" s="49"/>
      <x:c r="D132" s="49"/>
      <x:c r="E132" s="49"/>
      <x:c r="F132" s="49"/>
      <x:c r="G132" s="49"/>
      <x:c r="H132" s="49"/>
      <x:c r="I132" s="49"/>
      <x:c r="J132" s="49"/>
      <x:c r="K132" s="49"/>
      <x:c r="L132" s="49"/>
      <x:c r="M132" s="49"/>
      <x:c r="N132" s="49"/>
      <x:c r="O132" s="49"/>
      <x:c r="P132" s="49"/>
      <x:c r="Q132" s="49"/>
      <x:c r="R132" s="49"/>
      <x:c r="S132" s="49"/>
      <x:c r="T132" s="49"/>
      <x:c r="U132" s="49"/>
      <x:c r="V132" s="49"/>
      <x:c r="W132" s="49"/>
      <x:c r="X132" s="49"/>
      <x:c r="Y132" s="49"/>
      <x:c r="Z132" s="49"/>
      <x:c r="AA132" s="49"/>
      <x:c r="AB132" s="49"/>
      <x:c r="AC132" s="49"/>
      <x:c r="AD132" s="49"/>
      <x:c r="AE132" s="49"/>
      <x:c r="AF132" s="49"/>
      <x:c r="AG132" s="49"/>
      <x:c r="AH132" s="49"/>
      <x:c r="AI132" s="49"/>
      <x:c r="AJ132" s="49"/>
      <x:c r="AK132" s="49"/>
      <x:c r="AL132" s="49"/>
      <x:c r="AM132" s="49"/>
      <x:c r="AN132" s="49"/>
      <x:c r="AO132" s="49"/>
      <x:c r="AP132" s="49"/>
      <x:c r="AQ132" s="49"/>
      <x:c r="AR132" s="49"/>
      <x:c r="AS132" s="49"/>
      <x:c r="AT132" s="49"/>
      <x:c r="AU132" s="49"/>
      <x:c r="AV132" s="49"/>
      <x:c r="AW132" s="49"/>
      <x:c r="AX132" s="49"/>
      <x:c r="AY132" s="49"/>
      <x:c r="AZ132" s="49"/>
    </x:row>
    <x:row r="133">
      <x:c r="A133" s="49"/>
      <x:c r="B133" s="49"/>
      <x:c r="C133" s="49"/>
      <x:c r="D133" s="49"/>
      <x:c r="E133" s="49"/>
      <x:c r="F133" s="49"/>
      <x:c r="G133" s="49"/>
      <x:c r="H133" s="49"/>
      <x:c r="I133" s="49"/>
      <x:c r="J133" s="49"/>
      <x:c r="K133" s="49"/>
      <x:c r="L133" s="49"/>
      <x:c r="M133" s="49"/>
      <x:c r="N133" s="49"/>
      <x:c r="O133" s="49"/>
      <x:c r="P133" s="49"/>
      <x:c r="Q133" s="49"/>
      <x:c r="R133" s="49"/>
      <x:c r="S133" s="49"/>
      <x:c r="T133" s="49"/>
      <x:c r="U133" s="49"/>
      <x:c r="V133" s="49"/>
      <x:c r="W133" s="49"/>
      <x:c r="X133" s="49"/>
      <x:c r="Y133" s="49"/>
      <x:c r="Z133" s="49"/>
      <x:c r="AA133" s="49"/>
      <x:c r="AB133" s="49"/>
      <x:c r="AC133" s="49"/>
      <x:c r="AD133" s="49"/>
      <x:c r="AE133" s="49"/>
      <x:c r="AF133" s="49"/>
      <x:c r="AG133" s="49"/>
      <x:c r="AH133" s="49"/>
      <x:c r="AI133" s="49"/>
      <x:c r="AJ133" s="49"/>
      <x:c r="AK133" s="49"/>
      <x:c r="AL133" s="49"/>
      <x:c r="AM133" s="49"/>
      <x:c r="AN133" s="49"/>
      <x:c r="AO133" s="49"/>
      <x:c r="AP133" s="49"/>
      <x:c r="AQ133" s="49"/>
      <x:c r="AR133" s="49"/>
      <x:c r="AS133" s="49"/>
      <x:c r="AT133" s="49"/>
      <x:c r="AU133" s="49"/>
      <x:c r="AV133" s="49"/>
      <x:c r="AW133" s="49"/>
      <x:c r="AX133" s="49"/>
      <x:c r="AY133" s="49"/>
      <x:c r="AZ133" s="49"/>
    </x:row>
    <x:row r="134">
      <x:c r="A134" s="49"/>
      <x:c r="B134" s="49"/>
      <x:c r="C134" s="49"/>
      <x:c r="D134" s="49"/>
      <x:c r="E134" s="49"/>
      <x:c r="F134" s="49"/>
      <x:c r="G134" s="49"/>
      <x:c r="H134" s="49"/>
      <x:c r="I134" s="49"/>
      <x:c r="J134" s="49"/>
      <x:c r="K134" s="49"/>
      <x:c r="L134" s="49"/>
      <x:c r="M134" s="49"/>
      <x:c r="N134" s="49"/>
      <x:c r="O134" s="49"/>
      <x:c r="P134" s="49"/>
      <x:c r="Q134" s="49"/>
      <x:c r="R134" s="49"/>
      <x:c r="S134" s="49"/>
      <x:c r="T134" s="49"/>
      <x:c r="U134" s="49"/>
      <x:c r="V134" s="49"/>
      <x:c r="W134" s="49"/>
      <x:c r="X134" s="49"/>
      <x:c r="Y134" s="49"/>
      <x:c r="Z134" s="49"/>
      <x:c r="AA134" s="49"/>
      <x:c r="AB134" s="49"/>
      <x:c r="AC134" s="49"/>
      <x:c r="AD134" s="49"/>
      <x:c r="AE134" s="49"/>
      <x:c r="AF134" s="49"/>
      <x:c r="AG134" s="49"/>
      <x:c r="AH134" s="49"/>
      <x:c r="AI134" s="49"/>
      <x:c r="AJ134" s="49"/>
      <x:c r="AK134" s="49"/>
      <x:c r="AL134" s="49"/>
      <x:c r="AM134" s="49"/>
      <x:c r="AN134" s="49"/>
      <x:c r="AO134" s="49"/>
      <x:c r="AP134" s="49"/>
      <x:c r="AQ134" s="49"/>
      <x:c r="AR134" s="49"/>
      <x:c r="AS134" s="49"/>
      <x:c r="AT134" s="49"/>
      <x:c r="AU134" s="49"/>
      <x:c r="AV134" s="49"/>
      <x:c r="AW134" s="49"/>
      <x:c r="AX134" s="49"/>
      <x:c r="AY134" s="49"/>
      <x:c r="AZ134" s="49"/>
    </x:row>
    <x:row r="135">
      <x:c r="A135" s="49"/>
      <x:c r="B135" s="49"/>
      <x:c r="C135" s="49"/>
      <x:c r="D135" s="49"/>
      <x:c r="E135" s="49"/>
      <x:c r="F135" s="49"/>
      <x:c r="G135" s="49"/>
      <x:c r="H135" s="49"/>
      <x:c r="I135" s="49"/>
      <x:c r="J135" s="49"/>
      <x:c r="K135" s="49"/>
      <x:c r="L135" s="49"/>
      <x:c r="M135" s="49"/>
      <x:c r="N135" s="49"/>
      <x:c r="O135" s="49"/>
      <x:c r="P135" s="49"/>
      <x:c r="Q135" s="49"/>
      <x:c r="R135" s="49"/>
      <x:c r="S135" s="49"/>
      <x:c r="T135" s="49"/>
      <x:c r="U135" s="49"/>
      <x:c r="V135" s="49"/>
      <x:c r="W135" s="49"/>
      <x:c r="X135" s="49"/>
      <x:c r="Y135" s="49"/>
      <x:c r="Z135" s="49"/>
      <x:c r="AA135" s="49"/>
      <x:c r="AB135" s="49"/>
      <x:c r="AC135" s="49"/>
      <x:c r="AD135" s="49"/>
      <x:c r="AE135" s="49"/>
      <x:c r="AF135" s="49"/>
      <x:c r="AG135" s="49"/>
      <x:c r="AH135" s="49"/>
      <x:c r="AI135" s="49"/>
      <x:c r="AJ135" s="49"/>
      <x:c r="AK135" s="49"/>
      <x:c r="AL135" s="49"/>
      <x:c r="AM135" s="49"/>
      <x:c r="AN135" s="49"/>
      <x:c r="AO135" s="49"/>
      <x:c r="AP135" s="49"/>
      <x:c r="AQ135" s="49"/>
      <x:c r="AR135" s="49"/>
      <x:c r="AS135" s="49"/>
      <x:c r="AT135" s="49"/>
      <x:c r="AU135" s="49"/>
      <x:c r="AV135" s="49"/>
      <x:c r="AW135" s="49"/>
      <x:c r="AX135" s="49"/>
      <x:c r="AY135" s="49"/>
      <x:c r="AZ135" s="49"/>
    </x:row>
    <x:row r="136">
      <x:c r="A136" s="49"/>
      <x:c r="B136" s="49"/>
      <x:c r="C136" s="49"/>
      <x:c r="D136" s="49"/>
      <x:c r="E136" s="49"/>
      <x:c r="F136" s="49"/>
      <x:c r="G136" s="49"/>
      <x:c r="H136" s="49"/>
      <x:c r="I136" s="49"/>
      <x:c r="J136" s="49"/>
      <x:c r="K136" s="49"/>
      <x:c r="L136" s="49"/>
      <x:c r="M136" s="49"/>
      <x:c r="N136" s="49"/>
      <x:c r="O136" s="49"/>
      <x:c r="P136" s="49"/>
      <x:c r="Q136" s="49"/>
      <x:c r="R136" s="49"/>
      <x:c r="S136" s="49"/>
      <x:c r="T136" s="49"/>
      <x:c r="U136" s="49"/>
      <x:c r="V136" s="49"/>
      <x:c r="W136" s="49"/>
      <x:c r="X136" s="49"/>
      <x:c r="Y136" s="49"/>
      <x:c r="Z136" s="49"/>
      <x:c r="AA136" s="49"/>
      <x:c r="AB136" s="49"/>
      <x:c r="AC136" s="49"/>
      <x:c r="AD136" s="49"/>
      <x:c r="AE136" s="49"/>
      <x:c r="AF136" s="49"/>
      <x:c r="AG136" s="49"/>
      <x:c r="AH136" s="49"/>
      <x:c r="AI136" s="49"/>
      <x:c r="AJ136" s="49"/>
      <x:c r="AK136" s="49"/>
      <x:c r="AL136" s="49"/>
      <x:c r="AM136" s="49"/>
      <x:c r="AN136" s="49"/>
      <x:c r="AO136" s="49"/>
      <x:c r="AP136" s="49"/>
      <x:c r="AQ136" s="49"/>
      <x:c r="AR136" s="49"/>
      <x:c r="AS136" s="49"/>
      <x:c r="AT136" s="49"/>
      <x:c r="AU136" s="49"/>
      <x:c r="AV136" s="49"/>
      <x:c r="AW136" s="49"/>
      <x:c r="AX136" s="49"/>
      <x:c r="AY136" s="49"/>
      <x:c r="AZ136" s="49"/>
    </x:row>
    <x:row r="137">
      <x:c r="A137" s="49"/>
      <x:c r="B137" s="49"/>
      <x:c r="C137" s="49"/>
      <x:c r="D137" s="49"/>
      <x:c r="E137" s="49"/>
      <x:c r="F137" s="49"/>
      <x:c r="G137" s="49"/>
      <x:c r="H137" s="49"/>
      <x:c r="I137" s="49"/>
      <x:c r="J137" s="49"/>
      <x:c r="K137" s="49"/>
      <x:c r="L137" s="49"/>
      <x:c r="M137" s="49"/>
      <x:c r="N137" s="49"/>
      <x:c r="O137" s="49"/>
      <x:c r="P137" s="49"/>
      <x:c r="Q137" s="49"/>
      <x:c r="R137" s="49"/>
      <x:c r="S137" s="49"/>
      <x:c r="T137" s="49"/>
      <x:c r="U137" s="49"/>
      <x:c r="V137" s="49"/>
      <x:c r="W137" s="49"/>
      <x:c r="X137" s="49"/>
      <x:c r="Y137" s="49"/>
      <x:c r="Z137" s="49"/>
      <x:c r="AA137" s="49"/>
      <x:c r="AB137" s="49"/>
      <x:c r="AC137" s="49"/>
      <x:c r="AD137" s="49"/>
      <x:c r="AE137" s="49"/>
      <x:c r="AF137" s="49"/>
      <x:c r="AG137" s="49"/>
      <x:c r="AH137" s="49"/>
      <x:c r="AI137" s="49"/>
      <x:c r="AJ137" s="49"/>
      <x:c r="AK137" s="49"/>
      <x:c r="AL137" s="49"/>
      <x:c r="AM137" s="49"/>
      <x:c r="AN137" s="49"/>
      <x:c r="AO137" s="49"/>
      <x:c r="AP137" s="49"/>
      <x:c r="AQ137" s="49"/>
      <x:c r="AR137" s="49"/>
      <x:c r="AS137" s="49"/>
      <x:c r="AT137" s="49"/>
      <x:c r="AU137" s="49"/>
      <x:c r="AV137" s="49"/>
      <x:c r="AW137" s="49"/>
      <x:c r="AX137" s="49"/>
      <x:c r="AY137" s="49"/>
      <x:c r="AZ137" s="49"/>
    </x:row>
    <x:row r="138">
      <x:c r="A138" s="49"/>
      <x:c r="B138" s="49"/>
      <x:c r="C138" s="49"/>
      <x:c r="D138" s="49"/>
      <x:c r="E138" s="49"/>
      <x:c r="F138" s="49"/>
      <x:c r="G138" s="49"/>
      <x:c r="H138" s="49"/>
      <x:c r="I138" s="49"/>
      <x:c r="J138" s="49"/>
      <x:c r="K138" s="49"/>
      <x:c r="L138" s="49"/>
      <x:c r="M138" s="49"/>
      <x:c r="N138" s="49"/>
      <x:c r="O138" s="49"/>
      <x:c r="P138" s="49"/>
      <x:c r="Q138" s="49"/>
      <x:c r="R138" s="49"/>
      <x:c r="S138" s="49"/>
      <x:c r="T138" s="49"/>
      <x:c r="U138" s="49"/>
      <x:c r="V138" s="49"/>
      <x:c r="W138" s="49"/>
      <x:c r="X138" s="49"/>
      <x:c r="Y138" s="49"/>
      <x:c r="Z138" s="49"/>
      <x:c r="AA138" s="49"/>
      <x:c r="AB138" s="49"/>
      <x:c r="AC138" s="49"/>
      <x:c r="AD138" s="49"/>
      <x:c r="AE138" s="49"/>
      <x:c r="AF138" s="49"/>
      <x:c r="AG138" s="49"/>
      <x:c r="AH138" s="49"/>
      <x:c r="AI138" s="49"/>
      <x:c r="AJ138" s="49"/>
      <x:c r="AK138" s="49"/>
      <x:c r="AL138" s="49"/>
      <x:c r="AM138" s="49"/>
      <x:c r="AN138" s="49"/>
      <x:c r="AO138" s="49"/>
      <x:c r="AP138" s="49"/>
      <x:c r="AQ138" s="49"/>
      <x:c r="AR138" s="49"/>
      <x:c r="AS138" s="49"/>
      <x:c r="AT138" s="49"/>
      <x:c r="AU138" s="49"/>
      <x:c r="AV138" s="49"/>
      <x:c r="AW138" s="49"/>
      <x:c r="AX138" s="49"/>
      <x:c r="AY138" s="49"/>
      <x:c r="AZ138" s="49"/>
    </x:row>
    <x:row r="139">
      <x:c r="A139" s="49"/>
      <x:c r="B139" s="49"/>
      <x:c r="C139" s="49"/>
      <x:c r="D139" s="49"/>
      <x:c r="E139" s="49"/>
      <x:c r="F139" s="49"/>
      <x:c r="G139" s="49"/>
      <x:c r="H139" s="49"/>
      <x:c r="I139" s="49"/>
      <x:c r="J139" s="49"/>
      <x:c r="K139" s="49"/>
      <x:c r="L139" s="49"/>
      <x:c r="M139" s="49"/>
      <x:c r="N139" s="49"/>
      <x:c r="O139" s="49"/>
      <x:c r="P139" s="49"/>
      <x:c r="Q139" s="49"/>
      <x:c r="R139" s="49"/>
      <x:c r="S139" s="49"/>
      <x:c r="T139" s="49"/>
      <x:c r="U139" s="49"/>
      <x:c r="V139" s="49"/>
      <x:c r="W139" s="49"/>
      <x:c r="X139" s="49"/>
      <x:c r="Y139" s="49"/>
      <x:c r="Z139" s="49"/>
      <x:c r="AA139" s="49"/>
      <x:c r="AB139" s="49"/>
      <x:c r="AC139" s="49"/>
      <x:c r="AD139" s="49"/>
      <x:c r="AE139" s="49"/>
      <x:c r="AF139" s="49"/>
      <x:c r="AG139" s="49"/>
      <x:c r="AH139" s="49"/>
      <x:c r="AI139" s="49"/>
      <x:c r="AJ139" s="49"/>
      <x:c r="AK139" s="49"/>
      <x:c r="AL139" s="49"/>
      <x:c r="AM139" s="49"/>
      <x:c r="AN139" s="49"/>
      <x:c r="AO139" s="49"/>
      <x:c r="AP139" s="49"/>
      <x:c r="AQ139" s="49"/>
      <x:c r="AR139" s="49"/>
      <x:c r="AS139" s="49"/>
      <x:c r="AT139" s="49"/>
      <x:c r="AU139" s="49"/>
      <x:c r="AV139" s="49"/>
      <x:c r="AW139" s="49"/>
      <x:c r="AX139" s="49"/>
      <x:c r="AY139" s="49"/>
      <x:c r="AZ139" s="49"/>
    </x:row>
    <x:row r="140">
      <x:c r="A140" s="49"/>
      <x:c r="B140" s="49"/>
      <x:c r="C140" s="49"/>
      <x:c r="D140" s="49"/>
      <x:c r="E140" s="49"/>
      <x:c r="F140" s="49"/>
      <x:c r="G140" s="49"/>
      <x:c r="H140" s="49"/>
      <x:c r="I140" s="49"/>
      <x:c r="J140" s="49"/>
      <x:c r="K140" s="49"/>
      <x:c r="L140" s="49"/>
      <x:c r="M140" s="49"/>
      <x:c r="N140" s="49"/>
      <x:c r="O140" s="49"/>
      <x:c r="P140" s="49"/>
      <x:c r="Q140" s="49"/>
      <x:c r="R140" s="49"/>
      <x:c r="S140" s="49"/>
      <x:c r="T140" s="49"/>
      <x:c r="U140" s="49"/>
      <x:c r="V140" s="49"/>
      <x:c r="W140" s="49"/>
      <x:c r="X140" s="49"/>
      <x:c r="Y140" s="49"/>
      <x:c r="Z140" s="49"/>
      <x:c r="AA140" s="49"/>
      <x:c r="AB140" s="49"/>
      <x:c r="AC140" s="49"/>
      <x:c r="AD140" s="49"/>
      <x:c r="AE140" s="49"/>
      <x:c r="AF140" s="49"/>
      <x:c r="AG140" s="49"/>
      <x:c r="AH140" s="49"/>
      <x:c r="AI140" s="49"/>
      <x:c r="AJ140" s="49"/>
      <x:c r="AK140" s="49"/>
      <x:c r="AL140" s="49"/>
      <x:c r="AM140" s="49"/>
      <x:c r="AN140" s="49"/>
      <x:c r="AO140" s="49"/>
      <x:c r="AP140" s="49"/>
      <x:c r="AQ140" s="49"/>
      <x:c r="AR140" s="49"/>
      <x:c r="AS140" s="49"/>
      <x:c r="AT140" s="49"/>
      <x:c r="AU140" s="49"/>
      <x:c r="AV140" s="49"/>
      <x:c r="AW140" s="49"/>
      <x:c r="AX140" s="49"/>
      <x:c r="AY140" s="49"/>
      <x:c r="AZ140" s="49"/>
    </x:row>
    <x:row r="141">
      <x:c r="A141" s="49"/>
      <x:c r="B141" s="49"/>
      <x:c r="C141" s="49"/>
      <x:c r="D141" s="49"/>
      <x:c r="E141" s="49"/>
      <x:c r="F141" s="49"/>
      <x:c r="G141" s="49"/>
      <x:c r="H141" s="49"/>
      <x:c r="I141" s="49"/>
      <x:c r="J141" s="49"/>
      <x:c r="K141" s="49"/>
      <x:c r="L141" s="49"/>
      <x:c r="M141" s="49"/>
      <x:c r="N141" s="49"/>
      <x:c r="O141" s="49"/>
      <x:c r="P141" s="49"/>
      <x:c r="Q141" s="49"/>
      <x:c r="R141" s="49"/>
      <x:c r="S141" s="49"/>
      <x:c r="T141" s="49"/>
      <x:c r="U141" s="49"/>
      <x:c r="V141" s="49"/>
      <x:c r="W141" s="49"/>
      <x:c r="X141" s="49"/>
      <x:c r="Y141" s="49"/>
      <x:c r="Z141" s="49"/>
      <x:c r="AA141" s="49"/>
      <x:c r="AB141" s="49"/>
      <x:c r="AC141" s="49"/>
      <x:c r="AD141" s="49"/>
      <x:c r="AE141" s="49"/>
      <x:c r="AF141" s="49"/>
      <x:c r="AG141" s="49"/>
      <x:c r="AH141" s="49"/>
      <x:c r="AI141" s="49"/>
      <x:c r="AJ141" s="49"/>
      <x:c r="AK141" s="49"/>
      <x:c r="AL141" s="49"/>
      <x:c r="AM141" s="49"/>
      <x:c r="AN141" s="49"/>
      <x:c r="AO141" s="49"/>
      <x:c r="AP141" s="49"/>
      <x:c r="AQ141" s="49"/>
      <x:c r="AR141" s="49"/>
      <x:c r="AS141" s="49"/>
      <x:c r="AT141" s="49"/>
      <x:c r="AU141" s="49"/>
      <x:c r="AV141" s="49"/>
      <x:c r="AW141" s="49"/>
      <x:c r="AX141" s="49"/>
      <x:c r="AY141" s="49"/>
      <x:c r="AZ141" s="49"/>
    </x:row>
    <x:row r="142">
      <x:c r="A142" s="49"/>
      <x:c r="B142" s="49"/>
      <x:c r="C142" s="49"/>
      <x:c r="D142" s="49"/>
      <x:c r="E142" s="49"/>
      <x:c r="F142" s="49"/>
      <x:c r="G142" s="49"/>
      <x:c r="H142" s="49"/>
      <x:c r="I142" s="49"/>
      <x:c r="J142" s="49"/>
      <x:c r="K142" s="49"/>
      <x:c r="L142" s="49"/>
      <x:c r="M142" s="49"/>
      <x:c r="N142" s="49"/>
      <x:c r="O142" s="49"/>
      <x:c r="P142" s="49"/>
      <x:c r="Q142" s="49"/>
      <x:c r="R142" s="49"/>
      <x:c r="S142" s="49"/>
      <x:c r="T142" s="49"/>
      <x:c r="U142" s="49"/>
      <x:c r="V142" s="49"/>
      <x:c r="W142" s="49"/>
      <x:c r="X142" s="49"/>
      <x:c r="Y142" s="49"/>
      <x:c r="Z142" s="49"/>
      <x:c r="AA142" s="49"/>
      <x:c r="AB142" s="49"/>
      <x:c r="AC142" s="49"/>
      <x:c r="AD142" s="49"/>
      <x:c r="AE142" s="49"/>
      <x:c r="AF142" s="49"/>
      <x:c r="AG142" s="49"/>
      <x:c r="AH142" s="49"/>
      <x:c r="AI142" s="49"/>
      <x:c r="AJ142" s="49"/>
      <x:c r="AK142" s="49"/>
      <x:c r="AL142" s="49"/>
      <x:c r="AM142" s="49"/>
      <x:c r="AN142" s="49"/>
      <x:c r="AO142" s="49"/>
      <x:c r="AP142" s="49"/>
      <x:c r="AQ142" s="49"/>
      <x:c r="AR142" s="49"/>
      <x:c r="AS142" s="49"/>
      <x:c r="AT142" s="49"/>
      <x:c r="AU142" s="49"/>
      <x:c r="AV142" s="49"/>
      <x:c r="AW142" s="49"/>
      <x:c r="AX142" s="49"/>
      <x:c r="AY142" s="49"/>
      <x:c r="AZ142" s="49"/>
    </x:row>
    <x:row r="143">
      <x:c r="A143" s="49"/>
      <x:c r="B143" s="49"/>
      <x:c r="C143" s="49"/>
      <x:c r="D143" s="49"/>
      <x:c r="E143" s="49"/>
      <x:c r="F143" s="49"/>
      <x:c r="G143" s="49"/>
      <x:c r="H143" s="49"/>
      <x:c r="I143" s="49"/>
      <x:c r="J143" s="49"/>
      <x:c r="K143" s="49"/>
      <x:c r="L143" s="49"/>
      <x:c r="M143" s="49"/>
      <x:c r="N143" s="49"/>
      <x:c r="O143" s="49"/>
      <x:c r="P143" s="49"/>
      <x:c r="Q143" s="49"/>
      <x:c r="R143" s="49"/>
      <x:c r="S143" s="49"/>
      <x:c r="T143" s="49"/>
      <x:c r="U143" s="49"/>
      <x:c r="V143" s="49"/>
      <x:c r="W143" s="49"/>
      <x:c r="X143" s="49"/>
      <x:c r="Y143" s="49"/>
      <x:c r="Z143" s="49"/>
      <x:c r="AA143" s="49"/>
      <x:c r="AB143" s="49"/>
      <x:c r="AC143" s="49"/>
      <x:c r="AD143" s="49"/>
      <x:c r="AE143" s="49"/>
      <x:c r="AF143" s="49"/>
      <x:c r="AG143" s="49"/>
      <x:c r="AH143" s="49"/>
      <x:c r="AI143" s="49"/>
      <x:c r="AJ143" s="49"/>
      <x:c r="AK143" s="49"/>
      <x:c r="AL143" s="49"/>
      <x:c r="AM143" s="49"/>
      <x:c r="AN143" s="49"/>
      <x:c r="AO143" s="49"/>
      <x:c r="AP143" s="49"/>
      <x:c r="AQ143" s="49"/>
      <x:c r="AR143" s="49"/>
      <x:c r="AS143" s="49"/>
      <x:c r="AT143" s="49"/>
      <x:c r="AU143" s="49"/>
      <x:c r="AV143" s="49"/>
      <x:c r="AW143" s="49"/>
      <x:c r="AX143" s="49"/>
      <x:c r="AY143" s="49"/>
      <x:c r="AZ143" s="49"/>
    </x:row>
    <x:row r="144">
      <x:c r="A144" s="49"/>
      <x:c r="B144" s="49"/>
      <x:c r="C144" s="49"/>
      <x:c r="D144" s="49"/>
      <x:c r="E144" s="49"/>
      <x:c r="F144" s="49"/>
      <x:c r="G144" s="49"/>
      <x:c r="H144" s="49"/>
      <x:c r="I144" s="49"/>
      <x:c r="J144" s="49"/>
      <x:c r="K144" s="49"/>
      <x:c r="L144" s="49"/>
      <x:c r="M144" s="49"/>
      <x:c r="N144" s="49"/>
      <x:c r="O144" s="49"/>
      <x:c r="P144" s="49"/>
      <x:c r="Q144" s="49"/>
      <x:c r="R144" s="49"/>
      <x:c r="S144" s="49"/>
      <x:c r="T144" s="49"/>
      <x:c r="U144" s="49"/>
      <x:c r="V144" s="49"/>
      <x:c r="W144" s="49"/>
      <x:c r="X144" s="49"/>
      <x:c r="Y144" s="49"/>
      <x:c r="Z144" s="49"/>
      <x:c r="AA144" s="49"/>
      <x:c r="AB144" s="49"/>
      <x:c r="AC144" s="49"/>
      <x:c r="AD144" s="49"/>
      <x:c r="AE144" s="49"/>
      <x:c r="AF144" s="49"/>
      <x:c r="AG144" s="49"/>
      <x:c r="AH144" s="49"/>
      <x:c r="AI144" s="49"/>
      <x:c r="AJ144" s="49"/>
      <x:c r="AK144" s="49"/>
      <x:c r="AL144" s="49"/>
      <x:c r="AM144" s="49"/>
      <x:c r="AN144" s="49"/>
      <x:c r="AO144" s="49"/>
      <x:c r="AP144" s="49"/>
      <x:c r="AQ144" s="49"/>
      <x:c r="AR144" s="49"/>
      <x:c r="AS144" s="49"/>
      <x:c r="AT144" s="49"/>
      <x:c r="AU144" s="49"/>
      <x:c r="AV144" s="49"/>
      <x:c r="AW144" s="49"/>
      <x:c r="AX144" s="49"/>
      <x:c r="AY144" s="49"/>
      <x:c r="AZ144" s="49"/>
    </x:row>
    <x:row r="145">
      <x:c r="A145" s="49"/>
      <x:c r="B145" s="49"/>
      <x:c r="C145" s="49"/>
      <x:c r="D145" s="49"/>
      <x:c r="E145" s="49"/>
      <x:c r="F145" s="49"/>
      <x:c r="G145" s="49"/>
      <x:c r="H145" s="49"/>
      <x:c r="I145" s="49"/>
      <x:c r="J145" s="49"/>
      <x:c r="K145" s="49"/>
      <x:c r="L145" s="49"/>
      <x:c r="M145" s="49"/>
      <x:c r="N145" s="49"/>
      <x:c r="O145" s="49"/>
      <x:c r="P145" s="49"/>
      <x:c r="Q145" s="49"/>
      <x:c r="R145" s="49"/>
      <x:c r="S145" s="49"/>
      <x:c r="T145" s="49"/>
      <x:c r="U145" s="49"/>
      <x:c r="V145" s="49"/>
      <x:c r="W145" s="49"/>
      <x:c r="X145" s="49"/>
      <x:c r="Y145" s="49"/>
      <x:c r="Z145" s="49"/>
      <x:c r="AA145" s="49"/>
      <x:c r="AB145" s="49"/>
      <x:c r="AC145" s="49"/>
      <x:c r="AD145" s="49"/>
      <x:c r="AE145" s="49"/>
      <x:c r="AF145" s="49"/>
      <x:c r="AG145" s="49"/>
      <x:c r="AH145" s="49"/>
      <x:c r="AI145" s="49"/>
      <x:c r="AJ145" s="49"/>
      <x:c r="AK145" s="49"/>
      <x:c r="AL145" s="49"/>
      <x:c r="AM145" s="49"/>
      <x:c r="AN145" s="49"/>
      <x:c r="AO145" s="49"/>
      <x:c r="AP145" s="49"/>
      <x:c r="AQ145" s="49"/>
      <x:c r="AR145" s="49"/>
      <x:c r="AS145" s="49"/>
      <x:c r="AT145" s="49"/>
      <x:c r="AU145" s="49"/>
      <x:c r="AV145" s="49"/>
      <x:c r="AW145" s="49"/>
      <x:c r="AX145" s="49"/>
      <x:c r="AY145" s="49"/>
      <x:c r="AZ145" s="49"/>
    </x:row>
    <x:row r="146">
      <x:c r="A146" s="49"/>
      <x:c r="B146" s="49"/>
      <x:c r="C146" s="49"/>
      <x:c r="D146" s="49"/>
      <x:c r="E146" s="49"/>
      <x:c r="F146" s="49"/>
      <x:c r="G146" s="49"/>
      <x:c r="H146" s="49"/>
      <x:c r="I146" s="49"/>
      <x:c r="J146" s="49"/>
      <x:c r="K146" s="49"/>
      <x:c r="L146" s="49"/>
      <x:c r="M146" s="49"/>
      <x:c r="N146" s="49"/>
      <x:c r="O146" s="49"/>
      <x:c r="P146" s="49"/>
      <x:c r="Q146" s="49"/>
      <x:c r="R146" s="49"/>
      <x:c r="S146" s="49"/>
      <x:c r="T146" s="49"/>
      <x:c r="U146" s="49"/>
      <x:c r="V146" s="49"/>
      <x:c r="W146" s="49"/>
      <x:c r="X146" s="49"/>
      <x:c r="Y146" s="49"/>
      <x:c r="Z146" s="49"/>
      <x:c r="AA146" s="49"/>
      <x:c r="AB146" s="49"/>
      <x:c r="AC146" s="49"/>
      <x:c r="AD146" s="49"/>
      <x:c r="AE146" s="49"/>
      <x:c r="AF146" s="49"/>
      <x:c r="AG146" s="49"/>
      <x:c r="AH146" s="49"/>
      <x:c r="AI146" s="49"/>
      <x:c r="AJ146" s="49"/>
      <x:c r="AK146" s="49"/>
      <x:c r="AL146" s="49"/>
      <x:c r="AM146" s="49"/>
      <x:c r="AN146" s="49"/>
      <x:c r="AO146" s="49"/>
      <x:c r="AP146" s="49"/>
      <x:c r="AQ146" s="49"/>
      <x:c r="AR146" s="49"/>
      <x:c r="AS146" s="49"/>
      <x:c r="AT146" s="49"/>
      <x:c r="AU146" s="49"/>
      <x:c r="AV146" s="49"/>
      <x:c r="AW146" s="49"/>
      <x:c r="AX146" s="49"/>
      <x:c r="AY146" s="49"/>
      <x:c r="AZ146" s="49"/>
    </x:row>
    <x:row r="147">
      <x:c r="A147" s="49"/>
      <x:c r="B147" s="49"/>
      <x:c r="C147" s="49"/>
      <x:c r="D147" s="49"/>
      <x:c r="E147" s="49"/>
      <x:c r="F147" s="49"/>
      <x:c r="G147" s="49"/>
      <x:c r="H147" s="49"/>
      <x:c r="I147" s="49"/>
      <x:c r="J147" s="49"/>
      <x:c r="K147" s="49"/>
      <x:c r="L147" s="49"/>
      <x:c r="M147" s="49"/>
      <x:c r="N147" s="49"/>
      <x:c r="O147" s="49"/>
      <x:c r="P147" s="49"/>
      <x:c r="Q147" s="49"/>
      <x:c r="R147" s="49"/>
      <x:c r="S147" s="49"/>
      <x:c r="T147" s="49"/>
      <x:c r="U147" s="49"/>
      <x:c r="V147" s="49"/>
      <x:c r="W147" s="49"/>
      <x:c r="X147" s="49"/>
      <x:c r="Y147" s="49"/>
      <x:c r="Z147" s="49"/>
      <x:c r="AA147" s="49"/>
      <x:c r="AB147" s="49"/>
      <x:c r="AC147" s="49"/>
      <x:c r="AD147" s="49"/>
      <x:c r="AE147" s="49"/>
      <x:c r="AF147" s="49"/>
      <x:c r="AG147" s="49"/>
      <x:c r="AH147" s="49"/>
      <x:c r="AI147" s="49"/>
      <x:c r="AJ147" s="49"/>
      <x:c r="AK147" s="49"/>
      <x:c r="AL147" s="49"/>
      <x:c r="AM147" s="49"/>
      <x:c r="AN147" s="49"/>
      <x:c r="AO147" s="49"/>
      <x:c r="AP147" s="49"/>
      <x:c r="AQ147" s="49"/>
      <x:c r="AR147" s="49"/>
      <x:c r="AS147" s="49"/>
      <x:c r="AT147" s="49"/>
      <x:c r="AU147" s="49"/>
      <x:c r="AV147" s="49"/>
      <x:c r="AW147" s="49"/>
      <x:c r="AX147" s="49"/>
      <x:c r="AY147" s="49"/>
      <x:c r="AZ147" s="49"/>
    </x:row>
    <x:row r="148">
      <x:c r="A148" s="49"/>
      <x:c r="B148" s="49"/>
      <x:c r="C148" s="49"/>
      <x:c r="D148" s="49"/>
      <x:c r="E148" s="49"/>
      <x:c r="F148" s="49"/>
      <x:c r="G148" s="49"/>
      <x:c r="H148" s="49"/>
      <x:c r="I148" s="49"/>
      <x:c r="J148" s="49"/>
      <x:c r="K148" s="49"/>
      <x:c r="L148" s="49"/>
      <x:c r="M148" s="49"/>
      <x:c r="N148" s="49"/>
      <x:c r="O148" s="49"/>
      <x:c r="P148" s="49"/>
      <x:c r="Q148" s="49"/>
      <x:c r="R148" s="49"/>
      <x:c r="S148" s="49"/>
      <x:c r="T148" s="49"/>
      <x:c r="U148" s="49"/>
      <x:c r="V148" s="49"/>
      <x:c r="W148" s="49"/>
      <x:c r="X148" s="49"/>
      <x:c r="Y148" s="49"/>
      <x:c r="Z148" s="49"/>
      <x:c r="AA148" s="49"/>
      <x:c r="AB148" s="49"/>
      <x:c r="AC148" s="49"/>
      <x:c r="AD148" s="49"/>
      <x:c r="AE148" s="49"/>
      <x:c r="AF148" s="49"/>
      <x:c r="AG148" s="49"/>
      <x:c r="AH148" s="49"/>
      <x:c r="AI148" s="49"/>
      <x:c r="AJ148" s="49"/>
      <x:c r="AK148" s="49"/>
      <x:c r="AL148" s="49"/>
      <x:c r="AM148" s="49"/>
      <x:c r="AN148" s="49"/>
      <x:c r="AO148" s="49"/>
      <x:c r="AP148" s="49"/>
      <x:c r="AQ148" s="49"/>
      <x:c r="AR148" s="49"/>
      <x:c r="AS148" s="49"/>
      <x:c r="AT148" s="49"/>
      <x:c r="AU148" s="49"/>
      <x:c r="AV148" s="49"/>
      <x:c r="AW148" s="49"/>
      <x:c r="AX148" s="49"/>
      <x:c r="AY148" s="49"/>
      <x:c r="AZ148" s="49"/>
    </x:row>
    <x:row r="149">
      <x:c r="A149" s="49"/>
      <x:c r="B149" s="49"/>
      <x:c r="C149" s="49"/>
      <x:c r="D149" s="49"/>
      <x:c r="E149" s="49"/>
      <x:c r="F149" s="49"/>
      <x:c r="G149" s="49"/>
      <x:c r="H149" s="49"/>
      <x:c r="I149" s="49"/>
      <x:c r="J149" s="49"/>
      <x:c r="K149" s="49"/>
      <x:c r="L149" s="49"/>
      <x:c r="M149" s="49"/>
      <x:c r="N149" s="49"/>
      <x:c r="O149" s="49"/>
      <x:c r="P149" s="49"/>
      <x:c r="Q149" s="49"/>
      <x:c r="R149" s="49"/>
      <x:c r="S149" s="49"/>
      <x:c r="T149" s="49"/>
      <x:c r="U149" s="49"/>
      <x:c r="V149" s="49"/>
      <x:c r="W149" s="49"/>
      <x:c r="X149" s="49"/>
      <x:c r="Y149" s="49"/>
      <x:c r="Z149" s="49"/>
      <x:c r="AA149" s="49"/>
      <x:c r="AB149" s="49"/>
      <x:c r="AC149" s="49"/>
      <x:c r="AD149" s="49"/>
      <x:c r="AE149" s="49"/>
      <x:c r="AF149" s="49"/>
      <x:c r="AG149" s="49"/>
      <x:c r="AH149" s="49"/>
      <x:c r="AI149" s="49"/>
      <x:c r="AJ149" s="49"/>
      <x:c r="AK149" s="49"/>
      <x:c r="AL149" s="49"/>
      <x:c r="AM149" s="49"/>
      <x:c r="AN149" s="49"/>
      <x:c r="AO149" s="49"/>
      <x:c r="AP149" s="49"/>
      <x:c r="AQ149" s="49"/>
      <x:c r="AR149" s="49"/>
      <x:c r="AS149" s="49"/>
      <x:c r="AT149" s="49"/>
      <x:c r="AU149" s="49"/>
      <x:c r="AV149" s="49"/>
      <x:c r="AW149" s="49"/>
      <x:c r="AX149" s="49"/>
      <x:c r="AY149" s="49"/>
      <x:c r="AZ149" s="49"/>
    </x:row>
    <x:row r="150">
      <x:c r="A150" s="49"/>
      <x:c r="B150" s="49"/>
      <x:c r="C150" s="49"/>
      <x:c r="D150" s="49"/>
      <x:c r="E150" s="49"/>
      <x:c r="F150" s="49"/>
      <x:c r="G150" s="49"/>
      <x:c r="H150" s="49"/>
      <x:c r="I150" s="49"/>
      <x:c r="J150" s="49"/>
      <x:c r="K150" s="49"/>
      <x:c r="L150" s="49"/>
      <x:c r="M150" s="49"/>
      <x:c r="N150" s="49"/>
      <x:c r="O150" s="49"/>
      <x:c r="P150" s="49"/>
      <x:c r="Q150" s="49"/>
      <x:c r="R150" s="49"/>
      <x:c r="S150" s="49"/>
      <x:c r="T150" s="49"/>
      <x:c r="U150" s="49"/>
      <x:c r="V150" s="49"/>
      <x:c r="W150" s="49"/>
      <x:c r="X150" s="49"/>
      <x:c r="Y150" s="49"/>
      <x:c r="Z150" s="49"/>
      <x:c r="AA150" s="49"/>
      <x:c r="AB150" s="49"/>
      <x:c r="AC150" s="49"/>
      <x:c r="AD150" s="49"/>
      <x:c r="AE150" s="49"/>
      <x:c r="AF150" s="49"/>
      <x:c r="AG150" s="49"/>
      <x:c r="AH150" s="49"/>
      <x:c r="AI150" s="49"/>
      <x:c r="AJ150" s="49"/>
      <x:c r="AK150" s="49"/>
      <x:c r="AL150" s="49"/>
      <x:c r="AM150" s="49"/>
      <x:c r="AN150" s="49"/>
      <x:c r="AO150" s="49"/>
      <x:c r="AP150" s="49"/>
      <x:c r="AQ150" s="49"/>
      <x:c r="AR150" s="49"/>
      <x:c r="AS150" s="49"/>
      <x:c r="AT150" s="49"/>
      <x:c r="AU150" s="49"/>
      <x:c r="AV150" s="49"/>
      <x:c r="AW150" s="49"/>
      <x:c r="AX150" s="49"/>
      <x:c r="AY150" s="49"/>
      <x:c r="AZ150" s="49"/>
    </x:row>
    <x:row r="151">
      <x:c r="A151" s="49"/>
      <x:c r="B151" s="49"/>
      <x:c r="C151" s="49"/>
      <x:c r="D151" s="49"/>
      <x:c r="E151" s="49"/>
      <x:c r="F151" s="49"/>
      <x:c r="G151" s="49"/>
      <x:c r="H151" s="49"/>
      <x:c r="I151" s="49"/>
      <x:c r="J151" s="49"/>
      <x:c r="K151" s="49"/>
      <x:c r="L151" s="49"/>
      <x:c r="M151" s="49"/>
      <x:c r="N151" s="49"/>
      <x:c r="O151" s="49"/>
      <x:c r="P151" s="49"/>
      <x:c r="Q151" s="49"/>
      <x:c r="R151" s="49"/>
      <x:c r="S151" s="49"/>
      <x:c r="T151" s="49"/>
      <x:c r="U151" s="49"/>
      <x:c r="V151" s="49"/>
      <x:c r="W151" s="49"/>
      <x:c r="X151" s="49"/>
      <x:c r="Y151" s="49"/>
      <x:c r="Z151" s="49"/>
      <x:c r="AA151" s="49"/>
      <x:c r="AB151" s="49"/>
      <x:c r="AC151" s="49"/>
      <x:c r="AD151" s="49"/>
      <x:c r="AE151" s="49"/>
      <x:c r="AF151" s="49"/>
      <x:c r="AG151" s="49"/>
      <x:c r="AH151" s="49"/>
      <x:c r="AI151" s="49"/>
      <x:c r="AJ151" s="49"/>
      <x:c r="AK151" s="49"/>
      <x:c r="AL151" s="49"/>
      <x:c r="AM151" s="49"/>
      <x:c r="AN151" s="49"/>
      <x:c r="AO151" s="49"/>
      <x:c r="AP151" s="49"/>
      <x:c r="AQ151" s="49"/>
      <x:c r="AR151" s="49"/>
      <x:c r="AS151" s="49"/>
      <x:c r="AT151" s="49"/>
      <x:c r="AU151" s="49"/>
      <x:c r="AV151" s="49"/>
      <x:c r="AW151" s="49"/>
      <x:c r="AX151" s="49"/>
      <x:c r="AY151" s="49"/>
      <x:c r="AZ151" s="49"/>
    </x:row>
    <x:row r="152">
      <x:c r="A152" s="49"/>
      <x:c r="B152" s="49"/>
      <x:c r="C152" s="49"/>
      <x:c r="D152" s="49"/>
      <x:c r="E152" s="49"/>
      <x:c r="F152" s="49"/>
      <x:c r="G152" s="49"/>
      <x:c r="H152" s="49"/>
      <x:c r="I152" s="49"/>
      <x:c r="J152" s="49"/>
      <x:c r="K152" s="49"/>
      <x:c r="L152" s="49"/>
      <x:c r="M152" s="49"/>
      <x:c r="N152" s="49"/>
      <x:c r="O152" s="49"/>
      <x:c r="P152" s="49"/>
      <x:c r="Q152" s="49"/>
      <x:c r="R152" s="49"/>
      <x:c r="S152" s="49"/>
      <x:c r="T152" s="49"/>
      <x:c r="U152" s="49"/>
      <x:c r="V152" s="49"/>
      <x:c r="W152" s="49"/>
      <x:c r="X152" s="49"/>
      <x:c r="Y152" s="49"/>
      <x:c r="Z152" s="49"/>
      <x:c r="AA152" s="49"/>
      <x:c r="AB152" s="49"/>
      <x:c r="AC152" s="49"/>
      <x:c r="AD152" s="49"/>
      <x:c r="AE152" s="49"/>
      <x:c r="AF152" s="49"/>
      <x:c r="AG152" s="49"/>
      <x:c r="AH152" s="49"/>
      <x:c r="AI152" s="49"/>
      <x:c r="AJ152" s="49"/>
      <x:c r="AK152" s="49"/>
      <x:c r="AL152" s="49"/>
      <x:c r="AM152" s="49"/>
      <x:c r="AN152" s="49"/>
      <x:c r="AO152" s="49"/>
      <x:c r="AP152" s="49"/>
      <x:c r="AQ152" s="49"/>
      <x:c r="AR152" s="49"/>
      <x:c r="AS152" s="49"/>
      <x:c r="AT152" s="49"/>
      <x:c r="AU152" s="49"/>
      <x:c r="AV152" s="49"/>
      <x:c r="AW152" s="49"/>
      <x:c r="AX152" s="49"/>
      <x:c r="AY152" s="49"/>
      <x:c r="AZ152" s="49"/>
    </x:row>
    <x:row r="153">
      <x:c r="A153" s="49"/>
      <x:c r="B153" s="49"/>
      <x:c r="C153" s="49"/>
      <x:c r="D153" s="49"/>
      <x:c r="E153" s="49"/>
      <x:c r="F153" s="49"/>
      <x:c r="G153" s="49"/>
      <x:c r="H153" s="49"/>
      <x:c r="I153" s="49"/>
      <x:c r="J153" s="49"/>
      <x:c r="K153" s="49"/>
      <x:c r="L153" s="49"/>
      <x:c r="M153" s="49"/>
      <x:c r="N153" s="49"/>
      <x:c r="O153" s="49"/>
      <x:c r="P153" s="49"/>
      <x:c r="Q153" s="49"/>
      <x:c r="R153" s="49"/>
      <x:c r="S153" s="49"/>
      <x:c r="T153" s="49"/>
      <x:c r="U153" s="49"/>
      <x:c r="V153" s="49"/>
      <x:c r="W153" s="49"/>
      <x:c r="X153" s="49"/>
      <x:c r="Y153" s="49"/>
      <x:c r="Z153" s="49"/>
      <x:c r="AA153" s="49"/>
      <x:c r="AB153" s="49"/>
      <x:c r="AC153" s="49"/>
      <x:c r="AD153" s="49"/>
      <x:c r="AE153" s="49"/>
      <x:c r="AF153" s="49"/>
      <x:c r="AG153" s="49"/>
      <x:c r="AH153" s="49"/>
      <x:c r="AI153" s="49"/>
      <x:c r="AJ153" s="49"/>
      <x:c r="AK153" s="49"/>
      <x:c r="AL153" s="49"/>
      <x:c r="AM153" s="49"/>
      <x:c r="AN153" s="49"/>
      <x:c r="AO153" s="49"/>
      <x:c r="AP153" s="49"/>
      <x:c r="AQ153" s="49"/>
      <x:c r="AR153" s="49"/>
      <x:c r="AS153" s="49"/>
      <x:c r="AT153" s="49"/>
      <x:c r="AU153" s="49"/>
      <x:c r="AV153" s="49"/>
      <x:c r="AW153" s="49"/>
      <x:c r="AX153" s="49"/>
      <x:c r="AY153" s="49"/>
      <x:c r="AZ153" s="49"/>
    </x:row>
    <x:row r="154">
      <x:c r="A154" s="49"/>
      <x:c r="B154" s="49"/>
      <x:c r="C154" s="49"/>
      <x:c r="D154" s="49"/>
      <x:c r="E154" s="49"/>
      <x:c r="F154" s="49"/>
      <x:c r="G154" s="49"/>
      <x:c r="H154" s="49"/>
      <x:c r="I154" s="49"/>
      <x:c r="J154" s="49"/>
      <x:c r="K154" s="49"/>
      <x:c r="L154" s="49"/>
      <x:c r="M154" s="49"/>
      <x:c r="N154" s="49"/>
      <x:c r="O154" s="49"/>
      <x:c r="P154" s="49"/>
      <x:c r="Q154" s="49"/>
      <x:c r="R154" s="49"/>
      <x:c r="S154" s="49"/>
      <x:c r="T154" s="49"/>
      <x:c r="U154" s="49"/>
      <x:c r="V154" s="49"/>
      <x:c r="W154" s="49"/>
      <x:c r="X154" s="49"/>
      <x:c r="Y154" s="49"/>
      <x:c r="Z154" s="49"/>
      <x:c r="AA154" s="49"/>
      <x:c r="AB154" s="49"/>
      <x:c r="AC154" s="49"/>
      <x:c r="AD154" s="49"/>
      <x:c r="AE154" s="49"/>
      <x:c r="AF154" s="49"/>
      <x:c r="AG154" s="49"/>
      <x:c r="AH154" s="49"/>
      <x:c r="AI154" s="49"/>
      <x:c r="AJ154" s="49"/>
      <x:c r="AK154" s="49"/>
      <x:c r="AL154" s="49"/>
      <x:c r="AM154" s="49"/>
      <x:c r="AN154" s="49"/>
      <x:c r="AO154" s="49"/>
      <x:c r="AP154" s="49"/>
      <x:c r="AQ154" s="49"/>
      <x:c r="AR154" s="49"/>
      <x:c r="AS154" s="49"/>
      <x:c r="AT154" s="49"/>
      <x:c r="AU154" s="49"/>
      <x:c r="AV154" s="49"/>
      <x:c r="AW154" s="49"/>
      <x:c r="AX154" s="49"/>
      <x:c r="AY154" s="49"/>
      <x:c r="AZ154" s="49"/>
    </x:row>
    <x:row r="155">
      <x:c r="A155" s="49"/>
      <x:c r="B155" s="49"/>
      <x:c r="C155" s="49"/>
      <x:c r="D155" s="49"/>
      <x:c r="E155" s="49"/>
      <x:c r="F155" s="49"/>
      <x:c r="G155" s="49"/>
      <x:c r="H155" s="49"/>
      <x:c r="I155" s="49"/>
      <x:c r="J155" s="49"/>
      <x:c r="K155" s="49"/>
      <x:c r="L155" s="49"/>
      <x:c r="M155" s="49"/>
      <x:c r="N155" s="49"/>
      <x:c r="O155" s="49"/>
      <x:c r="P155" s="49"/>
      <x:c r="Q155" s="49"/>
      <x:c r="R155" s="49"/>
      <x:c r="S155" s="49"/>
      <x:c r="T155" s="49"/>
      <x:c r="U155" s="49"/>
      <x:c r="V155" s="49"/>
      <x:c r="W155" s="49"/>
      <x:c r="X155" s="49"/>
      <x:c r="Y155" s="49"/>
      <x:c r="Z155" s="49"/>
      <x:c r="AA155" s="49"/>
      <x:c r="AB155" s="49"/>
      <x:c r="AC155" s="49"/>
      <x:c r="AD155" s="49"/>
      <x:c r="AE155" s="49"/>
      <x:c r="AF155" s="49"/>
      <x:c r="AG155" s="49"/>
      <x:c r="AH155" s="49"/>
      <x:c r="AI155" s="49"/>
      <x:c r="AJ155" s="49"/>
      <x:c r="AK155" s="49"/>
      <x:c r="AL155" s="49"/>
      <x:c r="AM155" s="49"/>
      <x:c r="AN155" s="49"/>
      <x:c r="AO155" s="49"/>
      <x:c r="AP155" s="49"/>
      <x:c r="AQ155" s="49"/>
      <x:c r="AR155" s="49"/>
      <x:c r="AS155" s="49"/>
      <x:c r="AT155" s="49"/>
      <x:c r="AU155" s="49"/>
      <x:c r="AV155" s="49"/>
      <x:c r="AW155" s="49"/>
      <x:c r="AX155" s="49"/>
      <x:c r="AY155" s="49"/>
      <x:c r="AZ155" s="49"/>
    </x:row>
    <x:row r="156">
      <x:c r="A156" s="49"/>
      <x:c r="B156" s="49"/>
      <x:c r="C156" s="49"/>
      <x:c r="D156" s="49"/>
      <x:c r="E156" s="49"/>
      <x:c r="F156" s="49"/>
      <x:c r="G156" s="49"/>
      <x:c r="H156" s="49"/>
      <x:c r="I156" s="49"/>
      <x:c r="J156" s="49"/>
      <x:c r="K156" s="49"/>
      <x:c r="L156" s="49"/>
      <x:c r="M156" s="49"/>
      <x:c r="N156" s="49"/>
      <x:c r="O156" s="49"/>
      <x:c r="P156" s="49"/>
      <x:c r="Q156" s="49"/>
      <x:c r="R156" s="49"/>
      <x:c r="S156" s="49"/>
      <x:c r="T156" s="49"/>
      <x:c r="U156" s="49"/>
      <x:c r="V156" s="49"/>
      <x:c r="W156" s="49"/>
      <x:c r="X156" s="49"/>
      <x:c r="Y156" s="49"/>
      <x:c r="Z156" s="49"/>
      <x:c r="AA156" s="49"/>
      <x:c r="AB156" s="49"/>
      <x:c r="AC156" s="49"/>
      <x:c r="AD156" s="49"/>
      <x:c r="AE156" s="49"/>
      <x:c r="AF156" s="49"/>
      <x:c r="AG156" s="49"/>
      <x:c r="AH156" s="49"/>
      <x:c r="AI156" s="49"/>
      <x:c r="AJ156" s="49"/>
      <x:c r="AK156" s="49"/>
      <x:c r="AL156" s="49"/>
      <x:c r="AM156" s="49"/>
      <x:c r="AN156" s="49"/>
      <x:c r="AO156" s="49"/>
      <x:c r="AP156" s="49"/>
      <x:c r="AQ156" s="49"/>
      <x:c r="AR156" s="49"/>
      <x:c r="AS156" s="49"/>
      <x:c r="AT156" s="49"/>
      <x:c r="AU156" s="49"/>
      <x:c r="AV156" s="49"/>
      <x:c r="AW156" s="49"/>
      <x:c r="AX156" s="49"/>
      <x:c r="AY156" s="49"/>
      <x:c r="AZ156" s="49"/>
    </x:row>
    <x:row r="157">
      <x:c r="A157" s="49"/>
      <x:c r="B157" s="49"/>
      <x:c r="C157" s="49"/>
      <x:c r="D157" s="49"/>
      <x:c r="E157" s="49"/>
      <x:c r="F157" s="49"/>
      <x:c r="G157" s="49"/>
      <x:c r="H157" s="49"/>
      <x:c r="I157" s="49"/>
      <x:c r="J157" s="49"/>
      <x:c r="K157" s="49"/>
      <x:c r="L157" s="49"/>
      <x:c r="M157" s="49"/>
      <x:c r="N157" s="49"/>
      <x:c r="O157" s="49"/>
      <x:c r="P157" s="49"/>
      <x:c r="Q157" s="49"/>
      <x:c r="R157" s="49"/>
      <x:c r="S157" s="49"/>
      <x:c r="T157" s="49"/>
      <x:c r="U157" s="49"/>
      <x:c r="V157" s="49"/>
      <x:c r="W157" s="49"/>
      <x:c r="X157" s="49"/>
      <x:c r="Y157" s="49"/>
      <x:c r="Z157" s="49"/>
      <x:c r="AA157" s="49"/>
      <x:c r="AB157" s="49"/>
      <x:c r="AC157" s="49"/>
      <x:c r="AD157" s="49"/>
      <x:c r="AE157" s="49"/>
      <x:c r="AF157" s="49"/>
      <x:c r="AG157" s="49"/>
      <x:c r="AH157" s="49"/>
      <x:c r="AI157" s="49"/>
      <x:c r="AJ157" s="49"/>
      <x:c r="AK157" s="49"/>
      <x:c r="AL157" s="49"/>
      <x:c r="AM157" s="49"/>
      <x:c r="AN157" s="49"/>
      <x:c r="AO157" s="49"/>
      <x:c r="AP157" s="49"/>
      <x:c r="AQ157" s="49"/>
      <x:c r="AR157" s="49"/>
      <x:c r="AS157" s="49"/>
      <x:c r="AT157" s="49"/>
      <x:c r="AU157" s="49"/>
      <x:c r="AV157" s="49"/>
      <x:c r="AW157" s="49"/>
      <x:c r="AX157" s="49"/>
      <x:c r="AY157" s="49"/>
      <x:c r="AZ157" s="49"/>
    </x:row>
    <x:row r="158">
      <x:c r="A158" s="49"/>
      <x:c r="B158" s="49"/>
      <x:c r="C158" s="49"/>
      <x:c r="D158" s="49"/>
      <x:c r="E158" s="49"/>
      <x:c r="F158" s="49"/>
      <x:c r="G158" s="49"/>
      <x:c r="H158" s="49"/>
      <x:c r="I158" s="49"/>
      <x:c r="J158" s="49"/>
      <x:c r="K158" s="49"/>
      <x:c r="L158" s="49"/>
      <x:c r="M158" s="49"/>
      <x:c r="N158" s="49"/>
      <x:c r="O158" s="49"/>
      <x:c r="P158" s="49"/>
      <x:c r="Q158" s="49"/>
      <x:c r="R158" s="49"/>
      <x:c r="S158" s="49"/>
      <x:c r="T158" s="49"/>
      <x:c r="U158" s="49"/>
      <x:c r="V158" s="49"/>
      <x:c r="W158" s="49"/>
      <x:c r="X158" s="49"/>
      <x:c r="Y158" s="49"/>
      <x:c r="Z158" s="49"/>
      <x:c r="AA158" s="49"/>
      <x:c r="AB158" s="49"/>
      <x:c r="AC158" s="49"/>
      <x:c r="AD158" s="49"/>
      <x:c r="AE158" s="49"/>
      <x:c r="AF158" s="49"/>
      <x:c r="AG158" s="49"/>
      <x:c r="AH158" s="49"/>
      <x:c r="AI158" s="49"/>
      <x:c r="AJ158" s="49"/>
      <x:c r="AK158" s="49"/>
      <x:c r="AL158" s="49"/>
      <x:c r="AM158" s="49"/>
      <x:c r="AN158" s="49"/>
      <x:c r="AO158" s="49"/>
      <x:c r="AP158" s="49"/>
      <x:c r="AQ158" s="49"/>
      <x:c r="AR158" s="49"/>
      <x:c r="AS158" s="49"/>
      <x:c r="AT158" s="49"/>
      <x:c r="AU158" s="49"/>
      <x:c r="AV158" s="49"/>
      <x:c r="AW158" s="49"/>
      <x:c r="AX158" s="49"/>
      <x:c r="AY158" s="49"/>
      <x:c r="AZ158" s="49"/>
    </x:row>
    <x:row r="159">
      <x:c r="A159" s="49"/>
      <x:c r="B159" s="49"/>
      <x:c r="C159" s="49"/>
      <x:c r="D159" s="49"/>
      <x:c r="E159" s="49"/>
      <x:c r="F159" s="49"/>
      <x:c r="G159" s="49"/>
      <x:c r="H159" s="49"/>
      <x:c r="I159" s="49"/>
      <x:c r="J159" s="49"/>
      <x:c r="K159" s="49"/>
      <x:c r="L159" s="49"/>
      <x:c r="M159" s="49"/>
      <x:c r="N159" s="49"/>
      <x:c r="O159" s="49"/>
      <x:c r="P159" s="49"/>
      <x:c r="Q159" s="49"/>
      <x:c r="R159" s="49"/>
      <x:c r="S159" s="49"/>
      <x:c r="T159" s="49"/>
      <x:c r="U159" s="49"/>
      <x:c r="V159" s="49"/>
      <x:c r="W159" s="49"/>
      <x:c r="X159" s="49"/>
      <x:c r="Y159" s="49"/>
      <x:c r="Z159" s="49"/>
      <x:c r="AA159" s="49"/>
      <x:c r="AB159" s="49"/>
      <x:c r="AC159" s="49"/>
      <x:c r="AD159" s="49"/>
      <x:c r="AE159" s="49"/>
      <x:c r="AF159" s="49"/>
      <x:c r="AG159" s="49"/>
      <x:c r="AH159" s="49"/>
      <x:c r="AI159" s="49"/>
      <x:c r="AJ159" s="49"/>
      <x:c r="AK159" s="49"/>
      <x:c r="AL159" s="49"/>
      <x:c r="AM159" s="49"/>
      <x:c r="AN159" s="49"/>
      <x:c r="AO159" s="49"/>
      <x:c r="AP159" s="49"/>
      <x:c r="AQ159" s="49"/>
      <x:c r="AR159" s="49"/>
      <x:c r="AS159" s="49"/>
      <x:c r="AT159" s="49"/>
      <x:c r="AU159" s="49"/>
      <x:c r="AV159" s="49"/>
      <x:c r="AW159" s="49"/>
      <x:c r="AX159" s="49"/>
      <x:c r="AY159" s="49"/>
      <x:c r="AZ159" s="49"/>
    </x:row>
    <x:row r="160">
      <x:c r="A160" s="49"/>
      <x:c r="B160" s="49"/>
      <x:c r="C160" s="49"/>
      <x:c r="D160" s="49"/>
      <x:c r="E160" s="49"/>
      <x:c r="F160" s="49"/>
      <x:c r="G160" s="49"/>
      <x:c r="H160" s="49"/>
      <x:c r="I160" s="49"/>
      <x:c r="J160" s="49"/>
      <x:c r="K160" s="49"/>
      <x:c r="L160" s="49"/>
      <x:c r="M160" s="49"/>
      <x:c r="N160" s="49"/>
      <x:c r="O160" s="49"/>
      <x:c r="P160" s="49"/>
      <x:c r="Q160" s="49"/>
      <x:c r="R160" s="49"/>
      <x:c r="S160" s="49"/>
      <x:c r="T160" s="49"/>
      <x:c r="U160" s="49"/>
      <x:c r="V160" s="49"/>
      <x:c r="W160" s="49"/>
      <x:c r="X160" s="49"/>
      <x:c r="Y160" s="49"/>
      <x:c r="Z160" s="49"/>
      <x:c r="AA160" s="49"/>
      <x:c r="AB160" s="49"/>
      <x:c r="AC160" s="49"/>
      <x:c r="AD160" s="49"/>
      <x:c r="AE160" s="49"/>
      <x:c r="AF160" s="49"/>
      <x:c r="AG160" s="49"/>
      <x:c r="AH160" s="49"/>
      <x:c r="AI160" s="49"/>
      <x:c r="AJ160" s="49"/>
      <x:c r="AK160" s="49"/>
      <x:c r="AL160" s="49"/>
      <x:c r="AM160" s="49"/>
      <x:c r="AN160" s="49"/>
      <x:c r="AO160" s="49"/>
      <x:c r="AP160" s="49"/>
      <x:c r="AQ160" s="49"/>
      <x:c r="AR160" s="49"/>
      <x:c r="AS160" s="49"/>
      <x:c r="AT160" s="49"/>
      <x:c r="AU160" s="49"/>
      <x:c r="AV160" s="49"/>
      <x:c r="AW160" s="49"/>
      <x:c r="AX160" s="49"/>
      <x:c r="AY160" s="49"/>
      <x:c r="AZ160" s="49"/>
    </x:row>
    <x:row r="161">
      <x:c r="A161" s="49"/>
      <x:c r="B161" s="49"/>
      <x:c r="C161" s="49"/>
      <x:c r="D161" s="49"/>
      <x:c r="E161" s="49"/>
      <x:c r="F161" s="49"/>
      <x:c r="G161" s="49"/>
      <x:c r="H161" s="49"/>
      <x:c r="I161" s="49"/>
      <x:c r="J161" s="49"/>
      <x:c r="K161" s="49"/>
      <x:c r="L161" s="49"/>
      <x:c r="M161" s="49"/>
      <x:c r="N161" s="49"/>
      <x:c r="O161" s="49"/>
      <x:c r="P161" s="49"/>
      <x:c r="Q161" s="49"/>
      <x:c r="R161" s="49"/>
      <x:c r="S161" s="49"/>
      <x:c r="T161" s="49"/>
      <x:c r="U161" s="49"/>
      <x:c r="V161" s="49"/>
      <x:c r="W161" s="49"/>
      <x:c r="X161" s="49"/>
      <x:c r="Y161" s="49"/>
      <x:c r="Z161" s="49"/>
      <x:c r="AA161" s="49"/>
      <x:c r="AB161" s="49"/>
      <x:c r="AC161" s="49"/>
      <x:c r="AD161" s="49"/>
      <x:c r="AE161" s="49"/>
      <x:c r="AF161" s="49"/>
      <x:c r="AG161" s="49"/>
      <x:c r="AH161" s="49"/>
      <x:c r="AI161" s="49"/>
      <x:c r="AJ161" s="49"/>
      <x:c r="AK161" s="49"/>
      <x:c r="AL161" s="49"/>
      <x:c r="AM161" s="49"/>
      <x:c r="AN161" s="49"/>
      <x:c r="AO161" s="49"/>
      <x:c r="AP161" s="49"/>
      <x:c r="AQ161" s="49"/>
      <x:c r="AR161" s="49"/>
      <x:c r="AS161" s="49"/>
      <x:c r="AT161" s="49"/>
      <x:c r="AU161" s="49"/>
      <x:c r="AV161" s="49"/>
      <x:c r="AW161" s="49"/>
      <x:c r="AX161" s="49"/>
      <x:c r="AY161" s="49"/>
      <x:c r="AZ161" s="49"/>
    </x:row>
    <x:row r="162">
      <x:c r="A162" s="49"/>
      <x:c r="B162" s="49"/>
      <x:c r="C162" s="49"/>
      <x:c r="D162" s="49"/>
      <x:c r="E162" s="49"/>
      <x:c r="F162" s="49"/>
      <x:c r="G162" s="49"/>
      <x:c r="H162" s="49"/>
      <x:c r="I162" s="49"/>
      <x:c r="J162" s="49"/>
      <x:c r="K162" s="49"/>
      <x:c r="L162" s="49"/>
      <x:c r="M162" s="49"/>
      <x:c r="N162" s="49"/>
      <x:c r="O162" s="49"/>
      <x:c r="P162" s="49"/>
      <x:c r="Q162" s="49"/>
      <x:c r="R162" s="49"/>
      <x:c r="S162" s="49"/>
      <x:c r="T162" s="49"/>
      <x:c r="U162" s="49"/>
      <x:c r="V162" s="49"/>
      <x:c r="W162" s="49"/>
      <x:c r="X162" s="49"/>
      <x:c r="Y162" s="49"/>
      <x:c r="Z162" s="49"/>
      <x:c r="AA162" s="49"/>
      <x:c r="AB162" s="49"/>
      <x:c r="AC162" s="49"/>
      <x:c r="AD162" s="49"/>
      <x:c r="AE162" s="49"/>
      <x:c r="AF162" s="49"/>
      <x:c r="AG162" s="49"/>
      <x:c r="AH162" s="49"/>
      <x:c r="AI162" s="49"/>
      <x:c r="AJ162" s="49"/>
      <x:c r="AK162" s="49"/>
      <x:c r="AL162" s="49"/>
      <x:c r="AM162" s="49"/>
      <x:c r="AN162" s="49"/>
      <x:c r="AO162" s="49"/>
      <x:c r="AP162" s="49"/>
      <x:c r="AQ162" s="49"/>
      <x:c r="AR162" s="49"/>
      <x:c r="AS162" s="49"/>
      <x:c r="AT162" s="49"/>
      <x:c r="AU162" s="49"/>
      <x:c r="AV162" s="49"/>
      <x:c r="AW162" s="49"/>
      <x:c r="AX162" s="49"/>
      <x:c r="AY162" s="49"/>
      <x:c r="AZ162" s="49"/>
    </x:row>
    <x:row r="163">
      <x:c r="A163" s="49"/>
      <x:c r="B163" s="49"/>
      <x:c r="C163" s="49"/>
      <x:c r="D163" s="49"/>
      <x:c r="E163" s="49"/>
      <x:c r="F163" s="49"/>
      <x:c r="G163" s="49"/>
      <x:c r="H163" s="49"/>
      <x:c r="I163" s="49"/>
      <x:c r="J163" s="49"/>
      <x:c r="K163" s="49"/>
      <x:c r="L163" s="49"/>
      <x:c r="M163" s="49"/>
      <x:c r="N163" s="49"/>
      <x:c r="O163" s="49"/>
      <x:c r="P163" s="49"/>
      <x:c r="Q163" s="49"/>
      <x:c r="R163" s="49"/>
      <x:c r="S163" s="49"/>
      <x:c r="T163" s="49"/>
      <x:c r="U163" s="49"/>
      <x:c r="V163" s="49"/>
      <x:c r="W163" s="49"/>
      <x:c r="X163" s="49"/>
      <x:c r="Y163" s="49"/>
      <x:c r="Z163" s="49"/>
      <x:c r="AA163" s="49"/>
      <x:c r="AB163" s="49"/>
      <x:c r="AC163" s="49"/>
      <x:c r="AD163" s="49"/>
      <x:c r="AE163" s="49"/>
      <x:c r="AF163" s="49"/>
      <x:c r="AG163" s="49"/>
      <x:c r="AH163" s="49"/>
      <x:c r="AI163" s="49"/>
      <x:c r="AJ163" s="49"/>
      <x:c r="AK163" s="49"/>
      <x:c r="AL163" s="49"/>
      <x:c r="AM163" s="49"/>
      <x:c r="AN163" s="49"/>
      <x:c r="AO163" s="49"/>
      <x:c r="AP163" s="49"/>
      <x:c r="AQ163" s="49"/>
      <x:c r="AR163" s="49"/>
      <x:c r="AS163" s="49"/>
      <x:c r="AT163" s="49"/>
      <x:c r="AU163" s="49"/>
      <x:c r="AV163" s="49"/>
      <x:c r="AW163" s="49"/>
      <x:c r="AX163" s="49"/>
      <x:c r="AY163" s="49"/>
      <x:c r="AZ163" s="49"/>
    </x:row>
    <x:row r="164">
      <x:c r="A164" s="49"/>
      <x:c r="B164" s="49"/>
      <x:c r="C164" s="49"/>
      <x:c r="D164" s="49"/>
      <x:c r="E164" s="49"/>
      <x:c r="F164" s="49"/>
      <x:c r="G164" s="49"/>
      <x:c r="H164" s="49"/>
      <x:c r="I164" s="49"/>
      <x:c r="J164" s="49"/>
      <x:c r="K164" s="49"/>
      <x:c r="L164" s="49"/>
      <x:c r="M164" s="49"/>
      <x:c r="N164" s="49"/>
      <x:c r="O164" s="49"/>
      <x:c r="P164" s="49"/>
      <x:c r="Q164" s="49"/>
      <x:c r="R164" s="49"/>
      <x:c r="S164" s="49"/>
      <x:c r="T164" s="49"/>
      <x:c r="U164" s="49"/>
      <x:c r="V164" s="49"/>
      <x:c r="W164" s="49"/>
      <x:c r="X164" s="49"/>
      <x:c r="Y164" s="49"/>
      <x:c r="Z164" s="49"/>
      <x:c r="AA164" s="49"/>
      <x:c r="AB164" s="49"/>
      <x:c r="AC164" s="49"/>
      <x:c r="AD164" s="49"/>
      <x:c r="AE164" s="49"/>
      <x:c r="AF164" s="49"/>
      <x:c r="AG164" s="49"/>
      <x:c r="AH164" s="49"/>
      <x:c r="AI164" s="49"/>
      <x:c r="AJ164" s="49"/>
      <x:c r="AK164" s="49"/>
      <x:c r="AL164" s="49"/>
      <x:c r="AM164" s="49"/>
      <x:c r="AN164" s="49"/>
      <x:c r="AO164" s="49"/>
      <x:c r="AP164" s="49"/>
      <x:c r="AQ164" s="49"/>
      <x:c r="AR164" s="49"/>
      <x:c r="AS164" s="49"/>
      <x:c r="AT164" s="49"/>
      <x:c r="AU164" s="49"/>
      <x:c r="AV164" s="49"/>
      <x:c r="AW164" s="49"/>
      <x:c r="AX164" s="49"/>
      <x:c r="AY164" s="49"/>
      <x:c r="AZ164" s="49"/>
    </x:row>
    <x:row r="165">
      <x:c r="A165" s="49"/>
      <x:c r="B165" s="49"/>
      <x:c r="C165" s="49"/>
      <x:c r="D165" s="49"/>
      <x:c r="E165" s="49"/>
      <x:c r="F165" s="49"/>
      <x:c r="G165" s="49"/>
      <x:c r="H165" s="49"/>
      <x:c r="I165" s="49"/>
      <x:c r="J165" s="49"/>
      <x:c r="K165" s="49"/>
      <x:c r="L165" s="49"/>
      <x:c r="M165" s="49"/>
      <x:c r="N165" s="49"/>
      <x:c r="O165" s="49"/>
      <x:c r="P165" s="49"/>
      <x:c r="Q165" s="49"/>
      <x:c r="R165" s="49"/>
      <x:c r="S165" s="49"/>
      <x:c r="T165" s="49"/>
      <x:c r="U165" s="49"/>
      <x:c r="V165" s="49"/>
      <x:c r="W165" s="49"/>
      <x:c r="X165" s="49"/>
      <x:c r="Y165" s="49"/>
      <x:c r="Z165" s="49"/>
      <x:c r="AA165" s="49"/>
      <x:c r="AB165" s="49"/>
      <x:c r="AC165" s="49"/>
      <x:c r="AD165" s="49"/>
      <x:c r="AE165" s="49"/>
      <x:c r="AF165" s="49"/>
      <x:c r="AG165" s="49"/>
      <x:c r="AH165" s="49"/>
      <x:c r="AI165" s="49"/>
      <x:c r="AJ165" s="49"/>
      <x:c r="AK165" s="49"/>
      <x:c r="AL165" s="49"/>
      <x:c r="AM165" s="49"/>
      <x:c r="AN165" s="49"/>
      <x:c r="AO165" s="49"/>
      <x:c r="AP165" s="49"/>
      <x:c r="AQ165" s="49"/>
      <x:c r="AR165" s="49"/>
      <x:c r="AS165" s="49"/>
      <x:c r="AT165" s="49"/>
      <x:c r="AU165" s="49"/>
      <x:c r="AV165" s="49"/>
      <x:c r="AW165" s="49"/>
      <x:c r="AX165" s="49"/>
      <x:c r="AY165" s="49"/>
      <x:c r="AZ165" s="49"/>
    </x:row>
    <x:row r="166">
      <x:c r="A166" s="49"/>
      <x:c r="B166" s="49"/>
      <x:c r="C166" s="49"/>
      <x:c r="D166" s="49"/>
      <x:c r="E166" s="49"/>
      <x:c r="F166" s="49"/>
      <x:c r="G166" s="49"/>
      <x:c r="H166" s="49"/>
      <x:c r="I166" s="49"/>
      <x:c r="J166" s="49"/>
      <x:c r="K166" s="49"/>
      <x:c r="L166" s="49"/>
      <x:c r="M166" s="49"/>
      <x:c r="N166" s="49"/>
      <x:c r="O166" s="49"/>
      <x:c r="P166" s="49"/>
      <x:c r="Q166" s="49"/>
      <x:c r="R166" s="49"/>
      <x:c r="S166" s="49"/>
      <x:c r="T166" s="49"/>
      <x:c r="U166" s="49"/>
      <x:c r="V166" s="49"/>
      <x:c r="W166" s="49"/>
      <x:c r="X166" s="49"/>
      <x:c r="Y166" s="49"/>
      <x:c r="Z166" s="49"/>
      <x:c r="AA166" s="49"/>
      <x:c r="AB166" s="49"/>
      <x:c r="AC166" s="49"/>
      <x:c r="AD166" s="49"/>
      <x:c r="AE166" s="49"/>
      <x:c r="AF166" s="49"/>
      <x:c r="AG166" s="49"/>
      <x:c r="AH166" s="49"/>
      <x:c r="AI166" s="49"/>
      <x:c r="AJ166" s="49"/>
      <x:c r="AK166" s="49"/>
      <x:c r="AL166" s="49"/>
      <x:c r="AM166" s="49"/>
      <x:c r="AN166" s="49"/>
      <x:c r="AO166" s="49"/>
      <x:c r="AP166" s="49"/>
      <x:c r="AQ166" s="49"/>
      <x:c r="AR166" s="49"/>
      <x:c r="AS166" s="49"/>
      <x:c r="AT166" s="49"/>
      <x:c r="AU166" s="49"/>
      <x:c r="AV166" s="49"/>
      <x:c r="AW166" s="49"/>
      <x:c r="AX166" s="49"/>
      <x:c r="AY166" s="49"/>
      <x:c r="AZ166" s="49"/>
    </x:row>
    <x:row r="167">
      <x:c r="A167" s="49"/>
      <x:c r="B167" s="49"/>
      <x:c r="C167" s="49"/>
      <x:c r="D167" s="49"/>
      <x:c r="E167" s="49"/>
      <x:c r="F167" s="49"/>
      <x:c r="G167" s="49"/>
      <x:c r="H167" s="49"/>
      <x:c r="I167" s="49"/>
      <x:c r="J167" s="49"/>
      <x:c r="K167" s="49"/>
      <x:c r="L167" s="49"/>
      <x:c r="M167" s="49"/>
      <x:c r="N167" s="49"/>
      <x:c r="O167" s="49"/>
      <x:c r="P167" s="49"/>
      <x:c r="Q167" s="49"/>
      <x:c r="R167" s="49"/>
      <x:c r="S167" s="49"/>
      <x:c r="T167" s="49"/>
      <x:c r="U167" s="49"/>
      <x:c r="V167" s="49"/>
      <x:c r="W167" s="49"/>
      <x:c r="X167" s="49"/>
      <x:c r="Y167" s="49"/>
      <x:c r="Z167" s="49"/>
      <x:c r="AA167" s="49"/>
      <x:c r="AB167" s="49"/>
      <x:c r="AC167" s="49"/>
      <x:c r="AD167" s="49"/>
      <x:c r="AE167" s="49"/>
      <x:c r="AF167" s="49"/>
      <x:c r="AG167" s="49"/>
      <x:c r="AH167" s="49"/>
      <x:c r="AI167" s="49"/>
      <x:c r="AJ167" s="49"/>
      <x:c r="AK167" s="49"/>
      <x:c r="AL167" s="49"/>
      <x:c r="AM167" s="49"/>
      <x:c r="AN167" s="49"/>
      <x:c r="AO167" s="49"/>
      <x:c r="AP167" s="49"/>
      <x:c r="AQ167" s="49"/>
      <x:c r="AR167" s="49"/>
      <x:c r="AS167" s="49"/>
      <x:c r="AT167" s="49"/>
      <x:c r="AU167" s="49"/>
      <x:c r="AV167" s="49"/>
      <x:c r="AW167" s="49"/>
      <x:c r="AX167" s="49"/>
      <x:c r="AY167" s="49"/>
      <x:c r="AZ167" s="49"/>
    </x:row>
    <x:row r="168">
      <x:c r="A168" s="49"/>
      <x:c r="B168" s="49"/>
      <x:c r="C168" s="49"/>
      <x:c r="D168" s="49"/>
      <x:c r="E168" s="49"/>
      <x:c r="F168" s="49"/>
      <x:c r="G168" s="49"/>
      <x:c r="H168" s="49"/>
      <x:c r="I168" s="49"/>
      <x:c r="J168" s="49"/>
      <x:c r="K168" s="49"/>
      <x:c r="L168" s="49"/>
      <x:c r="M168" s="49"/>
      <x:c r="N168" s="49"/>
      <x:c r="O168" s="49"/>
      <x:c r="P168" s="49"/>
      <x:c r="Q168" s="49"/>
      <x:c r="R168" s="49"/>
      <x:c r="S168" s="49"/>
      <x:c r="T168" s="49"/>
      <x:c r="U168" s="49"/>
      <x:c r="V168" s="49"/>
      <x:c r="W168" s="49"/>
      <x:c r="X168" s="49"/>
      <x:c r="Y168" s="49"/>
      <x:c r="Z168" s="49"/>
      <x:c r="AA168" s="49"/>
      <x:c r="AB168" s="49"/>
      <x:c r="AC168" s="49"/>
      <x:c r="AD168" s="49"/>
      <x:c r="AE168" s="49"/>
      <x:c r="AF168" s="49"/>
      <x:c r="AG168" s="49"/>
      <x:c r="AH168" s="49"/>
      <x:c r="AI168" s="49"/>
      <x:c r="AJ168" s="49"/>
      <x:c r="AK168" s="49"/>
      <x:c r="AL168" s="49"/>
      <x:c r="AM168" s="49"/>
      <x:c r="AN168" s="49"/>
      <x:c r="AO168" s="49"/>
      <x:c r="AP168" s="49"/>
      <x:c r="AQ168" s="49"/>
      <x:c r="AR168" s="49"/>
      <x:c r="AS168" s="49"/>
      <x:c r="AT168" s="49"/>
      <x:c r="AU168" s="49"/>
      <x:c r="AV168" s="49"/>
      <x:c r="AW168" s="49"/>
      <x:c r="AX168" s="49"/>
      <x:c r="AY168" s="49"/>
      <x:c r="AZ168" s="49"/>
    </x:row>
    <x:row r="169">
      <x:c r="A169" s="49"/>
      <x:c r="B169" s="49"/>
      <x:c r="C169" s="49"/>
      <x:c r="D169" s="49"/>
      <x:c r="E169" s="49"/>
      <x:c r="F169" s="49"/>
      <x:c r="G169" s="49"/>
      <x:c r="H169" s="49"/>
      <x:c r="I169" s="49"/>
      <x:c r="J169" s="49"/>
      <x:c r="K169" s="49"/>
      <x:c r="L169" s="49"/>
      <x:c r="M169" s="49"/>
      <x:c r="N169" s="49"/>
      <x:c r="O169" s="49"/>
      <x:c r="P169" s="49"/>
      <x:c r="Q169" s="49"/>
      <x:c r="R169" s="49"/>
      <x:c r="S169" s="49"/>
      <x:c r="T169" s="49"/>
      <x:c r="U169" s="49"/>
      <x:c r="V169" s="49"/>
      <x:c r="W169" s="49"/>
      <x:c r="X169" s="49"/>
      <x:c r="Y169" s="49"/>
      <x:c r="Z169" s="49"/>
      <x:c r="AA169" s="49"/>
      <x:c r="AB169" s="49"/>
      <x:c r="AC169" s="49"/>
      <x:c r="AD169" s="49"/>
      <x:c r="AE169" s="49"/>
      <x:c r="AF169" s="49"/>
      <x:c r="AG169" s="49"/>
      <x:c r="AH169" s="49"/>
      <x:c r="AI169" s="49"/>
      <x:c r="AJ169" s="49"/>
      <x:c r="AK169" s="49"/>
      <x:c r="AL169" s="49"/>
      <x:c r="AM169" s="49"/>
      <x:c r="AN169" s="49"/>
      <x:c r="AO169" s="49"/>
      <x:c r="AP169" s="49"/>
      <x:c r="AQ169" s="49"/>
      <x:c r="AR169" s="49"/>
      <x:c r="AS169" s="49"/>
      <x:c r="AT169" s="49"/>
      <x:c r="AU169" s="49"/>
      <x:c r="AV169" s="49"/>
      <x:c r="AW169" s="49"/>
      <x:c r="AX169" s="49"/>
      <x:c r="AY169" s="49"/>
      <x:c r="AZ169" s="49"/>
    </x:row>
    <x:row r="170">
      <x:c r="A170" s="49"/>
      <x:c r="B170" s="49"/>
      <x:c r="C170" s="49"/>
      <x:c r="D170" s="49"/>
      <x:c r="E170" s="49"/>
      <x:c r="F170" s="49"/>
      <x:c r="G170" s="49"/>
      <x:c r="H170" s="49"/>
      <x:c r="I170" s="49"/>
      <x:c r="J170" s="49"/>
      <x:c r="K170" s="49"/>
      <x:c r="L170" s="49"/>
      <x:c r="M170" s="49"/>
      <x:c r="N170" s="49"/>
      <x:c r="O170" s="49"/>
      <x:c r="P170" s="49"/>
      <x:c r="Q170" s="49"/>
      <x:c r="R170" s="49"/>
      <x:c r="S170" s="49"/>
      <x:c r="T170" s="49"/>
      <x:c r="U170" s="49"/>
      <x:c r="V170" s="49"/>
      <x:c r="W170" s="49"/>
      <x:c r="X170" s="49"/>
      <x:c r="Y170" s="49"/>
      <x:c r="Z170" s="49"/>
      <x:c r="AA170" s="49"/>
      <x:c r="AB170" s="49"/>
      <x:c r="AC170" s="49"/>
      <x:c r="AD170" s="49"/>
      <x:c r="AE170" s="49"/>
      <x:c r="AF170" s="49"/>
      <x:c r="AG170" s="49"/>
      <x:c r="AH170" s="49"/>
      <x:c r="AI170" s="49"/>
      <x:c r="AJ170" s="49"/>
      <x:c r="AK170" s="49"/>
      <x:c r="AL170" s="49"/>
      <x:c r="AM170" s="49"/>
      <x:c r="AN170" s="49"/>
      <x:c r="AO170" s="49"/>
      <x:c r="AP170" s="49"/>
      <x:c r="AQ170" s="49"/>
      <x:c r="AR170" s="49"/>
      <x:c r="AS170" s="49"/>
      <x:c r="AT170" s="49"/>
      <x:c r="AU170" s="49"/>
      <x:c r="AV170" s="49"/>
      <x:c r="AW170" s="49"/>
      <x:c r="AX170" s="49"/>
      <x:c r="AY170" s="49"/>
      <x:c r="AZ170" s="49"/>
    </x:row>
    <x:row r="171">
      <x:c r="A171" s="49"/>
      <x:c r="B171" s="49"/>
      <x:c r="C171" s="49"/>
      <x:c r="D171" s="49"/>
      <x:c r="E171" s="49"/>
      <x:c r="F171" s="49"/>
      <x:c r="G171" s="49"/>
      <x:c r="H171" s="49"/>
      <x:c r="I171" s="49"/>
      <x:c r="J171" s="49"/>
      <x:c r="K171" s="49"/>
      <x:c r="L171" s="49"/>
      <x:c r="M171" s="49"/>
      <x:c r="N171" s="49"/>
      <x:c r="O171" s="49"/>
      <x:c r="P171" s="49"/>
      <x:c r="Q171" s="49"/>
      <x:c r="R171" s="49"/>
      <x:c r="S171" s="49"/>
      <x:c r="T171" s="49"/>
      <x:c r="U171" s="49"/>
      <x:c r="V171" s="49"/>
      <x:c r="W171" s="49"/>
      <x:c r="X171" s="49"/>
      <x:c r="Y171" s="49"/>
      <x:c r="Z171" s="49"/>
      <x:c r="AA171" s="49"/>
      <x:c r="AB171" s="49"/>
      <x:c r="AC171" s="49"/>
      <x:c r="AD171" s="49"/>
      <x:c r="AE171" s="49"/>
      <x:c r="AF171" s="49"/>
      <x:c r="AG171" s="49"/>
      <x:c r="AH171" s="49"/>
      <x:c r="AI171" s="49"/>
      <x:c r="AJ171" s="49"/>
      <x:c r="AK171" s="49"/>
      <x:c r="AL171" s="49"/>
      <x:c r="AM171" s="49"/>
      <x:c r="AN171" s="49"/>
      <x:c r="AO171" s="49"/>
      <x:c r="AP171" s="49"/>
      <x:c r="AQ171" s="49"/>
      <x:c r="AR171" s="49"/>
      <x:c r="AS171" s="49"/>
      <x:c r="AT171" s="49"/>
      <x:c r="AU171" s="49"/>
      <x:c r="AV171" s="49"/>
      <x:c r="AW171" s="49"/>
      <x:c r="AX171" s="49"/>
      <x:c r="AY171" s="49"/>
      <x:c r="AZ171" s="49"/>
    </x:row>
    <x:row r="172">
      <x:c r="A172" s="49"/>
      <x:c r="B172" s="49"/>
      <x:c r="C172" s="49"/>
      <x:c r="D172" s="49"/>
      <x:c r="E172" s="49"/>
      <x:c r="F172" s="49"/>
      <x:c r="G172" s="49"/>
      <x:c r="H172" s="49"/>
      <x:c r="I172" s="49"/>
      <x:c r="J172" s="49"/>
      <x:c r="K172" s="49"/>
      <x:c r="L172" s="49"/>
      <x:c r="M172" s="49"/>
      <x:c r="N172" s="49"/>
      <x:c r="O172" s="49"/>
      <x:c r="P172" s="49"/>
      <x:c r="Q172" s="49"/>
      <x:c r="R172" s="49"/>
      <x:c r="S172" s="49"/>
      <x:c r="T172" s="49"/>
      <x:c r="U172" s="49"/>
      <x:c r="V172" s="49"/>
      <x:c r="W172" s="49"/>
      <x:c r="X172" s="49"/>
      <x:c r="Y172" s="49"/>
      <x:c r="Z172" s="49"/>
      <x:c r="AA172" s="49"/>
      <x:c r="AB172" s="49"/>
      <x:c r="AC172" s="49"/>
      <x:c r="AD172" s="49"/>
      <x:c r="AE172" s="49"/>
      <x:c r="AF172" s="49"/>
      <x:c r="AG172" s="49"/>
      <x:c r="AH172" s="49"/>
      <x:c r="AI172" s="49"/>
      <x:c r="AJ172" s="49"/>
      <x:c r="AK172" s="49"/>
      <x:c r="AL172" s="49"/>
      <x:c r="AM172" s="49"/>
      <x:c r="AN172" s="49"/>
      <x:c r="AO172" s="49"/>
      <x:c r="AP172" s="49"/>
      <x:c r="AQ172" s="49"/>
      <x:c r="AR172" s="49"/>
      <x:c r="AS172" s="49"/>
      <x:c r="AT172" s="49"/>
      <x:c r="AU172" s="49"/>
      <x:c r="AV172" s="49"/>
      <x:c r="AW172" s="49"/>
      <x:c r="AX172" s="49"/>
      <x:c r="AY172" s="49"/>
      <x:c r="AZ172" s="49"/>
    </x:row>
    <x:row r="173">
      <x:c r="A173" s="49"/>
      <x:c r="B173" s="49"/>
      <x:c r="C173" s="49"/>
      <x:c r="D173" s="49"/>
      <x:c r="E173" s="49"/>
      <x:c r="F173" s="49"/>
      <x:c r="G173" s="49"/>
      <x:c r="H173" s="49"/>
      <x:c r="I173" s="49"/>
      <x:c r="J173" s="49"/>
      <x:c r="K173" s="49"/>
      <x:c r="L173" s="49"/>
      <x:c r="M173" s="49"/>
      <x:c r="N173" s="49"/>
      <x:c r="O173" s="49"/>
      <x:c r="P173" s="49"/>
      <x:c r="Q173" s="49"/>
      <x:c r="R173" s="49"/>
      <x:c r="S173" s="49"/>
      <x:c r="T173" s="49"/>
      <x:c r="U173" s="49"/>
      <x:c r="V173" s="49"/>
      <x:c r="W173" s="49"/>
      <x:c r="X173" s="49"/>
      <x:c r="Y173" s="49"/>
      <x:c r="Z173" s="49"/>
      <x:c r="AA173" s="49"/>
      <x:c r="AB173" s="49"/>
      <x:c r="AC173" s="49"/>
      <x:c r="AD173" s="49"/>
      <x:c r="AE173" s="49"/>
      <x:c r="AF173" s="49"/>
      <x:c r="AG173" s="49"/>
      <x:c r="AH173" s="49"/>
      <x:c r="AI173" s="49"/>
      <x:c r="AJ173" s="49"/>
      <x:c r="AK173" s="49"/>
      <x:c r="AL173" s="49"/>
      <x:c r="AM173" s="49"/>
      <x:c r="AN173" s="49"/>
      <x:c r="AO173" s="49"/>
      <x:c r="AP173" s="49"/>
      <x:c r="AQ173" s="49"/>
      <x:c r="AR173" s="49"/>
      <x:c r="AS173" s="49"/>
      <x:c r="AT173" s="49"/>
      <x:c r="AU173" s="49"/>
      <x:c r="AV173" s="49"/>
      <x:c r="AW173" s="49"/>
      <x:c r="AX173" s="49"/>
      <x:c r="AY173" s="49"/>
      <x:c r="AZ173" s="49"/>
    </x:row>
    <x:row r="174">
      <x:c r="A174" s="49"/>
      <x:c r="B174" s="49"/>
      <x:c r="C174" s="49"/>
      <x:c r="D174" s="49"/>
      <x:c r="E174" s="49"/>
      <x:c r="F174" s="49"/>
      <x:c r="G174" s="49"/>
      <x:c r="H174" s="49"/>
      <x:c r="I174" s="49"/>
      <x:c r="J174" s="49"/>
      <x:c r="K174" s="49"/>
      <x:c r="L174" s="49"/>
      <x:c r="M174" s="49"/>
      <x:c r="N174" s="49"/>
      <x:c r="O174" s="49"/>
      <x:c r="P174" s="49"/>
      <x:c r="Q174" s="49"/>
      <x:c r="R174" s="49"/>
      <x:c r="S174" s="49"/>
      <x:c r="T174" s="49"/>
      <x:c r="U174" s="49"/>
      <x:c r="V174" s="49"/>
      <x:c r="W174" s="49"/>
      <x:c r="X174" s="49"/>
      <x:c r="Y174" s="49"/>
      <x:c r="Z174" s="49"/>
      <x:c r="AA174" s="49"/>
      <x:c r="AB174" s="49"/>
      <x:c r="AC174" s="49"/>
      <x:c r="AD174" s="49"/>
      <x:c r="AE174" s="49"/>
      <x:c r="AF174" s="49"/>
      <x:c r="AG174" s="49"/>
      <x:c r="AH174" s="49"/>
      <x:c r="AI174" s="49"/>
      <x:c r="AJ174" s="49"/>
      <x:c r="AK174" s="49"/>
      <x:c r="AL174" s="49"/>
      <x:c r="AM174" s="49"/>
      <x:c r="AN174" s="49"/>
      <x:c r="AO174" s="49"/>
      <x:c r="AP174" s="49"/>
      <x:c r="AQ174" s="49"/>
      <x:c r="AR174" s="49"/>
      <x:c r="AS174" s="49"/>
      <x:c r="AT174" s="49"/>
      <x:c r="AU174" s="49"/>
      <x:c r="AV174" s="49"/>
      <x:c r="AW174" s="49"/>
      <x:c r="AX174" s="49"/>
      <x:c r="AY174" s="49"/>
      <x:c r="AZ174" s="49"/>
    </x:row>
    <x:row r="175">
      <x:c r="A175" s="49"/>
      <x:c r="B175" s="49"/>
      <x:c r="C175" s="49"/>
      <x:c r="D175" s="49"/>
      <x:c r="E175" s="49"/>
      <x:c r="F175" s="49"/>
      <x:c r="G175" s="49"/>
      <x:c r="H175" s="49"/>
      <x:c r="I175" s="49"/>
      <x:c r="J175" s="49"/>
      <x:c r="K175" s="49"/>
      <x:c r="L175" s="49"/>
      <x:c r="M175" s="49"/>
      <x:c r="N175" s="49"/>
      <x:c r="O175" s="49"/>
      <x:c r="P175" s="49"/>
      <x:c r="Q175" s="49"/>
      <x:c r="R175" s="49"/>
      <x:c r="S175" s="49"/>
      <x:c r="T175" s="49"/>
      <x:c r="U175" s="49"/>
      <x:c r="V175" s="49"/>
      <x:c r="W175" s="49"/>
      <x:c r="X175" s="49"/>
      <x:c r="Y175" s="49"/>
      <x:c r="Z175" s="49"/>
      <x:c r="AA175" s="49"/>
      <x:c r="AB175" s="49"/>
      <x:c r="AC175" s="49"/>
      <x:c r="AD175" s="49"/>
      <x:c r="AE175" s="49"/>
      <x:c r="AF175" s="49"/>
      <x:c r="AG175" s="49"/>
      <x:c r="AH175" s="49"/>
      <x:c r="AI175" s="49"/>
      <x:c r="AJ175" s="49"/>
      <x:c r="AK175" s="49"/>
      <x:c r="AL175" s="49"/>
      <x:c r="AM175" s="49"/>
      <x:c r="AN175" s="49"/>
      <x:c r="AO175" s="49"/>
      <x:c r="AP175" s="49"/>
      <x:c r="AQ175" s="49"/>
      <x:c r="AR175" s="49"/>
      <x:c r="AS175" s="49"/>
      <x:c r="AT175" s="49"/>
      <x:c r="AU175" s="49"/>
      <x:c r="AV175" s="49"/>
      <x:c r="AW175" s="49"/>
      <x:c r="AX175" s="49"/>
      <x:c r="AY175" s="49"/>
      <x:c r="AZ175" s="49"/>
    </x:row>
    <x:row r="176">
      <x:c r="A176" s="49"/>
      <x:c r="B176" s="49"/>
      <x:c r="C176" s="49"/>
      <x:c r="D176" s="49"/>
      <x:c r="E176" s="49"/>
      <x:c r="F176" s="49"/>
      <x:c r="G176" s="49"/>
      <x:c r="H176" s="49"/>
      <x:c r="I176" s="49"/>
      <x:c r="J176" s="49"/>
      <x:c r="K176" s="49"/>
      <x:c r="L176" s="49"/>
      <x:c r="M176" s="49"/>
      <x:c r="N176" s="49"/>
      <x:c r="O176" s="49"/>
      <x:c r="P176" s="49"/>
      <x:c r="Q176" s="49"/>
      <x:c r="R176" s="49"/>
      <x:c r="S176" s="49"/>
      <x:c r="T176" s="49"/>
      <x:c r="U176" s="49"/>
      <x:c r="V176" s="49"/>
      <x:c r="W176" s="49"/>
      <x:c r="X176" s="49"/>
      <x:c r="Y176" s="49"/>
      <x:c r="Z176" s="49"/>
      <x:c r="AA176" s="49"/>
      <x:c r="AB176" s="49"/>
      <x:c r="AC176" s="49"/>
      <x:c r="AD176" s="49"/>
      <x:c r="AE176" s="49"/>
      <x:c r="AF176" s="49"/>
      <x:c r="AG176" s="49"/>
      <x:c r="AH176" s="49"/>
      <x:c r="AI176" s="49"/>
      <x:c r="AJ176" s="49"/>
      <x:c r="AK176" s="49"/>
      <x:c r="AL176" s="49"/>
      <x:c r="AM176" s="49"/>
      <x:c r="AN176" s="49"/>
      <x:c r="AO176" s="49"/>
      <x:c r="AP176" s="49"/>
      <x:c r="AQ176" s="49"/>
      <x:c r="AR176" s="49"/>
      <x:c r="AS176" s="49"/>
      <x:c r="AT176" s="49"/>
      <x:c r="AU176" s="49"/>
      <x:c r="AV176" s="49"/>
      <x:c r="AW176" s="49"/>
      <x:c r="AX176" s="49"/>
      <x:c r="AY176" s="49"/>
      <x:c r="AZ176" s="49"/>
    </x:row>
    <x:row r="177">
      <x:c r="A177" s="49"/>
      <x:c r="B177" s="49"/>
      <x:c r="C177" s="49"/>
      <x:c r="D177" s="49"/>
      <x:c r="E177" s="49"/>
      <x:c r="F177" s="49"/>
      <x:c r="G177" s="49"/>
      <x:c r="H177" s="49"/>
      <x:c r="I177" s="49"/>
      <x:c r="J177" s="49"/>
      <x:c r="K177" s="49"/>
      <x:c r="L177" s="49"/>
      <x:c r="M177" s="49"/>
      <x:c r="N177" s="49"/>
      <x:c r="O177" s="49"/>
      <x:c r="P177" s="49"/>
      <x:c r="Q177" s="49"/>
      <x:c r="R177" s="49"/>
      <x:c r="S177" s="49"/>
      <x:c r="T177" s="49"/>
      <x:c r="U177" s="49"/>
      <x:c r="V177" s="49"/>
      <x:c r="W177" s="49"/>
      <x:c r="X177" s="49"/>
      <x:c r="Y177" s="49"/>
      <x:c r="Z177" s="49"/>
      <x:c r="AA177" s="49"/>
      <x:c r="AB177" s="49"/>
      <x:c r="AC177" s="49"/>
      <x:c r="AD177" s="49"/>
      <x:c r="AE177" s="49"/>
      <x:c r="AF177" s="49"/>
      <x:c r="AG177" s="49"/>
      <x:c r="AH177" s="49"/>
      <x:c r="AI177" s="49"/>
      <x:c r="AJ177" s="49"/>
      <x:c r="AK177" s="49"/>
      <x:c r="AL177" s="49"/>
      <x:c r="AM177" s="49"/>
      <x:c r="AN177" s="49"/>
      <x:c r="AO177" s="49"/>
      <x:c r="AP177" s="49"/>
      <x:c r="AQ177" s="49"/>
      <x:c r="AR177" s="49"/>
      <x:c r="AS177" s="49"/>
      <x:c r="AT177" s="49"/>
      <x:c r="AU177" s="49"/>
      <x:c r="AV177" s="49"/>
      <x:c r="AW177" s="49"/>
      <x:c r="AX177" s="49"/>
      <x:c r="AY177" s="49"/>
      <x:c r="AZ177" s="49"/>
    </x:row>
    <x:row r="178">
      <x:c r="A178" s="49"/>
      <x:c r="B178" s="49"/>
      <x:c r="C178" s="49"/>
      <x:c r="D178" s="49"/>
      <x:c r="E178" s="49"/>
      <x:c r="F178" s="49"/>
      <x:c r="G178" s="49"/>
      <x:c r="H178" s="49"/>
      <x:c r="I178" s="49"/>
      <x:c r="J178" s="49"/>
      <x:c r="K178" s="49"/>
      <x:c r="L178" s="49"/>
      <x:c r="M178" s="49"/>
      <x:c r="N178" s="49"/>
      <x:c r="O178" s="49"/>
      <x:c r="P178" s="49"/>
      <x:c r="Q178" s="49"/>
      <x:c r="R178" s="49"/>
      <x:c r="S178" s="49"/>
      <x:c r="T178" s="49"/>
      <x:c r="U178" s="49"/>
      <x:c r="V178" s="49"/>
      <x:c r="W178" s="49"/>
      <x:c r="X178" s="49"/>
      <x:c r="Y178" s="49"/>
      <x:c r="Z178" s="49"/>
      <x:c r="AA178" s="49"/>
      <x:c r="AB178" s="49"/>
      <x:c r="AC178" s="49"/>
      <x:c r="AD178" s="49"/>
      <x:c r="AE178" s="49"/>
      <x:c r="AF178" s="49"/>
      <x:c r="AG178" s="49"/>
      <x:c r="AH178" s="49"/>
      <x:c r="AI178" s="49"/>
      <x:c r="AJ178" s="49"/>
      <x:c r="AK178" s="49"/>
      <x:c r="AL178" s="49"/>
      <x:c r="AM178" s="49"/>
      <x:c r="AN178" s="49"/>
      <x:c r="AO178" s="49"/>
      <x:c r="AP178" s="49"/>
      <x:c r="AQ178" s="49"/>
      <x:c r="AR178" s="49"/>
      <x:c r="AS178" s="49"/>
      <x:c r="AT178" s="49"/>
      <x:c r="AU178" s="49"/>
      <x:c r="AV178" s="49"/>
      <x:c r="AW178" s="49"/>
      <x:c r="AX178" s="49"/>
      <x:c r="AY178" s="49"/>
      <x:c r="AZ178" s="49"/>
    </x:row>
    <x:row r="179">
      <x:c r="A179" s="49"/>
      <x:c r="B179" s="49"/>
      <x:c r="C179" s="49"/>
      <x:c r="D179" s="49"/>
      <x:c r="E179" s="49"/>
      <x:c r="F179" s="49"/>
      <x:c r="G179" s="49"/>
      <x:c r="H179" s="49"/>
      <x:c r="I179" s="49"/>
      <x:c r="J179" s="49"/>
      <x:c r="K179" s="49"/>
      <x:c r="L179" s="49"/>
      <x:c r="M179" s="49"/>
      <x:c r="N179" s="49"/>
      <x:c r="O179" s="49"/>
      <x:c r="P179" s="49"/>
      <x:c r="Q179" s="49"/>
      <x:c r="R179" s="49"/>
      <x:c r="S179" s="49"/>
      <x:c r="T179" s="49"/>
      <x:c r="U179" s="49"/>
      <x:c r="V179" s="49"/>
      <x:c r="W179" s="49"/>
      <x:c r="X179" s="49"/>
      <x:c r="Y179" s="49"/>
      <x:c r="Z179" s="49"/>
      <x:c r="AA179" s="49"/>
      <x:c r="AB179" s="49"/>
      <x:c r="AC179" s="49"/>
      <x:c r="AD179" s="49"/>
      <x:c r="AE179" s="49"/>
      <x:c r="AF179" s="49"/>
      <x:c r="AG179" s="49"/>
      <x:c r="AH179" s="49"/>
      <x:c r="AI179" s="49"/>
      <x:c r="AJ179" s="49"/>
      <x:c r="AK179" s="49"/>
      <x:c r="AL179" s="49"/>
      <x:c r="AM179" s="49"/>
      <x:c r="AN179" s="49"/>
      <x:c r="AO179" s="49"/>
      <x:c r="AP179" s="49"/>
      <x:c r="AQ179" s="49"/>
      <x:c r="AR179" s="49"/>
      <x:c r="AS179" s="49"/>
      <x:c r="AT179" s="49"/>
      <x:c r="AU179" s="49"/>
      <x:c r="AV179" s="49"/>
      <x:c r="AW179" s="49"/>
      <x:c r="AX179" s="49"/>
      <x:c r="AY179" s="49"/>
      <x:c r="AZ179" s="49"/>
    </x:row>
    <x:row r="180">
      <x:c r="A180" s="49"/>
      <x:c r="B180" s="49"/>
      <x:c r="C180" s="49"/>
      <x:c r="D180" s="49"/>
      <x:c r="E180" s="49"/>
      <x:c r="F180" s="49"/>
      <x:c r="G180" s="49"/>
      <x:c r="H180" s="49"/>
      <x:c r="I180" s="49"/>
      <x:c r="J180" s="49"/>
      <x:c r="K180" s="49"/>
      <x:c r="L180" s="49"/>
      <x:c r="M180" s="49"/>
      <x:c r="N180" s="49"/>
      <x:c r="O180" s="49"/>
      <x:c r="P180" s="49"/>
      <x:c r="Q180" s="49"/>
      <x:c r="R180" s="49"/>
      <x:c r="S180" s="49"/>
      <x:c r="T180" s="49"/>
      <x:c r="U180" s="49"/>
      <x:c r="V180" s="49"/>
      <x:c r="W180" s="49"/>
      <x:c r="X180" s="49"/>
      <x:c r="Y180" s="49"/>
      <x:c r="Z180" s="49"/>
      <x:c r="AA180" s="49"/>
      <x:c r="AB180" s="49"/>
      <x:c r="AC180" s="49"/>
      <x:c r="AD180" s="49"/>
      <x:c r="AE180" s="49"/>
      <x:c r="AF180" s="49"/>
      <x:c r="AG180" s="49"/>
      <x:c r="AH180" s="49"/>
      <x:c r="AI180" s="49"/>
      <x:c r="AJ180" s="49"/>
      <x:c r="AK180" s="49"/>
      <x:c r="AL180" s="49"/>
      <x:c r="AM180" s="49"/>
      <x:c r="AN180" s="49"/>
      <x:c r="AO180" s="49"/>
      <x:c r="AP180" s="49"/>
      <x:c r="AQ180" s="49"/>
      <x:c r="AR180" s="49"/>
      <x:c r="AS180" s="49"/>
      <x:c r="AT180" s="49"/>
      <x:c r="AU180" s="49"/>
      <x:c r="AV180" s="49"/>
      <x:c r="AW180" s="49"/>
      <x:c r="AX180" s="49"/>
      <x:c r="AY180" s="49"/>
      <x:c r="AZ180" s="49"/>
    </x:row>
    <x:row r="181">
      <x:c r="A181" s="49"/>
      <x:c r="B181" s="49"/>
      <x:c r="C181" s="49"/>
      <x:c r="D181" s="49"/>
      <x:c r="E181" s="49"/>
      <x:c r="F181" s="49"/>
      <x:c r="G181" s="49"/>
      <x:c r="H181" s="49"/>
      <x:c r="I181" s="49"/>
      <x:c r="J181" s="49"/>
      <x:c r="K181" s="49"/>
      <x:c r="L181" s="49"/>
      <x:c r="M181" s="49"/>
      <x:c r="N181" s="49"/>
      <x:c r="O181" s="49"/>
      <x:c r="P181" s="49"/>
      <x:c r="Q181" s="49"/>
      <x:c r="R181" s="49"/>
      <x:c r="S181" s="49"/>
      <x:c r="T181" s="49"/>
      <x:c r="U181" s="49"/>
      <x:c r="V181" s="49"/>
      <x:c r="W181" s="49"/>
      <x:c r="X181" s="49"/>
      <x:c r="Y181" s="49"/>
      <x:c r="Z181" s="49"/>
      <x:c r="AA181" s="49"/>
      <x:c r="AB181" s="49"/>
      <x:c r="AC181" s="49"/>
      <x:c r="AD181" s="49"/>
      <x:c r="AE181" s="49"/>
      <x:c r="AF181" s="49"/>
      <x:c r="AG181" s="49"/>
      <x:c r="AH181" s="49"/>
      <x:c r="AI181" s="49"/>
      <x:c r="AJ181" s="49"/>
      <x:c r="AK181" s="49"/>
      <x:c r="AL181" s="49"/>
      <x:c r="AM181" s="49"/>
      <x:c r="AN181" s="49"/>
      <x:c r="AO181" s="49"/>
      <x:c r="AP181" s="49"/>
      <x:c r="AQ181" s="49"/>
      <x:c r="AR181" s="49"/>
      <x:c r="AS181" s="49"/>
      <x:c r="AT181" s="49"/>
      <x:c r="AU181" s="49"/>
      <x:c r="AV181" s="49"/>
      <x:c r="AW181" s="49"/>
      <x:c r="AX181" s="49"/>
      <x:c r="AY181" s="49"/>
      <x:c r="AZ181" s="49"/>
    </x:row>
    <x:row r="182">
      <x:c r="A182" s="49"/>
      <x:c r="B182" s="49"/>
      <x:c r="C182" s="49"/>
      <x:c r="D182" s="49"/>
      <x:c r="E182" s="49"/>
      <x:c r="F182" s="49"/>
      <x:c r="G182" s="49"/>
      <x:c r="H182" s="49"/>
      <x:c r="I182" s="49"/>
      <x:c r="J182" s="49"/>
      <x:c r="K182" s="49"/>
      <x:c r="L182" s="49"/>
      <x:c r="M182" s="49"/>
      <x:c r="N182" s="49"/>
      <x:c r="O182" s="49"/>
      <x:c r="P182" s="49"/>
      <x:c r="Q182" s="49"/>
      <x:c r="R182" s="49"/>
      <x:c r="S182" s="49"/>
      <x:c r="T182" s="49"/>
      <x:c r="U182" s="49"/>
      <x:c r="V182" s="49"/>
      <x:c r="W182" s="49"/>
      <x:c r="X182" s="49"/>
      <x:c r="Y182" s="49"/>
      <x:c r="Z182" s="49"/>
      <x:c r="AA182" s="49"/>
      <x:c r="AB182" s="49"/>
      <x:c r="AC182" s="49"/>
      <x:c r="AD182" s="49"/>
      <x:c r="AE182" s="49"/>
      <x:c r="AF182" s="49"/>
      <x:c r="AG182" s="49"/>
      <x:c r="AH182" s="49"/>
      <x:c r="AI182" s="49"/>
      <x:c r="AJ182" s="49"/>
      <x:c r="AK182" s="49"/>
      <x:c r="AL182" s="49"/>
      <x:c r="AM182" s="49"/>
      <x:c r="AN182" s="49"/>
      <x:c r="AO182" s="49"/>
      <x:c r="AP182" s="49"/>
      <x:c r="AQ182" s="49"/>
      <x:c r="AR182" s="49"/>
      <x:c r="AS182" s="49"/>
      <x:c r="AT182" s="49"/>
      <x:c r="AU182" s="49"/>
      <x:c r="AV182" s="49"/>
      <x:c r="AW182" s="49"/>
      <x:c r="AX182" s="49"/>
      <x:c r="AY182" s="49"/>
      <x:c r="AZ182" s="49"/>
    </x:row>
    <x:row r="183">
      <x:c r="A183" s="49"/>
      <x:c r="B183" s="49"/>
      <x:c r="C183" s="49"/>
      <x:c r="D183" s="49"/>
      <x:c r="E183" s="49"/>
      <x:c r="F183" s="49"/>
      <x:c r="G183" s="49"/>
      <x:c r="H183" s="49"/>
      <x:c r="I183" s="49"/>
      <x:c r="J183" s="49"/>
      <x:c r="K183" s="49"/>
      <x:c r="L183" s="49"/>
      <x:c r="M183" s="49"/>
      <x:c r="N183" s="49"/>
      <x:c r="O183" s="49"/>
      <x:c r="P183" s="49"/>
      <x:c r="Q183" s="49"/>
      <x:c r="R183" s="49"/>
      <x:c r="S183" s="49"/>
      <x:c r="T183" s="49"/>
      <x:c r="U183" s="49"/>
      <x:c r="V183" s="49"/>
      <x:c r="W183" s="49"/>
      <x:c r="X183" s="49"/>
      <x:c r="Y183" s="49"/>
      <x:c r="Z183" s="49"/>
      <x:c r="AA183" s="49"/>
      <x:c r="AB183" s="49"/>
      <x:c r="AC183" s="49"/>
      <x:c r="AD183" s="49"/>
      <x:c r="AE183" s="49"/>
      <x:c r="AF183" s="49"/>
      <x:c r="AG183" s="49"/>
      <x:c r="AH183" s="49"/>
      <x:c r="AI183" s="49"/>
      <x:c r="AJ183" s="49"/>
      <x:c r="AK183" s="49"/>
      <x:c r="AL183" s="49"/>
      <x:c r="AM183" s="49"/>
      <x:c r="AN183" s="49"/>
      <x:c r="AO183" s="49"/>
      <x:c r="AP183" s="49"/>
      <x:c r="AQ183" s="49"/>
      <x:c r="AR183" s="49"/>
      <x:c r="AS183" s="49"/>
      <x:c r="AT183" s="49"/>
      <x:c r="AU183" s="49"/>
      <x:c r="AV183" s="49"/>
      <x:c r="AW183" s="49"/>
      <x:c r="AX183" s="49"/>
      <x:c r="AY183" s="49"/>
      <x:c r="AZ183" s="49"/>
    </x:row>
    <x:row r="184">
      <x:c r="A184" s="49"/>
      <x:c r="B184" s="49"/>
      <x:c r="C184" s="49"/>
      <x:c r="D184" s="49"/>
      <x:c r="E184" s="49"/>
      <x:c r="F184" s="49"/>
      <x:c r="G184" s="49"/>
      <x:c r="H184" s="49"/>
      <x:c r="I184" s="49"/>
      <x:c r="J184" s="49"/>
      <x:c r="K184" s="49"/>
      <x:c r="L184" s="49"/>
      <x:c r="M184" s="49"/>
      <x:c r="N184" s="49"/>
      <x:c r="O184" s="49"/>
      <x:c r="P184" s="49"/>
      <x:c r="Q184" s="49"/>
      <x:c r="R184" s="49"/>
      <x:c r="S184" s="49"/>
      <x:c r="T184" s="49"/>
      <x:c r="U184" s="49"/>
      <x:c r="V184" s="49"/>
      <x:c r="W184" s="49"/>
      <x:c r="X184" s="49"/>
      <x:c r="Y184" s="49"/>
      <x:c r="Z184" s="49"/>
      <x:c r="AA184" s="49"/>
      <x:c r="AB184" s="49"/>
      <x:c r="AC184" s="49"/>
      <x:c r="AD184" s="49"/>
      <x:c r="AE184" s="49"/>
      <x:c r="AF184" s="49"/>
      <x:c r="AG184" s="49"/>
      <x:c r="AH184" s="49"/>
      <x:c r="AI184" s="49"/>
      <x:c r="AJ184" s="49"/>
      <x:c r="AK184" s="49"/>
      <x:c r="AL184" s="49"/>
      <x:c r="AM184" s="49"/>
      <x:c r="AN184" s="49"/>
      <x:c r="AO184" s="49"/>
      <x:c r="AP184" s="49"/>
      <x:c r="AQ184" s="49"/>
      <x:c r="AR184" s="49"/>
      <x:c r="AS184" s="49"/>
      <x:c r="AT184" s="49"/>
      <x:c r="AU184" s="49"/>
      <x:c r="AV184" s="49"/>
      <x:c r="AW184" s="49"/>
      <x:c r="AX184" s="49"/>
      <x:c r="AY184" s="49"/>
      <x:c r="AZ184" s="49"/>
    </x:row>
    <x:row r="185">
      <x:c r="A185" s="49"/>
      <x:c r="B185" s="49"/>
      <x:c r="C185" s="49"/>
      <x:c r="D185" s="49"/>
      <x:c r="E185" s="49"/>
      <x:c r="F185" s="49"/>
      <x:c r="G185" s="49"/>
      <x:c r="H185" s="49"/>
      <x:c r="I185" s="49"/>
      <x:c r="J185" s="49"/>
      <x:c r="K185" s="49"/>
      <x:c r="L185" s="49"/>
      <x:c r="M185" s="49"/>
      <x:c r="N185" s="49"/>
      <x:c r="O185" s="49"/>
      <x:c r="P185" s="49"/>
      <x:c r="Q185" s="49"/>
      <x:c r="R185" s="49"/>
      <x:c r="S185" s="49"/>
      <x:c r="T185" s="49"/>
      <x:c r="U185" s="49"/>
      <x:c r="V185" s="49"/>
      <x:c r="W185" s="49"/>
      <x:c r="X185" s="49"/>
      <x:c r="Y185" s="49"/>
      <x:c r="Z185" s="49"/>
      <x:c r="AA185" s="49"/>
      <x:c r="AB185" s="49"/>
      <x:c r="AC185" s="49"/>
      <x:c r="AD185" s="49"/>
      <x:c r="AE185" s="49"/>
      <x:c r="AF185" s="49"/>
      <x:c r="AG185" s="49"/>
      <x:c r="AH185" s="49"/>
      <x:c r="AI185" s="49"/>
      <x:c r="AJ185" s="49"/>
      <x:c r="AK185" s="49"/>
      <x:c r="AL185" s="49"/>
      <x:c r="AM185" s="49"/>
      <x:c r="AN185" s="49"/>
      <x:c r="AO185" s="49"/>
      <x:c r="AP185" s="49"/>
      <x:c r="AQ185" s="49"/>
      <x:c r="AR185" s="49"/>
      <x:c r="AS185" s="49"/>
      <x:c r="AT185" s="49"/>
      <x:c r="AU185" s="49"/>
      <x:c r="AV185" s="49"/>
      <x:c r="AW185" s="49"/>
      <x:c r="AX185" s="49"/>
      <x:c r="AY185" s="49"/>
      <x:c r="AZ185" s="49"/>
    </x:row>
    <x:row r="186">
      <x:c r="A186" s="49"/>
      <x:c r="B186" s="49"/>
      <x:c r="C186" s="49"/>
      <x:c r="D186" s="49"/>
      <x:c r="E186" s="49"/>
      <x:c r="F186" s="49"/>
      <x:c r="G186" s="49"/>
      <x:c r="H186" s="49"/>
      <x:c r="I186" s="49"/>
      <x:c r="J186" s="49"/>
      <x:c r="K186" s="49"/>
      <x:c r="L186" s="49"/>
      <x:c r="M186" s="49"/>
      <x:c r="N186" s="49"/>
      <x:c r="O186" s="49"/>
      <x:c r="P186" s="49"/>
      <x:c r="Q186" s="49"/>
      <x:c r="R186" s="49"/>
      <x:c r="S186" s="49"/>
      <x:c r="T186" s="49"/>
      <x:c r="U186" s="49"/>
      <x:c r="V186" s="49"/>
      <x:c r="W186" s="49"/>
      <x:c r="X186" s="49"/>
      <x:c r="Y186" s="49"/>
      <x:c r="Z186" s="49"/>
      <x:c r="AA186" s="49"/>
      <x:c r="AB186" s="49"/>
      <x:c r="AC186" s="49"/>
      <x:c r="AD186" s="49"/>
      <x:c r="AE186" s="49"/>
      <x:c r="AF186" s="49"/>
      <x:c r="AG186" s="49"/>
      <x:c r="AH186" s="49"/>
      <x:c r="AI186" s="49"/>
      <x:c r="AJ186" s="49"/>
      <x:c r="AK186" s="49"/>
      <x:c r="AL186" s="49"/>
      <x:c r="AM186" s="49"/>
      <x:c r="AN186" s="49"/>
      <x:c r="AO186" s="49"/>
      <x:c r="AP186" s="49"/>
      <x:c r="AQ186" s="49"/>
      <x:c r="AR186" s="49"/>
      <x:c r="AS186" s="49"/>
      <x:c r="AT186" s="49"/>
      <x:c r="AU186" s="49"/>
      <x:c r="AV186" s="49"/>
      <x:c r="AW186" s="49"/>
      <x:c r="AX186" s="49"/>
      <x:c r="AY186" s="49"/>
      <x:c r="AZ186" s="49"/>
    </x:row>
    <x:row r="187">
      <x:c r="A187" s="49"/>
      <x:c r="B187" s="49"/>
      <x:c r="C187" s="49"/>
      <x:c r="D187" s="49"/>
      <x:c r="E187" s="49"/>
      <x:c r="F187" s="49"/>
      <x:c r="G187" s="49"/>
      <x:c r="H187" s="49"/>
      <x:c r="I187" s="49"/>
      <x:c r="J187" s="49"/>
      <x:c r="K187" s="49"/>
      <x:c r="L187" s="49"/>
      <x:c r="M187" s="49"/>
      <x:c r="N187" s="49"/>
      <x:c r="O187" s="49"/>
      <x:c r="P187" s="49"/>
      <x:c r="Q187" s="49"/>
      <x:c r="R187" s="49"/>
      <x:c r="S187" s="49"/>
      <x:c r="T187" s="49"/>
      <x:c r="U187" s="49"/>
      <x:c r="V187" s="49"/>
      <x:c r="W187" s="49"/>
      <x:c r="X187" s="49"/>
      <x:c r="Y187" s="49"/>
      <x:c r="Z187" s="49"/>
      <x:c r="AA187" s="49"/>
      <x:c r="AB187" s="49"/>
      <x:c r="AC187" s="49"/>
      <x:c r="AD187" s="49"/>
      <x:c r="AE187" s="49"/>
      <x:c r="AF187" s="49"/>
      <x:c r="AG187" s="49"/>
      <x:c r="AH187" s="49"/>
      <x:c r="AI187" s="49"/>
      <x:c r="AJ187" s="49"/>
      <x:c r="AK187" s="49"/>
      <x:c r="AL187" s="49"/>
      <x:c r="AM187" s="49"/>
      <x:c r="AN187" s="49"/>
      <x:c r="AO187" s="49"/>
      <x:c r="AP187" s="49"/>
      <x:c r="AQ187" s="49"/>
      <x:c r="AR187" s="49"/>
      <x:c r="AS187" s="49"/>
      <x:c r="AT187" s="49"/>
      <x:c r="AU187" s="49"/>
      <x:c r="AV187" s="49"/>
      <x:c r="AW187" s="49"/>
      <x:c r="AX187" s="49"/>
      <x:c r="AY187" s="49"/>
      <x:c r="AZ187" s="49"/>
    </x:row>
    <x:row r="188">
      <x:c r="A188" s="49"/>
      <x:c r="B188" s="49"/>
      <x:c r="C188" s="49"/>
      <x:c r="D188" s="49"/>
      <x:c r="E188" s="49"/>
      <x:c r="F188" s="49"/>
      <x:c r="G188" s="49"/>
      <x:c r="H188" s="49"/>
      <x:c r="I188" s="49"/>
      <x:c r="J188" s="49"/>
      <x:c r="K188" s="49"/>
      <x:c r="L188" s="49"/>
      <x:c r="M188" s="49"/>
      <x:c r="N188" s="49"/>
      <x:c r="O188" s="49"/>
      <x:c r="P188" s="49"/>
      <x:c r="Q188" s="49"/>
      <x:c r="R188" s="49"/>
      <x:c r="S188" s="49"/>
      <x:c r="T188" s="49"/>
      <x:c r="U188" s="49"/>
      <x:c r="V188" s="49"/>
      <x:c r="W188" s="49"/>
      <x:c r="X188" s="49"/>
      <x:c r="Y188" s="49"/>
      <x:c r="Z188" s="49"/>
      <x:c r="AA188" s="49"/>
      <x:c r="AB188" s="49"/>
      <x:c r="AC188" s="49"/>
      <x:c r="AD188" s="49"/>
      <x:c r="AE188" s="49"/>
      <x:c r="AF188" s="49"/>
      <x:c r="AG188" s="49"/>
      <x:c r="AH188" s="49"/>
      <x:c r="AI188" s="49"/>
      <x:c r="AJ188" s="49"/>
      <x:c r="AK188" s="49"/>
      <x:c r="AL188" s="49"/>
      <x:c r="AM188" s="49"/>
      <x:c r="AN188" s="49"/>
      <x:c r="AO188" s="49"/>
      <x:c r="AP188" s="49"/>
      <x:c r="AQ188" s="49"/>
      <x:c r="AR188" s="49"/>
      <x:c r="AS188" s="49"/>
      <x:c r="AT188" s="49"/>
      <x:c r="AU188" s="49"/>
      <x:c r="AV188" s="49"/>
      <x:c r="AW188" s="49"/>
      <x:c r="AX188" s="49"/>
      <x:c r="AY188" s="49"/>
      <x:c r="AZ188" s="49"/>
    </x:row>
    <x:row r="189">
      <x:c r="A189" s="49"/>
      <x:c r="B189" s="49"/>
      <x:c r="C189" s="49"/>
      <x:c r="D189" s="49"/>
      <x:c r="E189" s="49"/>
      <x:c r="F189" s="49"/>
      <x:c r="G189" s="49"/>
      <x:c r="H189" s="49"/>
      <x:c r="I189" s="49"/>
      <x:c r="J189" s="49"/>
      <x:c r="K189" s="49"/>
      <x:c r="L189" s="49"/>
      <x:c r="M189" s="49"/>
      <x:c r="N189" s="49"/>
      <x:c r="O189" s="49"/>
      <x:c r="P189" s="49"/>
      <x:c r="Q189" s="49"/>
      <x:c r="R189" s="49"/>
      <x:c r="S189" s="49"/>
      <x:c r="T189" s="49"/>
      <x:c r="U189" s="49"/>
      <x:c r="V189" s="49"/>
      <x:c r="W189" s="49"/>
      <x:c r="X189" s="49"/>
      <x:c r="Y189" s="49"/>
      <x:c r="Z189" s="49"/>
      <x:c r="AA189" s="49"/>
      <x:c r="AB189" s="49"/>
      <x:c r="AC189" s="49"/>
      <x:c r="AD189" s="49"/>
      <x:c r="AE189" s="49"/>
      <x:c r="AF189" s="49"/>
      <x:c r="AG189" s="49"/>
      <x:c r="AH189" s="49"/>
      <x:c r="AI189" s="49"/>
      <x:c r="AJ189" s="49"/>
      <x:c r="AK189" s="49"/>
      <x:c r="AL189" s="49"/>
      <x:c r="AM189" s="49"/>
      <x:c r="AN189" s="49"/>
      <x:c r="AO189" s="49"/>
      <x:c r="AP189" s="49"/>
      <x:c r="AQ189" s="49"/>
      <x:c r="AR189" s="49"/>
      <x:c r="AS189" s="49"/>
      <x:c r="AT189" s="49"/>
      <x:c r="AU189" s="49"/>
      <x:c r="AV189" s="49"/>
      <x:c r="AW189" s="49"/>
      <x:c r="AX189" s="49"/>
      <x:c r="AY189" s="49"/>
      <x:c r="AZ189" s="49"/>
    </x:row>
    <x:row r="190">
      <x:c r="A190" s="49"/>
      <x:c r="B190" s="49"/>
      <x:c r="C190" s="49"/>
      <x:c r="D190" s="49"/>
      <x:c r="E190" s="49"/>
      <x:c r="F190" s="49"/>
      <x:c r="G190" s="49"/>
      <x:c r="H190" s="49"/>
      <x:c r="I190" s="49"/>
      <x:c r="J190" s="49"/>
      <x:c r="K190" s="49"/>
      <x:c r="L190" s="49"/>
      <x:c r="M190" s="49"/>
      <x:c r="N190" s="49"/>
      <x:c r="O190" s="49"/>
      <x:c r="P190" s="49"/>
      <x:c r="Q190" s="49"/>
      <x:c r="R190" s="49"/>
      <x:c r="S190" s="49"/>
      <x:c r="T190" s="49"/>
      <x:c r="U190" s="49"/>
      <x:c r="V190" s="49"/>
      <x:c r="W190" s="49"/>
      <x:c r="X190" s="49"/>
      <x:c r="Y190" s="49"/>
      <x:c r="Z190" s="49"/>
      <x:c r="AA190" s="49"/>
      <x:c r="AB190" s="49"/>
      <x:c r="AC190" s="49"/>
      <x:c r="AD190" s="49"/>
      <x:c r="AE190" s="49"/>
      <x:c r="AF190" s="49"/>
      <x:c r="AG190" s="49"/>
      <x:c r="AH190" s="49"/>
      <x:c r="AI190" s="49"/>
      <x:c r="AJ190" s="49"/>
      <x:c r="AK190" s="49"/>
      <x:c r="AL190" s="49"/>
      <x:c r="AM190" s="49"/>
      <x:c r="AN190" s="49"/>
      <x:c r="AO190" s="49"/>
      <x:c r="AP190" s="49"/>
      <x:c r="AQ190" s="49"/>
      <x:c r="AR190" s="49"/>
      <x:c r="AS190" s="49"/>
      <x:c r="AT190" s="49"/>
      <x:c r="AU190" s="49"/>
      <x:c r="AV190" s="49"/>
      <x:c r="AW190" s="49"/>
      <x:c r="AX190" s="49"/>
      <x:c r="AY190" s="49"/>
      <x:c r="AZ190" s="49"/>
    </x:row>
    <x:row r="191">
      <x:c r="A191" s="49"/>
      <x:c r="B191" s="49"/>
      <x:c r="C191" s="49"/>
      <x:c r="D191" s="49"/>
      <x:c r="E191" s="49"/>
      <x:c r="F191" s="49"/>
      <x:c r="G191" s="49"/>
      <x:c r="H191" s="49"/>
      <x:c r="I191" s="49"/>
      <x:c r="J191" s="49"/>
      <x:c r="K191" s="49"/>
      <x:c r="L191" s="49"/>
      <x:c r="M191" s="49"/>
      <x:c r="N191" s="49"/>
      <x:c r="O191" s="49"/>
      <x:c r="P191" s="49"/>
      <x:c r="Q191" s="49"/>
      <x:c r="R191" s="49"/>
      <x:c r="S191" s="49"/>
      <x:c r="T191" s="49"/>
      <x:c r="U191" s="49"/>
      <x:c r="V191" s="49"/>
      <x:c r="W191" s="49"/>
      <x:c r="X191" s="49"/>
      <x:c r="Y191" s="49"/>
      <x:c r="Z191" s="49"/>
      <x:c r="AA191" s="49"/>
      <x:c r="AB191" s="49"/>
      <x:c r="AC191" s="49"/>
      <x:c r="AD191" s="49"/>
      <x:c r="AE191" s="49"/>
      <x:c r="AF191" s="49"/>
      <x:c r="AG191" s="49"/>
      <x:c r="AH191" s="49"/>
      <x:c r="AI191" s="49"/>
      <x:c r="AJ191" s="49"/>
      <x:c r="AK191" s="49"/>
      <x:c r="AL191" s="49"/>
      <x:c r="AM191" s="49"/>
      <x:c r="AN191" s="49"/>
      <x:c r="AO191" s="49"/>
      <x:c r="AP191" s="49"/>
      <x:c r="AQ191" s="49"/>
      <x:c r="AR191" s="49"/>
      <x:c r="AS191" s="49"/>
      <x:c r="AT191" s="49"/>
      <x:c r="AU191" s="49"/>
      <x:c r="AV191" s="49"/>
      <x:c r="AW191" s="49"/>
      <x:c r="AX191" s="49"/>
      <x:c r="AY191" s="49"/>
      <x:c r="AZ191" s="49"/>
    </x:row>
    <x:row r="192">
      <x:c r="A192" s="49"/>
      <x:c r="B192" s="49"/>
      <x:c r="C192" s="49"/>
      <x:c r="D192" s="49"/>
      <x:c r="E192" s="49"/>
      <x:c r="F192" s="49"/>
      <x:c r="G192" s="49"/>
      <x:c r="H192" s="49"/>
      <x:c r="I192" s="49"/>
      <x:c r="J192" s="49"/>
      <x:c r="K192" s="49"/>
      <x:c r="L192" s="49"/>
      <x:c r="M192" s="49"/>
      <x:c r="N192" s="49"/>
      <x:c r="O192" s="49"/>
      <x:c r="P192" s="49"/>
      <x:c r="Q192" s="49"/>
      <x:c r="R192" s="49"/>
      <x:c r="S192" s="49"/>
      <x:c r="T192" s="49"/>
      <x:c r="U192" s="49"/>
      <x:c r="V192" s="49"/>
      <x:c r="W192" s="49"/>
      <x:c r="X192" s="49"/>
      <x:c r="Y192" s="49"/>
      <x:c r="Z192" s="49"/>
      <x:c r="AA192" s="49"/>
      <x:c r="AB192" s="49"/>
      <x:c r="AC192" s="49"/>
      <x:c r="AD192" s="49"/>
      <x:c r="AE192" s="49"/>
      <x:c r="AF192" s="49"/>
      <x:c r="AG192" s="49"/>
      <x:c r="AH192" s="49"/>
      <x:c r="AI192" s="49"/>
      <x:c r="AJ192" s="49"/>
      <x:c r="AK192" s="49"/>
      <x:c r="AL192" s="49"/>
      <x:c r="AM192" s="49"/>
      <x:c r="AN192" s="49"/>
      <x:c r="AO192" s="49"/>
      <x:c r="AP192" s="49"/>
      <x:c r="AQ192" s="49"/>
      <x:c r="AR192" s="49"/>
      <x:c r="AS192" s="49"/>
      <x:c r="AT192" s="49"/>
      <x:c r="AU192" s="49"/>
      <x:c r="AV192" s="49"/>
      <x:c r="AW192" s="49"/>
      <x:c r="AX192" s="49"/>
      <x:c r="AY192" s="49"/>
      <x:c r="AZ192" s="49"/>
    </x:row>
    <x:row r="193">
      <x:c r="A193" s="49"/>
      <x:c r="B193" s="49"/>
      <x:c r="C193" s="49"/>
      <x:c r="D193" s="49"/>
      <x:c r="E193" s="49"/>
      <x:c r="F193" s="49"/>
      <x:c r="G193" s="49"/>
      <x:c r="H193" s="49"/>
      <x:c r="I193" s="49"/>
      <x:c r="J193" s="49"/>
      <x:c r="K193" s="49"/>
      <x:c r="L193" s="49"/>
      <x:c r="M193" s="49"/>
      <x:c r="N193" s="49"/>
      <x:c r="O193" s="49"/>
      <x:c r="P193" s="49"/>
      <x:c r="Q193" s="49"/>
      <x:c r="R193" s="49"/>
      <x:c r="S193" s="49"/>
      <x:c r="T193" s="49"/>
      <x:c r="U193" s="49"/>
      <x:c r="V193" s="49"/>
      <x:c r="W193" s="49"/>
      <x:c r="X193" s="49"/>
      <x:c r="Y193" s="49"/>
      <x:c r="Z193" s="49"/>
      <x:c r="AA193" s="49"/>
      <x:c r="AB193" s="49"/>
      <x:c r="AC193" s="49"/>
      <x:c r="AD193" s="49"/>
      <x:c r="AE193" s="49"/>
      <x:c r="AF193" s="49"/>
      <x:c r="AG193" s="49"/>
      <x:c r="AH193" s="49"/>
      <x:c r="AI193" s="49"/>
      <x:c r="AJ193" s="49"/>
      <x:c r="AK193" s="49"/>
      <x:c r="AL193" s="49"/>
      <x:c r="AM193" s="49"/>
      <x:c r="AN193" s="49"/>
      <x:c r="AO193" s="49"/>
      <x:c r="AP193" s="49"/>
      <x:c r="AQ193" s="49"/>
      <x:c r="AR193" s="49"/>
      <x:c r="AS193" s="49"/>
      <x:c r="AT193" s="49"/>
      <x:c r="AU193" s="49"/>
      <x:c r="AV193" s="49"/>
      <x:c r="AW193" s="49"/>
      <x:c r="AX193" s="49"/>
      <x:c r="AY193" s="49"/>
      <x:c r="AZ193" s="49"/>
    </x:row>
    <x:row r="194">
      <x:c r="A194" s="49"/>
      <x:c r="B194" s="49"/>
      <x:c r="C194" s="49"/>
      <x:c r="D194" s="49"/>
      <x:c r="E194" s="49"/>
      <x:c r="F194" s="49"/>
      <x:c r="G194" s="49"/>
      <x:c r="H194" s="49"/>
      <x:c r="I194" s="49"/>
      <x:c r="J194" s="49"/>
      <x:c r="K194" s="49"/>
      <x:c r="L194" s="49"/>
      <x:c r="M194" s="49"/>
      <x:c r="N194" s="49"/>
      <x:c r="O194" s="49"/>
      <x:c r="P194" s="49"/>
      <x:c r="Q194" s="49"/>
      <x:c r="R194" s="49"/>
      <x:c r="S194" s="49"/>
      <x:c r="T194" s="49"/>
      <x:c r="U194" s="49"/>
      <x:c r="V194" s="49"/>
      <x:c r="W194" s="49"/>
      <x:c r="X194" s="49"/>
      <x:c r="Y194" s="49"/>
      <x:c r="Z194" s="49"/>
      <x:c r="AA194" s="49"/>
      <x:c r="AB194" s="49"/>
      <x:c r="AC194" s="49"/>
      <x:c r="AD194" s="49"/>
      <x:c r="AE194" s="49"/>
      <x:c r="AF194" s="49"/>
      <x:c r="AG194" s="49"/>
      <x:c r="AH194" s="49"/>
      <x:c r="AI194" s="49"/>
      <x:c r="AJ194" s="49"/>
      <x:c r="AK194" s="49"/>
      <x:c r="AL194" s="49"/>
      <x:c r="AM194" s="49"/>
      <x:c r="AN194" s="49"/>
      <x:c r="AO194" s="49"/>
      <x:c r="AP194" s="49"/>
      <x:c r="AQ194" s="49"/>
      <x:c r="AR194" s="49"/>
      <x:c r="AS194" s="49"/>
      <x:c r="AT194" s="49"/>
      <x:c r="AU194" s="49"/>
      <x:c r="AV194" s="49"/>
      <x:c r="AW194" s="49"/>
      <x:c r="AX194" s="49"/>
      <x:c r="AY194" s="49"/>
      <x:c r="AZ194" s="49"/>
    </x:row>
    <x:row r="195">
      <x:c r="A195" s="49"/>
      <x:c r="B195" s="49"/>
      <x:c r="C195" s="49"/>
      <x:c r="D195" s="49"/>
      <x:c r="E195" s="49"/>
      <x:c r="F195" s="49"/>
      <x:c r="G195" s="49"/>
      <x:c r="H195" s="49"/>
      <x:c r="I195" s="49"/>
      <x:c r="J195" s="49"/>
      <x:c r="K195" s="49"/>
      <x:c r="L195" s="49"/>
      <x:c r="M195" s="49"/>
      <x:c r="N195" s="49"/>
      <x:c r="O195" s="49"/>
      <x:c r="P195" s="49"/>
      <x:c r="Q195" s="49"/>
      <x:c r="R195" s="49"/>
      <x:c r="S195" s="49"/>
      <x:c r="T195" s="49"/>
      <x:c r="U195" s="49"/>
      <x:c r="V195" s="49"/>
      <x:c r="W195" s="49"/>
      <x:c r="X195" s="49"/>
      <x:c r="Y195" s="49"/>
      <x:c r="Z195" s="49"/>
      <x:c r="AA195" s="49"/>
      <x:c r="AB195" s="49"/>
      <x:c r="AC195" s="49"/>
      <x:c r="AD195" s="49"/>
      <x:c r="AE195" s="49"/>
      <x:c r="AF195" s="49"/>
      <x:c r="AG195" s="49"/>
      <x:c r="AH195" s="49"/>
      <x:c r="AI195" s="49"/>
      <x:c r="AJ195" s="49"/>
      <x:c r="AK195" s="49"/>
      <x:c r="AL195" s="49"/>
      <x:c r="AM195" s="49"/>
      <x:c r="AN195" s="49"/>
      <x:c r="AO195" s="49"/>
      <x:c r="AP195" s="49"/>
      <x:c r="AQ195" s="49"/>
      <x:c r="AR195" s="49"/>
      <x:c r="AS195" s="49"/>
      <x:c r="AT195" s="49"/>
      <x:c r="AU195" s="49"/>
      <x:c r="AV195" s="49"/>
      <x:c r="AW195" s="49"/>
      <x:c r="AX195" s="49"/>
      <x:c r="AY195" s="49"/>
      <x:c r="AZ195" s="49"/>
    </x:row>
    <x:row r="196">
      <x:c r="A196" s="49"/>
      <x:c r="B196" s="49"/>
      <x:c r="C196" s="49"/>
      <x:c r="D196" s="49"/>
      <x:c r="E196" s="49"/>
      <x:c r="F196" s="49"/>
      <x:c r="G196" s="49"/>
      <x:c r="H196" s="49"/>
      <x:c r="I196" s="49"/>
      <x:c r="J196" s="49"/>
      <x:c r="K196" s="49"/>
      <x:c r="L196" s="49"/>
      <x:c r="M196" s="49"/>
      <x:c r="N196" s="49"/>
      <x:c r="O196" s="49"/>
      <x:c r="P196" s="49"/>
      <x:c r="Q196" s="49"/>
      <x:c r="R196" s="49"/>
      <x:c r="S196" s="49"/>
      <x:c r="T196" s="49"/>
      <x:c r="U196" s="49"/>
      <x:c r="V196" s="49"/>
      <x:c r="W196" s="49"/>
      <x:c r="X196" s="49"/>
      <x:c r="Y196" s="49"/>
      <x:c r="Z196" s="49"/>
      <x:c r="AA196" s="49"/>
      <x:c r="AB196" s="49"/>
      <x:c r="AC196" s="49"/>
      <x:c r="AD196" s="49"/>
      <x:c r="AE196" s="49"/>
      <x:c r="AF196" s="49"/>
      <x:c r="AG196" s="49"/>
      <x:c r="AH196" s="49"/>
      <x:c r="AI196" s="49"/>
      <x:c r="AJ196" s="49"/>
      <x:c r="AK196" s="49"/>
      <x:c r="AL196" s="49"/>
      <x:c r="AM196" s="49"/>
      <x:c r="AN196" s="49"/>
      <x:c r="AO196" s="49"/>
      <x:c r="AP196" s="49"/>
      <x:c r="AQ196" s="49"/>
      <x:c r="AR196" s="49"/>
      <x:c r="AS196" s="49"/>
      <x:c r="AT196" s="49"/>
      <x:c r="AU196" s="49"/>
      <x:c r="AV196" s="49"/>
      <x:c r="AW196" s="49"/>
      <x:c r="AX196" s="49"/>
      <x:c r="AY196" s="49"/>
      <x:c r="AZ196" s="49"/>
    </x:row>
    <x:row r="197">
      <x:c r="A197" s="49"/>
      <x:c r="B197" s="49"/>
      <x:c r="C197" s="49"/>
      <x:c r="D197" s="49"/>
      <x:c r="E197" s="49"/>
      <x:c r="F197" s="49"/>
      <x:c r="G197" s="49"/>
      <x:c r="H197" s="49"/>
      <x:c r="I197" s="49"/>
      <x:c r="J197" s="49"/>
      <x:c r="K197" s="49"/>
      <x:c r="L197" s="49"/>
      <x:c r="M197" s="49"/>
      <x:c r="N197" s="49"/>
      <x:c r="O197" s="49"/>
      <x:c r="P197" s="49"/>
      <x:c r="Q197" s="49"/>
      <x:c r="R197" s="49"/>
      <x:c r="S197" s="49"/>
      <x:c r="T197" s="49"/>
      <x:c r="U197" s="49"/>
      <x:c r="V197" s="49"/>
      <x:c r="W197" s="49"/>
      <x:c r="X197" s="49"/>
      <x:c r="Y197" s="49"/>
      <x:c r="Z197" s="49"/>
      <x:c r="AA197" s="49"/>
      <x:c r="AB197" s="49"/>
      <x:c r="AC197" s="49"/>
      <x:c r="AD197" s="49"/>
      <x:c r="AE197" s="49"/>
      <x:c r="AF197" s="49"/>
      <x:c r="AG197" s="49"/>
      <x:c r="AH197" s="49"/>
      <x:c r="AI197" s="49"/>
      <x:c r="AJ197" s="49"/>
      <x:c r="AK197" s="49"/>
      <x:c r="AL197" s="49"/>
      <x:c r="AM197" s="49"/>
      <x:c r="AN197" s="49"/>
      <x:c r="AO197" s="49"/>
      <x:c r="AP197" s="49"/>
      <x:c r="AQ197" s="49"/>
      <x:c r="AR197" s="49"/>
      <x:c r="AS197" s="49"/>
      <x:c r="AT197" s="49"/>
      <x:c r="AU197" s="49"/>
      <x:c r="AV197" s="49"/>
      <x:c r="AW197" s="49"/>
      <x:c r="AX197" s="49"/>
      <x:c r="AY197" s="49"/>
      <x:c r="AZ197" s="49"/>
    </x:row>
    <x:row r="198">
      <x:c r="A198" s="49"/>
      <x:c r="B198" s="49"/>
      <x:c r="C198" s="49"/>
      <x:c r="D198" s="49"/>
      <x:c r="E198" s="49"/>
      <x:c r="F198" s="49"/>
      <x:c r="G198" s="49"/>
      <x:c r="H198" s="49"/>
      <x:c r="I198" s="49"/>
      <x:c r="J198" s="49"/>
      <x:c r="K198" s="49"/>
      <x:c r="L198" s="49"/>
      <x:c r="M198" s="49"/>
      <x:c r="N198" s="49"/>
      <x:c r="O198" s="49"/>
      <x:c r="P198" s="49"/>
      <x:c r="Q198" s="49"/>
      <x:c r="R198" s="49"/>
      <x:c r="S198" s="49"/>
      <x:c r="T198" s="49"/>
      <x:c r="U198" s="49"/>
      <x:c r="V198" s="49"/>
      <x:c r="W198" s="49"/>
      <x:c r="X198" s="49"/>
      <x:c r="Y198" s="49"/>
      <x:c r="Z198" s="49"/>
      <x:c r="AA198" s="49"/>
      <x:c r="AB198" s="49"/>
      <x:c r="AC198" s="49"/>
      <x:c r="AD198" s="49"/>
      <x:c r="AE198" s="49"/>
      <x:c r="AF198" s="49"/>
      <x:c r="AG198" s="49"/>
      <x:c r="AH198" s="49"/>
      <x:c r="AI198" s="49"/>
      <x:c r="AJ198" s="49"/>
      <x:c r="AK198" s="49"/>
      <x:c r="AL198" s="49"/>
      <x:c r="AM198" s="49"/>
      <x:c r="AN198" s="49"/>
      <x:c r="AO198" s="49"/>
      <x:c r="AP198" s="49"/>
      <x:c r="AQ198" s="49"/>
      <x:c r="AR198" s="49"/>
      <x:c r="AS198" s="49"/>
      <x:c r="AT198" s="49"/>
      <x:c r="AU198" s="49"/>
      <x:c r="AV198" s="49"/>
      <x:c r="AW198" s="49"/>
      <x:c r="AX198" s="49"/>
      <x:c r="AY198" s="49"/>
      <x:c r="AZ198" s="49"/>
    </x:row>
    <x:row r="199">
      <x:c r="A199" s="49"/>
      <x:c r="B199" s="49"/>
      <x:c r="C199" s="49"/>
      <x:c r="D199" s="49"/>
      <x:c r="E199" s="49"/>
      <x:c r="F199" s="49"/>
      <x:c r="G199" s="49"/>
      <x:c r="H199" s="49"/>
      <x:c r="I199" s="49"/>
      <x:c r="J199" s="49"/>
      <x:c r="K199" s="49"/>
      <x:c r="L199" s="49"/>
      <x:c r="M199" s="49"/>
      <x:c r="N199" s="49"/>
      <x:c r="O199" s="49"/>
      <x:c r="P199" s="49"/>
      <x:c r="Q199" s="49"/>
      <x:c r="R199" s="49"/>
      <x:c r="S199" s="49"/>
      <x:c r="T199" s="49"/>
      <x:c r="U199" s="49"/>
      <x:c r="V199" s="49"/>
      <x:c r="W199" s="49"/>
      <x:c r="X199" s="49"/>
      <x:c r="Y199" s="49"/>
      <x:c r="Z199" s="49"/>
      <x:c r="AA199" s="49"/>
      <x:c r="AB199" s="49"/>
      <x:c r="AC199" s="49"/>
      <x:c r="AD199" s="49"/>
      <x:c r="AE199" s="49"/>
      <x:c r="AF199" s="49"/>
      <x:c r="AG199" s="49"/>
      <x:c r="AH199" s="49"/>
      <x:c r="AI199" s="49"/>
      <x:c r="AJ199" s="49"/>
      <x:c r="AK199" s="49"/>
      <x:c r="AL199" s="49"/>
      <x:c r="AM199" s="49"/>
      <x:c r="AN199" s="49"/>
      <x:c r="AO199" s="49"/>
      <x:c r="AP199" s="49"/>
      <x:c r="AQ199" s="49"/>
      <x:c r="AR199" s="49"/>
      <x:c r="AS199" s="49"/>
      <x:c r="AT199" s="49"/>
      <x:c r="AU199" s="49"/>
      <x:c r="AV199" s="49"/>
      <x:c r="AW199" s="49"/>
      <x:c r="AX199" s="49"/>
      <x:c r="AY199" s="49"/>
      <x:c r="AZ199" s="49"/>
    </x:row>
    <x:row r="200">
      <x:c r="A200" s="49"/>
      <x:c r="B200" s="49"/>
      <x:c r="C200" s="49"/>
      <x:c r="D200" s="49"/>
      <x:c r="E200" s="49"/>
      <x:c r="F200" s="49"/>
      <x:c r="G200" s="49"/>
      <x:c r="H200" s="49"/>
      <x:c r="I200" s="49"/>
      <x:c r="J200" s="49"/>
      <x:c r="K200" s="49"/>
      <x:c r="L200" s="49"/>
      <x:c r="M200" s="49"/>
      <x:c r="N200" s="49"/>
      <x:c r="O200" s="49"/>
      <x:c r="P200" s="49"/>
      <x:c r="Q200" s="49"/>
      <x:c r="R200" s="49"/>
      <x:c r="S200" s="49"/>
      <x:c r="T200" s="49"/>
      <x:c r="U200" s="49"/>
      <x:c r="V200" s="49"/>
      <x:c r="W200" s="49"/>
      <x:c r="X200" s="49"/>
      <x:c r="Y200" s="49"/>
      <x:c r="Z200" s="49"/>
      <x:c r="AA200" s="49"/>
      <x:c r="AB200" s="49"/>
      <x:c r="AC200" s="49"/>
      <x:c r="AD200" s="49"/>
      <x:c r="AE200" s="49"/>
      <x:c r="AF200" s="49"/>
      <x:c r="AG200" s="49"/>
      <x:c r="AH200" s="49"/>
      <x:c r="AI200" s="49"/>
      <x:c r="AJ200" s="49"/>
      <x:c r="AK200" s="49"/>
      <x:c r="AL200" s="49"/>
      <x:c r="AM200" s="49"/>
      <x:c r="AN200" s="49"/>
      <x:c r="AO200" s="49"/>
      <x:c r="AP200" s="49"/>
      <x:c r="AQ200" s="49"/>
      <x:c r="AR200" s="49"/>
      <x:c r="AS200" s="49"/>
      <x:c r="AT200" s="49"/>
      <x:c r="AU200" s="49"/>
      <x:c r="AV200" s="49"/>
      <x:c r="AW200" s="49"/>
      <x:c r="AX200" s="49"/>
      <x:c r="AY200" s="49"/>
      <x:c r="AZ200" s="49"/>
    </x:row>
  </x:sheetData>
  <x:mergeCells>
    <x:mergeCell ref="A1:AU1"/>
    <x:mergeCell ref="A2:AU3"/>
  </x:mergeCells>
  <x:conditionalFormatting sqref="AG6:AG29">
    <x:cfRule type="colorScale" priority="1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conditionalFormatting sqref="AT6:AT29">
    <x:cfRule type="dataBar" priority="2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{8A0CA2D3-1F4B-437D-04E1-16D3C6E8EEFF}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8A0CA2D3-1F4B-437D-04E1-16D3C6E8EEFF}">
            <x14:dataBar gradient="1">
              <x14:cfvo type="min"/>
              <x14:cfvo type="max"/>
              <x14:fillColor rgb="FF5B9BD5"/>
            </x14:dataBar>
          </x14:cfRule>
          <xm:sqref>AT6:AT29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1" hidden="0" customWidth="1"/>
    <x:col min="3" max="3" width="10" hidden="0" customWidth="1"/>
    <x:col min="4" max="4" width="16" hidden="0" customWidth="1"/>
    <x:col min="5" max="5" width="16" hidden="0" customWidth="1"/>
    <x:col min="6" max="6" width="14" hidden="0" customWidth="1"/>
    <x:col min="7" max="7" width="11" hidden="0" customWidth="1"/>
    <x:col min="8" max="8" width="13" hidden="0" customWidth="1"/>
    <x:col min="9" max="9" width="16" hidden="0" customWidth="1"/>
    <x:col min="10" max="10" width="16" hidden="0" customWidth="1"/>
    <x:col min="11" max="11" width="16" hidden="0" customWidth="1"/>
    <x:col min="12" max="12" width="12" hidden="0" customWidth="1"/>
    <x:col min="13" max="13" width="14" hidden="0" customWidth="1"/>
    <x:col min="14" max="14" width="16" hidden="0" customWidth="1"/>
    <x:col min="15" max="15" width="15" hidden="0" customWidth="1"/>
  </x:cols>
  <x:sheetData>
    <x:row r="1" ht="28" customHeight="1">
      <x:c r="A1" s="226" t="str">
        <x:v>物料层汇总</x:v>
      </x:c>
      <x:c r="B1" s="132"/>
      <x:c r="C1" s="132"/>
      <x:c r="D1" s="132"/>
      <x:c r="E1" s="132"/>
      <x:c r="F1" s="132"/>
      <x:c r="G1" s="132"/>
      <x:c r="H1" s="132"/>
      <x:c r="I1" s="132"/>
      <x:c r="J1" s="132"/>
      <x:c r="K1" s="132"/>
      <x:c r="L1" s="132"/>
      <x:c r="M1" s="132"/>
      <x:c r="N1" s="132"/>
      <x:c r="O1" s="132"/>
      <x:c r="P1" s="49"/>
      <x:c r="Q1" s="49"/>
      <x:c r="R1" s="49"/>
      <x:c r="S1" s="49"/>
      <x:c r="T1" s="49"/>
      <x:c r="U1" s="49"/>
      <x:c r="V1" s="49"/>
      <x:c r="W1" s="49"/>
      <x:c r="X1" s="49"/>
      <x:c r="Y1" s="49"/>
      <x:c r="Z1" s="49"/>
      <x:c r="AA1" s="49"/>
      <x:c r="AB1" s="49"/>
      <x:c r="AC1" s="49"/>
      <x:c r="AD1" s="49"/>
      <x:c r="AE1" s="49"/>
      <x:c r="AF1" s="49"/>
      <x:c r="AG1" s="49"/>
      <x:c r="AH1" s="49"/>
      <x:c r="AI1" s="49"/>
      <x:c r="AJ1" s="49"/>
      <x:c r="AK1" s="49"/>
      <x:c r="AL1" s="49"/>
      <x:c r="AM1" s="49"/>
      <x:c r="AN1" s="49"/>
      <x:c r="AO1" s="49"/>
      <x:c r="AP1" s="49"/>
      <x:c r="AQ1" s="49"/>
      <x:c r="AR1" s="49"/>
      <x:c r="AS1" s="49"/>
      <x:c r="AT1" s="49"/>
      <x:c r="AU1" s="49"/>
      <x:c r="AV1" s="49"/>
      <x:c r="AW1" s="49"/>
      <x:c r="AX1" s="49"/>
      <x:c r="AY1" s="49"/>
      <x:c r="AZ1" s="49"/>
    </x:row>
    <x:row r="2" ht="22" customHeight="1">
      <x:c r="A2" s="45" t="str">
        <x:v>按物料汇总动态供应商分配模型。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9"/>
      <x:c r="Q2" s="49"/>
      <x:c r="R2" s="49"/>
      <x:c r="S2" s="49"/>
      <x:c r="T2" s="49"/>
      <x:c r="U2" s="49"/>
      <x:c r="V2" s="49"/>
      <x:c r="W2" s="49"/>
      <x:c r="X2" s="49"/>
      <x:c r="Y2" s="49"/>
      <x:c r="Z2" s="49"/>
      <x:c r="AA2" s="49"/>
      <x:c r="AB2" s="49"/>
      <x:c r="AC2" s="49"/>
      <x:c r="AD2" s="49"/>
      <x:c r="AE2" s="49"/>
      <x:c r="AF2" s="49"/>
      <x:c r="AG2" s="49"/>
      <x:c r="AH2" s="49"/>
      <x:c r="AI2" s="49"/>
      <x:c r="AJ2" s="49"/>
      <x:c r="AK2" s="49"/>
      <x:c r="AL2" s="49"/>
      <x:c r="AM2" s="49"/>
      <x:c r="AN2" s="49"/>
      <x:c r="AO2" s="49"/>
      <x:c r="AP2" s="49"/>
      <x:c r="AQ2" s="49"/>
      <x:c r="AR2" s="49"/>
      <x:c r="AS2" s="49"/>
      <x:c r="AT2" s="49"/>
      <x:c r="AU2" s="49"/>
      <x:c r="AV2" s="49"/>
      <x:c r="AW2" s="49"/>
      <x:c r="AX2" s="49"/>
      <x:c r="AY2" s="49"/>
      <x:c r="AZ2" s="49"/>
    </x:row>
    <x:row r="3" ht="22" customHeight="1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9"/>
      <x:c r="Q3" s="49"/>
      <x:c r="R3" s="49"/>
      <x:c r="S3" s="49"/>
      <x:c r="T3" s="49"/>
      <x:c r="U3" s="49"/>
      <x:c r="V3" s="49"/>
      <x:c r="W3" s="49"/>
      <x:c r="X3" s="49"/>
      <x:c r="Y3" s="49"/>
      <x:c r="Z3" s="49"/>
      <x:c r="AA3" s="49"/>
      <x:c r="AB3" s="49"/>
      <x:c r="AC3" s="49"/>
      <x:c r="AD3" s="49"/>
      <x:c r="AE3" s="49"/>
      <x:c r="AF3" s="49"/>
      <x:c r="AG3" s="49"/>
      <x:c r="AH3" s="49"/>
      <x:c r="AI3" s="49"/>
      <x:c r="AJ3" s="49"/>
      <x:c r="AK3" s="49"/>
      <x:c r="AL3" s="49"/>
      <x:c r="AM3" s="49"/>
      <x:c r="AN3" s="49"/>
      <x:c r="AO3" s="49"/>
      <x:c r="AP3" s="49"/>
      <x:c r="AQ3" s="49"/>
      <x:c r="AR3" s="49"/>
      <x:c r="AS3" s="49"/>
      <x:c r="AT3" s="49"/>
      <x:c r="AU3" s="49"/>
      <x:c r="AV3" s="49"/>
      <x:c r="AW3" s="49"/>
      <x:c r="AX3" s="49"/>
      <x:c r="AY3" s="49"/>
      <x:c r="AZ3" s="49"/>
    </x:row>
    <x:row r="4">
      <x:c r="A4" s="49"/>
      <x:c r="B4" s="49"/>
      <x:c r="C4" s="49"/>
      <x:c r="D4" s="49"/>
      <x:c r="E4" s="49"/>
      <x:c r="F4" s="49"/>
      <x:c r="G4" s="49"/>
      <x:c r="H4" s="49"/>
      <x:c r="I4" s="49"/>
      <x:c r="J4" s="49"/>
      <x:c r="K4" s="49"/>
      <x:c r="L4" s="49"/>
      <x:c r="M4" s="49"/>
      <x:c r="N4" s="49"/>
      <x:c r="O4" s="49"/>
      <x:c r="P4" s="49"/>
      <x:c r="Q4" s="49"/>
      <x:c r="R4" s="49"/>
      <x:c r="S4" s="49"/>
      <x:c r="T4" s="49"/>
      <x:c r="U4" s="49"/>
      <x:c r="V4" s="49"/>
      <x:c r="W4" s="49"/>
      <x:c r="X4" s="49"/>
      <x:c r="Y4" s="49"/>
      <x:c r="Z4" s="49"/>
      <x:c r="AA4" s="49"/>
      <x:c r="AB4" s="49"/>
      <x:c r="AC4" s="49"/>
      <x:c r="AD4" s="49"/>
      <x:c r="AE4" s="49"/>
      <x:c r="AF4" s="49"/>
      <x:c r="AG4" s="49"/>
      <x:c r="AH4" s="49"/>
      <x:c r="AI4" s="49"/>
      <x:c r="AJ4" s="49"/>
      <x:c r="AK4" s="49"/>
      <x:c r="AL4" s="49"/>
      <x:c r="AM4" s="49"/>
      <x:c r="AN4" s="49"/>
      <x:c r="AO4" s="49"/>
      <x:c r="AP4" s="49"/>
      <x:c r="AQ4" s="49"/>
      <x:c r="AR4" s="49"/>
      <x:c r="AS4" s="49"/>
      <x:c r="AT4" s="49"/>
      <x:c r="AU4" s="49"/>
      <x:c r="AV4" s="49"/>
      <x:c r="AW4" s="49"/>
      <x:c r="AX4" s="49"/>
      <x:c r="AY4" s="49"/>
      <x:c r="AZ4" s="49"/>
    </x:row>
    <x:row r="5">
      <x:c r="A5" s="144" t="str">
        <x:v>物料编号</x:v>
      </x:c>
      <x:c r="B5" s="144" t="str">
        <x:v>物料名称</x:v>
      </x:c>
      <x:c r="C5" s="144" t="str">
        <x:v>单位</x:v>
      </x:c>
      <x:c r="D5" s="144" t="str">
        <x:v>年度基准需求</x:v>
      </x:c>
      <x:c r="E5" s="144" t="str">
        <x:v>调整后需求</x:v>
      </x:c>
      <x:c r="F5" s="144" t="str">
        <x:v>最终分配</x:v>
      </x:c>
      <x:c r="G5" s="144" t="str">
        <x:v>覆盖率</x:v>
      </x:c>
      <x:c r="H5" s="144" t="str">
        <x:v>缺口数量</x:v>
      </x:c>
      <x:c r="I5" s="144" t="str">
        <x:v>总成本(CNY)</x:v>
      </x:c>
      <x:c r="J5" s="144" t="str">
        <x:v>加权单位成本</x:v>
      </x:c>
      <x:c r="K5" s="144" t="str">
        <x:v>成本加权风险</x:v>
      </x:c>
      <x:c r="L5" s="144" t="str">
        <x:v>供应商集中度 HHI</x:v>
      </x:c>
      <x:c r="M5" s="144" t="str">
        <x:v>活跃供应商数</x:v>
      </x:c>
      <x:c r="N5" s="144" t="str">
        <x:v>最低调整后单位成本</x:v>
      </x:c>
      <x:c r="O5" s="144" t="str">
        <x:v>最高供应商风险</x:v>
      </x:c>
      <x:c r="P5" s="49"/>
      <x:c r="Q5" s="49"/>
      <x:c r="R5" s="49"/>
      <x:c r="S5" s="49"/>
      <x:c r="T5" s="49"/>
      <x:c r="U5" s="49"/>
      <x:c r="V5" s="49"/>
      <x:c r="W5" s="49"/>
      <x:c r="X5" s="49"/>
      <x:c r="Y5" s="49"/>
      <x:c r="Z5" s="49"/>
      <x:c r="AA5" s="49"/>
      <x:c r="AB5" s="49"/>
      <x:c r="AC5" s="49"/>
      <x:c r="AD5" s="49"/>
      <x:c r="AE5" s="49"/>
      <x:c r="AF5" s="49"/>
      <x:c r="AG5" s="49"/>
      <x:c r="AH5" s="49"/>
      <x:c r="AI5" s="49"/>
      <x:c r="AJ5" s="49"/>
      <x:c r="AK5" s="49"/>
      <x:c r="AL5" s="49"/>
      <x:c r="AM5" s="49"/>
      <x:c r="AN5" s="49"/>
      <x:c r="AO5" s="49"/>
      <x:c r="AP5" s="49"/>
      <x:c r="AQ5" s="49"/>
      <x:c r="AR5" s="49"/>
      <x:c r="AS5" s="49"/>
      <x:c r="AT5" s="49"/>
      <x:c r="AU5" s="49"/>
      <x:c r="AV5" s="49"/>
      <x:c r="AW5" s="49"/>
      <x:c r="AX5" s="49"/>
      <x:c r="AY5" s="49"/>
      <x:c r="AZ5" s="49"/>
    </x:row>
    <x:row r="6">
      <x:c r="A6" s="49" t="str">
        <x:v>M001</x:v>
      </x:c>
      <x:c r="B6" s="49" t="str">
        <x:v>硅晶圆</x:v>
      </x:c>
      <x:c r="C6" s="49" t="str">
        <x:v>晶圆片</x:v>
      </x:c>
      <x:c r="D6" s="175" t="n">
        <x:f>SUMIFS('04_Cost_Risk_Model'!$Q$6:$Q$29,'04_Cost_Risk_Model'!$A$6:$A$29,A6)/COUNTIFS('04_Cost_Risk_Model'!$A$6:$A$29,A6)</x:f>
        <x:v>43334</x:v>
      </x:c>
      <x:c r="E6" s="175" t="n">
        <x:f>SUMIFS('04_Cost_Risk_Model'!$S$6:$S$29,'04_Cost_Risk_Model'!$A$6:$A$29,A6)/COUNTIFS('04_Cost_Risk_Model'!$A$6:$A$29,A6)</x:f>
        <x:v>43334</x:v>
      </x:c>
      <x:c r="F6" s="175" t="n">
        <x:f>SUMIFS('04_Cost_Risk_Model'!$AQ$6:$AQ$29,'04_Cost_Risk_Model'!$A$6:$A$29,A6)</x:f>
        <x:v>43334</x:v>
      </x:c>
      <x:c r="G6" s="214" t="n">
        <x:f>IF(E6=0,0,F6/E6)</x:f>
        <x:v>1</x:v>
      </x:c>
      <x:c r="H6" s="175" t="n">
        <x:f>MAX(0,E6-F6)</x:f>
        <x:v>0</x:v>
      </x:c>
      <x:c r="I6" s="175" t="n">
        <x:f>SUMIFS('04_Cost_Risk_Model'!$AR$6:$AR$29,'04_Cost_Risk_Model'!$A$6:$A$29,A6)</x:f>
        <x:v>32532792.2259625</x:v>
      </x:c>
      <x:c r="J6" s="215" t="n">
        <x:f>IF(F6=0,0,I6/F6)</x:f>
        <x:v>750.74519375</x:v>
      </x:c>
      <x:c r="K6" s="216" t="n">
        <x:f>IF(I6=0,0,SUMIFS('04_Cost_Risk_Model'!$AS$6:$AS$29,'04_Cost_Risk_Model'!$A$6:$A$29,A6)/I6)</x:f>
        <x:v>34.76781485961773</x:v>
      </x:c>
      <x:c r="L6" s="217" t="n">
        <x:f>SUMIFS('04_Cost_Risk_Model'!$AT$6:$AT$29,'04_Cost_Risk_Model'!$A$6:$A$29,A6)</x:f>
        <x:v>0.625</x:v>
      </x:c>
      <x:c r="M6" s="49" t="n">
        <x:f>COUNTIFS('04_Cost_Risk_Model'!$A$6:$A$29,A6,'04_Cost_Risk_Model'!$AQ$6:$AQ$29,"&gt;0")</x:f>
        <x:v>2</x:v>
      </x:c>
      <x:c r="N6" s="215" t="n">
        <x:f>MINIFS('04_Cost_Risk_Model'!$V$6:$V$29,'04_Cost_Risk_Model'!$A$6:$A$29,A6)</x:f>
        <x:v>733.8351</x:v>
      </x:c>
      <x:c r="O6" s="216" t="n">
        <x:f>MAXIFS('04_Cost_Risk_Model'!$AG$6:$AG$29,'04_Cost_Risk_Model'!$A$6:$A$29,A6)</x:f>
        <x:v>36.30830571837356</x:v>
      </x:c>
      <x:c r="P6" s="49"/>
      <x:c r="Q6" s="49"/>
      <x:c r="R6" s="49"/>
      <x:c r="S6" s="49"/>
      <x:c r="T6" s="49"/>
      <x:c r="U6" s="49"/>
      <x:c r="V6" s="49"/>
      <x:c r="W6" s="49"/>
      <x:c r="X6" s="49"/>
      <x:c r="Y6" s="49"/>
      <x:c r="Z6" s="49"/>
      <x:c r="AA6" s="49"/>
      <x:c r="AB6" s="49"/>
      <x:c r="AC6" s="49"/>
      <x:c r="AD6" s="49"/>
      <x:c r="AE6" s="49"/>
      <x:c r="AF6" s="49"/>
      <x:c r="AG6" s="49"/>
      <x:c r="AH6" s="49"/>
      <x:c r="AI6" s="49"/>
      <x:c r="AJ6" s="49"/>
      <x:c r="AK6" s="49"/>
      <x:c r="AL6" s="49"/>
      <x:c r="AM6" s="49"/>
      <x:c r="AN6" s="49"/>
      <x:c r="AO6" s="49"/>
      <x:c r="AP6" s="49"/>
      <x:c r="AQ6" s="49"/>
      <x:c r="AR6" s="49"/>
      <x:c r="AS6" s="49"/>
      <x:c r="AT6" s="49"/>
      <x:c r="AU6" s="49"/>
      <x:c r="AV6" s="49"/>
      <x:c r="AW6" s="49"/>
      <x:c r="AX6" s="49"/>
      <x:c r="AY6" s="49"/>
      <x:c r="AZ6" s="49"/>
    </x:row>
    <x:row r="7">
      <x:c r="A7" s="49" t="str">
        <x:v>M002</x:v>
      </x:c>
      <x:c r="B7" s="49" t="str">
        <x:v>光刻胶</x:v>
      </x:c>
      <x:c r="C7" s="49" t="str">
        <x:v>升</x:v>
      </x:c>
      <x:c r="D7" s="175" t="n">
        <x:f>SUMIFS('04_Cost_Risk_Model'!$Q$6:$Q$29,'04_Cost_Risk_Model'!$A$6:$A$29,A7)/COUNTIFS('04_Cost_Risk_Model'!$A$6:$A$29,A7)</x:f>
        <x:v>34547</x:v>
      </x:c>
      <x:c r="E7" s="175" t="n">
        <x:f>SUMIFS('04_Cost_Risk_Model'!$S$6:$S$29,'04_Cost_Risk_Model'!$A$6:$A$29,A7)/COUNTIFS('04_Cost_Risk_Model'!$A$6:$A$29,A7)</x:f>
        <x:v>34547</x:v>
      </x:c>
      <x:c r="F7" s="175" t="n">
        <x:f>SUMIFS('04_Cost_Risk_Model'!$AQ$6:$AQ$29,'04_Cost_Risk_Model'!$A$6:$A$29,A7)</x:f>
        <x:v>34547</x:v>
      </x:c>
      <x:c r="G7" s="214" t="n">
        <x:f>IF(E7=0,0,F7/E7)</x:f>
        <x:v>1</x:v>
      </x:c>
      <x:c r="H7" s="175" t="n">
        <x:f>MAX(0,E7-F7)</x:f>
        <x:v>0</x:v>
      </x:c>
      <x:c r="I7" s="175" t="n">
        <x:f>SUMIFS('04_Cost_Risk_Model'!$AR$6:$AR$29,'04_Cost_Risk_Model'!$A$6:$A$29,A7)</x:f>
        <x:v>13658573.66133661</x:v>
      </x:c>
      <x:c r="J7" s="215" t="n">
        <x:f>IF(F7=0,0,I7/F7)</x:f>
        <x:v>395.36207663</x:v>
      </x:c>
      <x:c r="K7" s="216" t="n">
        <x:f>IF(I7=0,0,SUMIFS('04_Cost_Risk_Model'!$AS$6:$AS$29,'04_Cost_Risk_Model'!$A$6:$A$29,A7)/I7)</x:f>
        <x:v>24.91703169339398</x:v>
      </x:c>
      <x:c r="L7" s="217" t="n">
        <x:f>SUMIFS('04_Cost_Risk_Model'!$AT$6:$AT$29,'04_Cost_Risk_Model'!$A$6:$A$29,A7)</x:f>
        <x:v>0.625</x:v>
      </x:c>
      <x:c r="M7" s="49" t="n">
        <x:f>COUNTIFS('04_Cost_Risk_Model'!$A$6:$A$29,A7,'04_Cost_Risk_Model'!$AQ$6:$AQ$29,"&gt;0")</x:f>
        <x:v>2</x:v>
      </x:c>
      <x:c r="N7" s="215" t="n">
        <x:f>MINIFS('04_Cost_Risk_Model'!$V$6:$V$29,'04_Cost_Risk_Model'!$A$6:$A$29,A7)</x:f>
        <x:v>389.6863</x:v>
      </x:c>
      <x:c r="O7" s="216" t="n">
        <x:f>MAXIFS('04_Cost_Risk_Model'!$AG$6:$AG$29,'04_Cost_Risk_Model'!$A$6:$A$29,A7)</x:f>
        <x:v>43.831820186991635</x:v>
      </x:c>
      <x:c r="P7" s="49"/>
      <x:c r="Q7" s="49"/>
      <x:c r="R7" s="49"/>
      <x:c r="S7" s="49"/>
      <x:c r="T7" s="49"/>
      <x:c r="U7" s="49"/>
      <x:c r="V7" s="49"/>
      <x:c r="W7" s="49"/>
      <x:c r="X7" s="49"/>
      <x:c r="Y7" s="49"/>
      <x:c r="Z7" s="49"/>
      <x:c r="AA7" s="49"/>
      <x:c r="AB7" s="49"/>
      <x:c r="AC7" s="49"/>
      <x:c r="AD7" s="49"/>
      <x:c r="AE7" s="49"/>
      <x:c r="AF7" s="49"/>
      <x:c r="AG7" s="49"/>
      <x:c r="AH7" s="49"/>
      <x:c r="AI7" s="49"/>
      <x:c r="AJ7" s="49"/>
      <x:c r="AK7" s="49"/>
      <x:c r="AL7" s="49"/>
      <x:c r="AM7" s="49"/>
      <x:c r="AN7" s="49"/>
      <x:c r="AO7" s="49"/>
      <x:c r="AP7" s="49"/>
      <x:c r="AQ7" s="49"/>
      <x:c r="AR7" s="49"/>
      <x:c r="AS7" s="49"/>
      <x:c r="AT7" s="49"/>
      <x:c r="AU7" s="49"/>
      <x:c r="AV7" s="49"/>
      <x:c r="AW7" s="49"/>
      <x:c r="AX7" s="49"/>
      <x:c r="AY7" s="49"/>
      <x:c r="AZ7" s="49"/>
    </x:row>
    <x:row r="8">
      <x:c r="A8" s="49" t="str">
        <x:v>M003</x:v>
      </x:c>
      <x:c r="B8" s="49" t="str">
        <x:v>工艺气体</x:v>
      </x:c>
      <x:c r="C8" s="49" t="str">
        <x:v>瓶</x:v>
      </x:c>
      <x:c r="D8" s="175" t="n">
        <x:f>SUMIFS('04_Cost_Risk_Model'!$Q$6:$Q$29,'04_Cost_Risk_Model'!$A$6:$A$29,A8)/COUNTIFS('04_Cost_Risk_Model'!$A$6:$A$29,A8)</x:f>
        <x:v>9493</x:v>
      </x:c>
      <x:c r="E8" s="175" t="n">
        <x:f>SUMIFS('04_Cost_Risk_Model'!$S$6:$S$29,'04_Cost_Risk_Model'!$A$6:$A$29,A8)/COUNTIFS('04_Cost_Risk_Model'!$A$6:$A$29,A8)</x:f>
        <x:v>9493</x:v>
      </x:c>
      <x:c r="F8" s="175" t="n">
        <x:f>SUMIFS('04_Cost_Risk_Model'!$AQ$6:$AQ$29,'04_Cost_Risk_Model'!$A$6:$A$29,A8)</x:f>
        <x:v>9493</x:v>
      </x:c>
      <x:c r="G8" s="214" t="n">
        <x:f>IF(E8=0,0,F8/E8)</x:f>
        <x:v>1</x:v>
      </x:c>
      <x:c r="H8" s="175" t="n">
        <x:f>MAX(0,E8-F8)</x:f>
        <x:v>0</x:v>
      </x:c>
      <x:c r="I8" s="175" t="n">
        <x:f>SUMIFS('04_Cost_Risk_Model'!$AR$6:$AR$29,'04_Cost_Risk_Model'!$A$6:$A$29,A8)</x:f>
        <x:v>5163949.4775825</x:v>
      </x:c>
      <x:c r="J8" s="215" t="n">
        <x:f>IF(F8=0,0,I8/F8)</x:f>
        <x:v>543.9744525</x:v>
      </x:c>
      <x:c r="K8" s="216" t="n">
        <x:f>IF(I8=0,0,SUMIFS('04_Cost_Risk_Model'!$AS$6:$AS$29,'04_Cost_Risk_Model'!$A$6:$A$29,A8)/I8)</x:f>
        <x:v>25.314770321865485</x:v>
      </x:c>
      <x:c r="L8" s="217" t="n">
        <x:f>SUMIFS('04_Cost_Risk_Model'!$AT$6:$AT$29,'04_Cost_Risk_Model'!$A$6:$A$29,A8)</x:f>
        <x:v>0.625</x:v>
      </x:c>
      <x:c r="M8" s="49" t="n">
        <x:f>COUNTIFS('04_Cost_Risk_Model'!$A$6:$A$29,A8,'04_Cost_Risk_Model'!$AQ$6:$AQ$29,"&gt;0")</x:f>
        <x:v>2</x:v>
      </x:c>
      <x:c r="N8" s="215" t="n">
        <x:f>MINIFS('04_Cost_Risk_Model'!$V$6:$V$29,'04_Cost_Risk_Model'!$A$6:$A$29,A8)</x:f>
        <x:v>526.55031</x:v>
      </x:c>
      <x:c r="O8" s="216" t="n">
        <x:f>MAXIFS('04_Cost_Risk_Model'!$AG$6:$AG$29,'04_Cost_Risk_Model'!$A$6:$A$29,A8)</x:f>
        <x:v>37.70653976614348</x:v>
      </x:c>
      <x:c r="P8" s="49"/>
      <x:c r="Q8" s="49"/>
      <x:c r="R8" s="49"/>
      <x:c r="S8" s="49"/>
      <x:c r="T8" s="49"/>
      <x:c r="U8" s="49"/>
      <x:c r="V8" s="49"/>
      <x:c r="W8" s="49"/>
      <x:c r="X8" s="49"/>
      <x:c r="Y8" s="49"/>
      <x:c r="Z8" s="49"/>
      <x:c r="AA8" s="49"/>
      <x:c r="AB8" s="49"/>
      <x:c r="AC8" s="49"/>
      <x:c r="AD8" s="49"/>
      <x:c r="AE8" s="49"/>
      <x:c r="AF8" s="49"/>
      <x:c r="AG8" s="49"/>
      <x:c r="AH8" s="49"/>
      <x:c r="AI8" s="49"/>
      <x:c r="AJ8" s="49"/>
      <x:c r="AK8" s="49"/>
      <x:c r="AL8" s="49"/>
      <x:c r="AM8" s="49"/>
      <x:c r="AN8" s="49"/>
      <x:c r="AO8" s="49"/>
      <x:c r="AP8" s="49"/>
      <x:c r="AQ8" s="49"/>
      <x:c r="AR8" s="49"/>
      <x:c r="AS8" s="49"/>
      <x:c r="AT8" s="49"/>
      <x:c r="AU8" s="49"/>
      <x:c r="AV8" s="49"/>
      <x:c r="AW8" s="49"/>
      <x:c r="AX8" s="49"/>
      <x:c r="AY8" s="49"/>
      <x:c r="AZ8" s="49"/>
    </x:row>
    <x:row r="9">
      <x:c r="A9" s="49" t="str">
        <x:v>M004</x:v>
      </x:c>
      <x:c r="B9" s="49" t="str">
        <x:v>CMP抛光液</x:v>
      </x:c>
      <x:c r="C9" s="49" t="str">
        <x:v>升</x:v>
      </x:c>
      <x:c r="D9" s="175" t="n">
        <x:f>SUMIFS('04_Cost_Risk_Model'!$Q$6:$Q$29,'04_Cost_Risk_Model'!$A$6:$A$29,A9)/COUNTIFS('04_Cost_Risk_Model'!$A$6:$A$29,A9)</x:f>
        <x:v>74707</x:v>
      </x:c>
      <x:c r="E9" s="175" t="n">
        <x:f>SUMIFS('04_Cost_Risk_Model'!$S$6:$S$29,'04_Cost_Risk_Model'!$A$6:$A$29,A9)/COUNTIFS('04_Cost_Risk_Model'!$A$6:$A$29,A9)</x:f>
        <x:v>74707</x:v>
      </x:c>
      <x:c r="F9" s="175" t="n">
        <x:f>SUMIFS('04_Cost_Risk_Model'!$AQ$6:$AQ$29,'04_Cost_Risk_Model'!$A$6:$A$29,A9)</x:f>
        <x:v>74707</x:v>
      </x:c>
      <x:c r="G9" s="214" t="n">
        <x:f>IF(E9=0,0,F9/E9)</x:f>
        <x:v>1</x:v>
      </x:c>
      <x:c r="H9" s="175" t="n">
        <x:f>MAX(0,E9-F9)</x:f>
        <x:v>0</x:v>
      </x:c>
      <x:c r="I9" s="175" t="n">
        <x:f>SUMIFS('04_Cost_Risk_Model'!$AR$6:$AR$29,'04_Cost_Risk_Model'!$A$6:$A$29,A9)</x:f>
        <x:v>8252711.16689287</x:v>
      </x:c>
      <x:c r="J9" s="215" t="n">
        <x:f>IF(F9=0,0,I9/F9)</x:f>
        <x:v>110.46770941</x:v>
      </x:c>
      <x:c r="K9" s="216" t="n">
        <x:f>IF(I9=0,0,SUMIFS('04_Cost_Risk_Model'!$AS$6:$AS$29,'04_Cost_Risk_Model'!$A$6:$A$29,A9)/I9)</x:f>
        <x:v>30.667376089919337</x:v>
      </x:c>
      <x:c r="L9" s="217" t="n">
        <x:f>SUMIFS('04_Cost_Risk_Model'!$AT$6:$AT$29,'04_Cost_Risk_Model'!$A$6:$A$29,A9)</x:f>
        <x:v>0.625</x:v>
      </x:c>
      <x:c r="M9" s="49" t="n">
        <x:f>COUNTIFS('04_Cost_Risk_Model'!$A$6:$A$29,A9,'04_Cost_Risk_Model'!$AQ$6:$AQ$29,"&gt;0")</x:f>
        <x:v>2</x:v>
      </x:c>
      <x:c r="N9" s="215" t="n">
        <x:f>MINIFS('04_Cost_Risk_Model'!$V$6:$V$29,'04_Cost_Risk_Model'!$A$6:$A$29,A9)</x:f>
        <x:v>109.00065000000001</x:v>
      </x:c>
      <x:c r="O9" s="216" t="n">
        <x:f>MAXIFS('04_Cost_Risk_Model'!$AG$6:$AG$29,'04_Cost_Risk_Model'!$A$6:$A$29,A9)</x:f>
        <x:v>31.258248303371843</x:v>
      </x:c>
      <x:c r="P9" s="49"/>
      <x:c r="Q9" s="49"/>
      <x:c r="R9" s="49"/>
      <x:c r="S9" s="49"/>
      <x:c r="T9" s="49"/>
      <x:c r="U9" s="49"/>
      <x:c r="V9" s="49"/>
      <x:c r="W9" s="49"/>
      <x:c r="X9" s="49"/>
      <x:c r="Y9" s="49"/>
      <x:c r="Z9" s="49"/>
      <x:c r="AA9" s="49"/>
      <x:c r="AB9" s="49"/>
      <x:c r="AC9" s="49"/>
      <x:c r="AD9" s="49"/>
      <x:c r="AE9" s="49"/>
      <x:c r="AF9" s="49"/>
      <x:c r="AG9" s="49"/>
      <x:c r="AH9" s="49"/>
      <x:c r="AI9" s="49"/>
      <x:c r="AJ9" s="49"/>
      <x:c r="AK9" s="49"/>
      <x:c r="AL9" s="49"/>
      <x:c r="AM9" s="49"/>
      <x:c r="AN9" s="49"/>
      <x:c r="AO9" s="49"/>
      <x:c r="AP9" s="49"/>
      <x:c r="AQ9" s="49"/>
      <x:c r="AR9" s="49"/>
      <x:c r="AS9" s="49"/>
      <x:c r="AT9" s="49"/>
      <x:c r="AU9" s="49"/>
      <x:c r="AV9" s="49"/>
      <x:c r="AW9" s="49"/>
      <x:c r="AX9" s="49"/>
      <x:c r="AY9" s="49"/>
      <x:c r="AZ9" s="49"/>
    </x:row>
    <x:row r="10">
      <x:c r="A10" s="49" t="str">
        <x:v>M005</x:v>
      </x:c>
      <x:c r="B10" s="49" t="str">
        <x:v>PVD靶材</x:v>
      </x:c>
      <x:c r="C10" s="49" t="str">
        <x:v>件</x:v>
      </x:c>
      <x:c r="D10" s="175" t="n">
        <x:f>SUMIFS('04_Cost_Risk_Model'!$Q$6:$Q$29,'04_Cost_Risk_Model'!$A$6:$A$29,A10)/COUNTIFS('04_Cost_Risk_Model'!$A$6:$A$29,A10)</x:f>
        <x:v>1294</x:v>
      </x:c>
      <x:c r="E10" s="175" t="n">
        <x:f>SUMIFS('04_Cost_Risk_Model'!$S$6:$S$29,'04_Cost_Risk_Model'!$A$6:$A$29,A10)/COUNTIFS('04_Cost_Risk_Model'!$A$6:$A$29,A10)</x:f>
        <x:v>1294</x:v>
      </x:c>
      <x:c r="F10" s="175" t="n">
        <x:f>SUMIFS('04_Cost_Risk_Model'!$AQ$6:$AQ$29,'04_Cost_Risk_Model'!$A$6:$A$29,A10)</x:f>
        <x:v>1294</x:v>
      </x:c>
      <x:c r="G10" s="214" t="n">
        <x:f>IF(E10=0,0,F10/E10)</x:f>
        <x:v>1</x:v>
      </x:c>
      <x:c r="H10" s="175" t="n">
        <x:f>MAX(0,E10-F10)</x:f>
        <x:v>0</x:v>
      </x:c>
      <x:c r="I10" s="175" t="n">
        <x:f>SUMIFS('04_Cost_Risk_Model'!$AR$6:$AR$29,'04_Cost_Risk_Model'!$A$6:$A$29,A10)</x:f>
        <x:v>11321530.785912499</x:v>
      </x:c>
      <x:c r="J10" s="215" t="n">
        <x:f>IF(F10=0,0,I10/F10)</x:f>
        <x:v>8749.25099375</x:v>
      </x:c>
      <x:c r="K10" s="216" t="n">
        <x:f>IF(I10=0,0,SUMIFS('04_Cost_Risk_Model'!$AS$6:$AS$29,'04_Cost_Risk_Model'!$A$6:$A$29,A10)/I10)</x:f>
        <x:v>32.7497508883032</x:v>
      </x:c>
      <x:c r="L10" s="217" t="n">
        <x:f>SUMIFS('04_Cost_Risk_Model'!$AT$6:$AT$29,'04_Cost_Risk_Model'!$A$6:$A$29,A10)</x:f>
        <x:v>0.625</x:v>
      </x:c>
      <x:c r="M10" s="49" t="n">
        <x:f>COUNTIFS('04_Cost_Risk_Model'!$A$6:$A$29,A10,'04_Cost_Risk_Model'!$AQ$6:$AQ$29,"&gt;0")</x:f>
        <x:v>2</x:v>
      </x:c>
      <x:c r="N10" s="215" t="n">
        <x:f>MINIFS('04_Cost_Risk_Model'!$V$6:$V$29,'04_Cost_Risk_Model'!$A$6:$A$29,A10)</x:f>
        <x:v>8740.376375</x:v>
      </x:c>
      <x:c r="O10" s="216" t="n">
        <x:f>MAXIFS('04_Cost_Risk_Model'!$AG$6:$AG$29,'04_Cost_Risk_Model'!$A$6:$A$29,A10)</x:f>
        <x:v>37.295944358578055</x:v>
      </x:c>
      <x:c r="P10" s="49"/>
      <x:c r="Q10" s="49"/>
      <x:c r="R10" s="49"/>
      <x:c r="S10" s="49"/>
      <x:c r="T10" s="49"/>
      <x:c r="U10" s="49"/>
      <x:c r="V10" s="49"/>
      <x:c r="W10" s="49"/>
      <x:c r="X10" s="49"/>
      <x:c r="Y10" s="49"/>
      <x:c r="Z10" s="49"/>
      <x:c r="AA10" s="49"/>
      <x:c r="AB10" s="49"/>
      <x:c r="AC10" s="49"/>
      <x:c r="AD10" s="49"/>
      <x:c r="AE10" s="49"/>
      <x:c r="AF10" s="49"/>
      <x:c r="AG10" s="49"/>
      <x:c r="AH10" s="49"/>
      <x:c r="AI10" s="49"/>
      <x:c r="AJ10" s="49"/>
      <x:c r="AK10" s="49"/>
      <x:c r="AL10" s="49"/>
      <x:c r="AM10" s="49"/>
      <x:c r="AN10" s="49"/>
      <x:c r="AO10" s="49"/>
      <x:c r="AP10" s="49"/>
      <x:c r="AQ10" s="49"/>
      <x:c r="AR10" s="49"/>
      <x:c r="AS10" s="49"/>
      <x:c r="AT10" s="49"/>
      <x:c r="AU10" s="49"/>
      <x:c r="AV10" s="49"/>
      <x:c r="AW10" s="49"/>
      <x:c r="AX10" s="49"/>
      <x:c r="AY10" s="49"/>
      <x:c r="AZ10" s="49"/>
    </x:row>
    <x:row r="11">
      <x:c r="A11" s="49" t="str">
        <x:v>M006</x:v>
      </x:c>
      <x:c r="B11" s="49" t="str">
        <x:v>封装基板</x:v>
      </x:c>
      <x:c r="C11" s="49" t="str">
        <x:v>件</x:v>
      </x:c>
      <x:c r="D11" s="175" t="n">
        <x:f>SUMIFS('04_Cost_Risk_Model'!$Q$6:$Q$29,'04_Cost_Risk_Model'!$A$6:$A$29,A11)/COUNTIFS('04_Cost_Risk_Model'!$A$6:$A$29,A11)</x:f>
        <x:v>2220421</x:v>
      </x:c>
      <x:c r="E11" s="175" t="n">
        <x:f>SUMIFS('04_Cost_Risk_Model'!$S$6:$S$29,'04_Cost_Risk_Model'!$A$6:$A$29,A11)/COUNTIFS('04_Cost_Risk_Model'!$A$6:$A$29,A11)</x:f>
        <x:v>2220421</x:v>
      </x:c>
      <x:c r="F11" s="175" t="n">
        <x:f>SUMIFS('04_Cost_Risk_Model'!$AQ$6:$AQ$29,'04_Cost_Risk_Model'!$A$6:$A$29,A11)</x:f>
        <x:v>2220421</x:v>
      </x:c>
      <x:c r="G11" s="214" t="n">
        <x:f>IF(E11=0,0,F11/E11)</x:f>
        <x:v>1</x:v>
      </x:c>
      <x:c r="H11" s="175" t="n">
        <x:f>MAX(0,E11-F11)</x:f>
        <x:v>0</x:v>
      </x:c>
      <x:c r="I11" s="175" t="n">
        <x:f>SUMIFS('04_Cost_Risk_Model'!$AR$6:$AR$29,'04_Cost_Risk_Model'!$A$6:$A$29,A11)</x:f>
        <x:v>90011248.58817688</x:v>
      </x:c>
      <x:c r="J11" s="215" t="n">
        <x:f>IF(F11=0,0,I11/F11)</x:f>
        <x:v>40.53791987563479</x:v>
      </x:c>
      <x:c r="K11" s="216" t="n">
        <x:f>IF(I11=0,0,SUMIFS('04_Cost_Risk_Model'!$AS$6:$AS$29,'04_Cost_Risk_Model'!$A$6:$A$29,A11)/I11)</x:f>
        <x:v>24.917111454341494</x:v>
      </x:c>
      <x:c r="L11" s="217" t="n">
        <x:f>SUMIFS('04_Cost_Risk_Model'!$AT$6:$AT$29,'04_Cost_Risk_Model'!$A$6:$A$29,A11)</x:f>
        <x:v>0.5251957559196458</x:v>
      </x:c>
      <x:c r="M11" s="49" t="n">
        <x:f>COUNTIFS('04_Cost_Risk_Model'!$A$6:$A$29,A11,'04_Cost_Risk_Model'!$AQ$6:$AQ$29,"&gt;0")</x:f>
        <x:v>3</x:v>
      </x:c>
      <x:c r="N11" s="215" t="n">
        <x:f>MINIFS('04_Cost_Risk_Model'!$V$6:$V$29,'04_Cost_Risk_Model'!$A$6:$A$29,A11)</x:f>
        <x:v>39.793404699999996</x:v>
      </x:c>
      <x:c r="O11" s="216" t="n">
        <x:f>MAXIFS('04_Cost_Risk_Model'!$AG$6:$AG$29,'04_Cost_Risk_Model'!$A$6:$A$29,A11)</x:f>
        <x:v>28.534</x:v>
      </x:c>
      <x:c r="P11" s="49"/>
      <x:c r="Q11" s="49"/>
      <x:c r="R11" s="49"/>
      <x:c r="S11" s="49"/>
      <x:c r="T11" s="49"/>
      <x:c r="U11" s="49"/>
      <x:c r="V11" s="49"/>
      <x:c r="W11" s="49"/>
      <x:c r="X11" s="49"/>
      <x:c r="Y11" s="49"/>
      <x:c r="Z11" s="49"/>
      <x:c r="AA11" s="49"/>
      <x:c r="AB11" s="49"/>
      <x:c r="AC11" s="49"/>
      <x:c r="AD11" s="49"/>
      <x:c r="AE11" s="49"/>
      <x:c r="AF11" s="49"/>
      <x:c r="AG11" s="49"/>
      <x:c r="AH11" s="49"/>
      <x:c r="AI11" s="49"/>
      <x:c r="AJ11" s="49"/>
      <x:c r="AK11" s="49"/>
      <x:c r="AL11" s="49"/>
      <x:c r="AM11" s="49"/>
      <x:c r="AN11" s="49"/>
      <x:c r="AO11" s="49"/>
      <x:c r="AP11" s="49"/>
      <x:c r="AQ11" s="49"/>
      <x:c r="AR11" s="49"/>
      <x:c r="AS11" s="49"/>
      <x:c r="AT11" s="49"/>
      <x:c r="AU11" s="49"/>
      <x:c r="AV11" s="49"/>
      <x:c r="AW11" s="49"/>
      <x:c r="AX11" s="49"/>
      <x:c r="AY11" s="49"/>
      <x:c r="AZ11" s="49"/>
    </x:row>
    <x:row r="12">
      <x:c r="A12" s="49" t="str">
        <x:v>M007</x:v>
      </x:c>
      <x:c r="B12" s="49" t="str">
        <x:v>引线框架</x:v>
      </x:c>
      <x:c r="C12" s="49" t="str">
        <x:v>千件</x:v>
      </x:c>
      <x:c r="D12" s="175" t="n">
        <x:f>SUMIFS('04_Cost_Risk_Model'!$Q$6:$Q$29,'04_Cost_Risk_Model'!$A$6:$A$29,A12)/COUNTIFS('04_Cost_Risk_Model'!$A$6:$A$29,A12)</x:f>
        <x:v>2521</x:v>
      </x:c>
      <x:c r="E12" s="175" t="n">
        <x:f>SUMIFS('04_Cost_Risk_Model'!$S$6:$S$29,'04_Cost_Risk_Model'!$A$6:$A$29,A12)/COUNTIFS('04_Cost_Risk_Model'!$A$6:$A$29,A12)</x:f>
        <x:v>2521</x:v>
      </x:c>
      <x:c r="F12" s="175" t="n">
        <x:f>SUMIFS('04_Cost_Risk_Model'!$AQ$6:$AQ$29,'04_Cost_Risk_Model'!$A$6:$A$29,A12)</x:f>
        <x:v>2521</x:v>
      </x:c>
      <x:c r="G12" s="214" t="n">
        <x:f>IF(E12=0,0,F12/E12)</x:f>
        <x:v>1</x:v>
      </x:c>
      <x:c r="H12" s="175" t="n">
        <x:f>MAX(0,E12-F12)</x:f>
        <x:v>0</x:v>
      </x:c>
      <x:c r="I12" s="175" t="n">
        <x:f>SUMIFS('04_Cost_Risk_Model'!$AR$6:$AR$29,'04_Cost_Risk_Model'!$A$6:$A$29,A12)</x:f>
        <x:v>189317.52249411</x:v>
      </x:c>
      <x:c r="J12" s="215" t="n">
        <x:f>IF(F12=0,0,I12/F12)</x:f>
        <x:v>75.09620091</x:v>
      </x:c>
      <x:c r="K12" s="216" t="n">
        <x:f>IF(I12=0,0,SUMIFS('04_Cost_Risk_Model'!$AS$6:$AS$29,'04_Cost_Risk_Model'!$A$6:$A$29,A12)/I12)</x:f>
        <x:v>31.763594640703694</x:v>
      </x:c>
      <x:c r="L12" s="217" t="n">
        <x:f>SUMIFS('04_Cost_Risk_Model'!$AT$6:$AT$29,'04_Cost_Risk_Model'!$A$6:$A$29,A12)</x:f>
        <x:v>0.625</x:v>
      </x:c>
      <x:c r="M12" s="49" t="n">
        <x:f>COUNTIFS('04_Cost_Risk_Model'!$A$6:$A$29,A12,'04_Cost_Risk_Model'!$AQ$6:$AQ$29,"&gt;0")</x:f>
        <x:v>2</x:v>
      </x:c>
      <x:c r="N12" s="215" t="n">
        <x:f>MINIFS('04_Cost_Risk_Model'!$V$6:$V$29,'04_Cost_Risk_Model'!$A$6:$A$29,A12)</x:f>
        <x:v>74.4186</x:v>
      </x:c>
      <x:c r="O12" s="216" t="n">
        <x:f>MAXIFS('04_Cost_Risk_Model'!$AG$6:$AG$29,'04_Cost_Risk_Model'!$A$6:$A$29,A12)</x:f>
        <x:v>35.268341927806425</x:v>
      </x:c>
      <x:c r="P12" s="49"/>
      <x:c r="Q12" s="49"/>
      <x:c r="R12" s="49"/>
      <x:c r="S12" s="49"/>
      <x:c r="T12" s="49"/>
      <x:c r="U12" s="49"/>
      <x:c r="V12" s="49"/>
      <x:c r="W12" s="49"/>
      <x:c r="X12" s="49"/>
      <x:c r="Y12" s="49"/>
      <x:c r="Z12" s="49"/>
      <x:c r="AA12" s="49"/>
      <x:c r="AB12" s="49"/>
      <x:c r="AC12" s="49"/>
      <x:c r="AD12" s="49"/>
      <x:c r="AE12" s="49"/>
      <x:c r="AF12" s="49"/>
      <x:c r="AG12" s="49"/>
      <x:c r="AH12" s="49"/>
      <x:c r="AI12" s="49"/>
      <x:c r="AJ12" s="49"/>
      <x:c r="AK12" s="49"/>
      <x:c r="AL12" s="49"/>
      <x:c r="AM12" s="49"/>
      <x:c r="AN12" s="49"/>
      <x:c r="AO12" s="49"/>
      <x:c r="AP12" s="49"/>
      <x:c r="AQ12" s="49"/>
      <x:c r="AR12" s="49"/>
      <x:c r="AS12" s="49"/>
      <x:c r="AT12" s="49"/>
      <x:c r="AU12" s="49"/>
      <x:c r="AV12" s="49"/>
      <x:c r="AW12" s="49"/>
      <x:c r="AX12" s="49"/>
      <x:c r="AY12" s="49"/>
      <x:c r="AZ12" s="49"/>
    </x:row>
    <x:row r="13">
      <x:c r="A13" s="49" t="str">
        <x:v>M008</x:v>
      </x:c>
      <x:c r="B13" s="49" t="str">
        <x:v>特种化学品</x:v>
      </x:c>
      <x:c r="C13" s="49" t="str">
        <x:v>升</x:v>
      </x:c>
      <x:c r="D13" s="175" t="n">
        <x:f>SUMIFS('04_Cost_Risk_Model'!$Q$6:$Q$29,'04_Cost_Risk_Model'!$A$6:$A$29,A13)/COUNTIFS('04_Cost_Risk_Model'!$A$6:$A$29,A13)</x:f>
        <x:v>64797</x:v>
      </x:c>
      <x:c r="E13" s="175" t="n">
        <x:f>SUMIFS('04_Cost_Risk_Model'!$S$6:$S$29,'04_Cost_Risk_Model'!$A$6:$A$29,A13)/COUNTIFS('04_Cost_Risk_Model'!$A$6:$A$29,A13)</x:f>
        <x:v>64797</x:v>
      </x:c>
      <x:c r="F13" s="175" t="n">
        <x:f>SUMIFS('04_Cost_Risk_Model'!$AQ$6:$AQ$29,'04_Cost_Risk_Model'!$A$6:$A$29,A13)</x:f>
        <x:v>64797</x:v>
      </x:c>
      <x:c r="G13" s="214" t="n">
        <x:f>IF(E13=0,0,F13/E13)</x:f>
        <x:v>1</x:v>
      </x:c>
      <x:c r="H13" s="175" t="n">
        <x:f>MAX(0,E13-F13)</x:f>
        <x:v>0</x:v>
      </x:c>
      <x:c r="I13" s="175" t="n">
        <x:f>SUMIFS('04_Cost_Risk_Model'!$AR$6:$AR$29,'04_Cost_Risk_Model'!$A$6:$A$29,A13)</x:f>
        <x:v>10341980.500254989</x:v>
      </x:c>
      <x:c r="J13" s="215" t="n">
        <x:f>IF(F13=0,0,I13/F13)</x:f>
        <x:v>159.60585367</x:v>
      </x:c>
      <x:c r="K13" s="216" t="n">
        <x:f>IF(I13=0,0,SUMIFS('04_Cost_Risk_Model'!$AS$6:$AS$29,'04_Cost_Risk_Model'!$A$6:$A$29,A13)/I13)</x:f>
        <x:v>26.157250374711126</x:v>
      </x:c>
      <x:c r="L13" s="217" t="n">
        <x:f>SUMIFS('04_Cost_Risk_Model'!$AT$6:$AT$29,'04_Cost_Risk_Model'!$A$6:$A$29,A13)</x:f>
        <x:v>0.625</x:v>
      </x:c>
      <x:c r="M13" s="49" t="n">
        <x:f>COUNTIFS('04_Cost_Risk_Model'!$A$6:$A$29,A13,'04_Cost_Risk_Model'!$AQ$6:$AQ$29,"&gt;0")</x:f>
        <x:v>2</x:v>
      </x:c>
      <x:c r="N13" s="215" t="n">
        <x:f>MINIFS('04_Cost_Risk_Model'!$V$6:$V$29,'04_Cost_Risk_Model'!$A$6:$A$29,A13)</x:f>
        <x:v>157.0817206</x:v>
      </x:c>
      <x:c r="O13" s="216" t="n">
        <x:f>MAXIFS('04_Cost_Risk_Model'!$AG$6:$AG$29,'04_Cost_Risk_Model'!$A$6:$A$29,A13)</x:f>
        <x:v>30.12786879022178</x:v>
      </x:c>
      <x:c r="P13" s="49"/>
      <x:c r="Q13" s="49"/>
      <x:c r="R13" s="49"/>
      <x:c r="S13" s="49"/>
      <x:c r="T13" s="49"/>
      <x:c r="U13" s="49"/>
      <x:c r="V13" s="49"/>
      <x:c r="W13" s="49"/>
      <x:c r="X13" s="49"/>
      <x:c r="Y13" s="49"/>
      <x:c r="Z13" s="49"/>
      <x:c r="AA13" s="49"/>
      <x:c r="AB13" s="49"/>
      <x:c r="AC13" s="49"/>
      <x:c r="AD13" s="49"/>
      <x:c r="AE13" s="49"/>
      <x:c r="AF13" s="49"/>
      <x:c r="AG13" s="49"/>
      <x:c r="AH13" s="49"/>
      <x:c r="AI13" s="49"/>
      <x:c r="AJ13" s="49"/>
      <x:c r="AK13" s="49"/>
      <x:c r="AL13" s="49"/>
      <x:c r="AM13" s="49"/>
      <x:c r="AN13" s="49"/>
      <x:c r="AO13" s="49"/>
      <x:c r="AP13" s="49"/>
      <x:c r="AQ13" s="49"/>
      <x:c r="AR13" s="49"/>
      <x:c r="AS13" s="49"/>
      <x:c r="AT13" s="49"/>
      <x:c r="AU13" s="49"/>
      <x:c r="AV13" s="49"/>
      <x:c r="AW13" s="49"/>
      <x:c r="AX13" s="49"/>
      <x:c r="AY13" s="49"/>
      <x:c r="AZ13" s="49"/>
    </x:row>
    <x:row r="14">
      <x:c r="A14" s="49"/>
      <x:c r="B14" s="49"/>
      <x:c r="C14" s="49"/>
      <x:c r="D14" s="49"/>
      <x:c r="E14" s="49"/>
      <x:c r="F14" s="49"/>
      <x:c r="G14" s="49"/>
      <x:c r="H14" s="49"/>
      <x:c r="I14" s="49"/>
      <x:c r="J14" s="49"/>
      <x:c r="K14" s="49"/>
      <x:c r="L14" s="49"/>
      <x:c r="M14" s="49"/>
      <x:c r="N14" s="49"/>
      <x:c r="O14" s="49"/>
      <x:c r="P14" s="49"/>
      <x:c r="Q14" s="49"/>
      <x:c r="R14" s="49"/>
      <x:c r="S14" s="49"/>
      <x:c r="T14" s="49"/>
      <x:c r="U14" s="49"/>
      <x:c r="V14" s="49"/>
      <x:c r="W14" s="49"/>
      <x:c r="X14" s="49"/>
      <x:c r="Y14" s="49"/>
      <x:c r="Z14" s="49"/>
      <x:c r="AA14" s="49"/>
      <x:c r="AB14" s="49"/>
      <x:c r="AC14" s="49"/>
      <x:c r="AD14" s="49"/>
      <x:c r="AE14" s="49"/>
      <x:c r="AF14" s="49"/>
      <x:c r="AG14" s="49"/>
      <x:c r="AH14" s="49"/>
      <x:c r="AI14" s="49"/>
      <x:c r="AJ14" s="49"/>
      <x:c r="AK14" s="49"/>
      <x:c r="AL14" s="49"/>
      <x:c r="AM14" s="49"/>
      <x:c r="AN14" s="49"/>
      <x:c r="AO14" s="49"/>
      <x:c r="AP14" s="49"/>
      <x:c r="AQ14" s="49"/>
      <x:c r="AR14" s="49"/>
      <x:c r="AS14" s="49"/>
      <x:c r="AT14" s="49"/>
      <x:c r="AU14" s="49"/>
      <x:c r="AV14" s="49"/>
      <x:c r="AW14" s="49"/>
      <x:c r="AX14" s="49"/>
      <x:c r="AY14" s="49"/>
      <x:c r="AZ14" s="49"/>
    </x:row>
    <x:row r="15">
      <x:c r="A15" s="49"/>
      <x:c r="B15" s="49"/>
      <x:c r="C15" s="49"/>
      <x:c r="D15" s="49"/>
      <x:c r="E15" s="49"/>
      <x:c r="F15" s="49"/>
      <x:c r="G15" s="49"/>
      <x:c r="H15" s="49"/>
      <x:c r="I15" s="49"/>
      <x:c r="J15" s="49"/>
      <x:c r="K15" s="49"/>
      <x:c r="L15" s="49"/>
      <x:c r="M15" s="49"/>
      <x:c r="N15" s="49"/>
      <x:c r="O15" s="49"/>
      <x:c r="P15" s="49"/>
      <x:c r="Q15" s="49"/>
      <x:c r="R15" s="49"/>
      <x:c r="S15" s="49"/>
      <x:c r="T15" s="49"/>
      <x:c r="U15" s="49"/>
      <x:c r="V15" s="49"/>
      <x:c r="W15" s="49"/>
      <x:c r="X15" s="49"/>
      <x:c r="Y15" s="49"/>
      <x:c r="Z15" s="49"/>
      <x:c r="AA15" s="49"/>
      <x:c r="AB15" s="49"/>
      <x:c r="AC15" s="49"/>
      <x:c r="AD15" s="49"/>
      <x:c r="AE15" s="49"/>
      <x:c r="AF15" s="49"/>
      <x:c r="AG15" s="49"/>
      <x:c r="AH15" s="49"/>
      <x:c r="AI15" s="49"/>
      <x:c r="AJ15" s="49"/>
      <x:c r="AK15" s="49"/>
      <x:c r="AL15" s="49"/>
      <x:c r="AM15" s="49"/>
      <x:c r="AN15" s="49"/>
      <x:c r="AO15" s="49"/>
      <x:c r="AP15" s="49"/>
      <x:c r="AQ15" s="49"/>
      <x:c r="AR15" s="49"/>
      <x:c r="AS15" s="49"/>
      <x:c r="AT15" s="49"/>
      <x:c r="AU15" s="49"/>
      <x:c r="AV15" s="49"/>
      <x:c r="AW15" s="49"/>
      <x:c r="AX15" s="49"/>
      <x:c r="AY15" s="49"/>
      <x:c r="AZ15" s="49"/>
    </x:row>
    <x:row r="16">
      <x:c r="A16" s="49"/>
      <x:c r="B16" s="49"/>
      <x:c r="C16" s="49"/>
      <x:c r="D16" s="49"/>
      <x:c r="E16" s="49"/>
      <x:c r="F16" s="49"/>
      <x:c r="G16" s="49"/>
      <x:c r="H16" s="49"/>
      <x:c r="I16" s="49"/>
      <x:c r="J16" s="49"/>
      <x:c r="K16" s="49"/>
      <x:c r="L16" s="49"/>
      <x:c r="M16" s="49"/>
      <x:c r="N16" s="49"/>
      <x:c r="O16" s="49"/>
      <x:c r="P16" s="49"/>
      <x:c r="Q16" s="49"/>
      <x:c r="R16" s="49"/>
      <x:c r="S16" s="49"/>
      <x:c r="T16" s="49"/>
      <x:c r="U16" s="49"/>
      <x:c r="V16" s="49"/>
      <x:c r="W16" s="49"/>
      <x:c r="X16" s="49"/>
      <x:c r="Y16" s="49"/>
      <x:c r="Z16" s="49"/>
      <x:c r="AA16" s="49"/>
      <x:c r="AB16" s="49"/>
      <x:c r="AC16" s="49"/>
      <x:c r="AD16" s="49"/>
      <x:c r="AE16" s="49"/>
      <x:c r="AF16" s="49"/>
      <x:c r="AG16" s="49"/>
      <x:c r="AH16" s="49"/>
      <x:c r="AI16" s="49"/>
      <x:c r="AJ16" s="49"/>
      <x:c r="AK16" s="49"/>
      <x:c r="AL16" s="49"/>
      <x:c r="AM16" s="49"/>
      <x:c r="AN16" s="49"/>
      <x:c r="AO16" s="49"/>
      <x:c r="AP16" s="49"/>
      <x:c r="AQ16" s="49"/>
      <x:c r="AR16" s="49"/>
      <x:c r="AS16" s="49"/>
      <x:c r="AT16" s="49"/>
      <x:c r="AU16" s="49"/>
      <x:c r="AV16" s="49"/>
      <x:c r="AW16" s="49"/>
      <x:c r="AX16" s="49"/>
      <x:c r="AY16" s="49"/>
      <x:c r="AZ16" s="49"/>
    </x:row>
    <x:row r="17">
      <x:c r="A17" s="49"/>
      <x:c r="B17" s="49"/>
      <x:c r="C17" s="49"/>
      <x:c r="D17" s="49"/>
      <x:c r="E17" s="49"/>
      <x:c r="F17" s="49"/>
      <x:c r="G17" s="49"/>
      <x:c r="H17" s="49"/>
      <x:c r="I17" s="49"/>
      <x:c r="J17" s="49"/>
      <x:c r="K17" s="49"/>
      <x:c r="L17" s="49"/>
      <x:c r="M17" s="49"/>
      <x:c r="N17" s="49"/>
      <x:c r="O17" s="49"/>
      <x:c r="P17" s="49"/>
      <x:c r="Q17" s="49"/>
      <x:c r="R17" s="49"/>
      <x:c r="S17" s="49"/>
      <x:c r="T17" s="49"/>
      <x:c r="U17" s="49"/>
      <x:c r="V17" s="49"/>
      <x:c r="W17" s="49"/>
      <x:c r="X17" s="49"/>
      <x:c r="Y17" s="49"/>
      <x:c r="Z17" s="49"/>
      <x:c r="AA17" s="49"/>
      <x:c r="AB17" s="49"/>
      <x:c r="AC17" s="49"/>
      <x:c r="AD17" s="49"/>
      <x:c r="AE17" s="49"/>
      <x:c r="AF17" s="49"/>
      <x:c r="AG17" s="49"/>
      <x:c r="AH17" s="49"/>
      <x:c r="AI17" s="49"/>
      <x:c r="AJ17" s="49"/>
      <x:c r="AK17" s="49"/>
      <x:c r="AL17" s="49"/>
      <x:c r="AM17" s="49"/>
      <x:c r="AN17" s="49"/>
      <x:c r="AO17" s="49"/>
      <x:c r="AP17" s="49"/>
      <x:c r="AQ17" s="49"/>
      <x:c r="AR17" s="49"/>
      <x:c r="AS17" s="49"/>
      <x:c r="AT17" s="49"/>
      <x:c r="AU17" s="49"/>
      <x:c r="AV17" s="49"/>
      <x:c r="AW17" s="49"/>
      <x:c r="AX17" s="49"/>
      <x:c r="AY17" s="49"/>
      <x:c r="AZ17" s="49"/>
    </x:row>
    <x:row r="18">
      <x:c r="A18" s="49"/>
      <x:c r="B18" s="49"/>
      <x:c r="C18" s="49"/>
      <x:c r="D18" s="49"/>
      <x:c r="E18" s="49"/>
      <x:c r="F18" s="49"/>
      <x:c r="G18" s="49"/>
      <x:c r="H18" s="49"/>
      <x:c r="I18" s="49"/>
      <x:c r="J18" s="49"/>
      <x:c r="K18" s="49"/>
      <x:c r="L18" s="49"/>
      <x:c r="M18" s="49"/>
      <x:c r="N18" s="49"/>
      <x:c r="O18" s="49"/>
      <x:c r="P18" s="49"/>
      <x:c r="Q18" s="49"/>
      <x:c r="R18" s="49"/>
      <x:c r="S18" s="49"/>
      <x:c r="T18" s="49"/>
      <x:c r="U18" s="49"/>
      <x:c r="V18" s="49"/>
      <x:c r="W18" s="49"/>
      <x:c r="X18" s="49"/>
      <x:c r="Y18" s="49"/>
      <x:c r="Z18" s="49"/>
      <x:c r="AA18" s="49"/>
      <x:c r="AB18" s="49"/>
      <x:c r="AC18" s="49"/>
      <x:c r="AD18" s="49"/>
      <x:c r="AE18" s="49"/>
      <x:c r="AF18" s="49"/>
      <x:c r="AG18" s="49"/>
      <x:c r="AH18" s="49"/>
      <x:c r="AI18" s="49"/>
      <x:c r="AJ18" s="49"/>
      <x:c r="AK18" s="49"/>
      <x:c r="AL18" s="49"/>
      <x:c r="AM18" s="49"/>
      <x:c r="AN18" s="49"/>
      <x:c r="AO18" s="49"/>
      <x:c r="AP18" s="49"/>
      <x:c r="AQ18" s="49"/>
      <x:c r="AR18" s="49"/>
      <x:c r="AS18" s="49"/>
      <x:c r="AT18" s="49"/>
      <x:c r="AU18" s="49"/>
      <x:c r="AV18" s="49"/>
      <x:c r="AW18" s="49"/>
      <x:c r="AX18" s="49"/>
      <x:c r="AY18" s="49"/>
      <x:c r="AZ18" s="49"/>
    </x:row>
    <x:row r="19">
      <x:c r="A19" s="49"/>
      <x:c r="B19" s="49"/>
      <x:c r="C19" s="49"/>
      <x:c r="D19" s="49"/>
      <x:c r="E19" s="49"/>
      <x:c r="F19" s="49"/>
      <x:c r="G19" s="49"/>
      <x:c r="H19" s="49"/>
      <x:c r="I19" s="49"/>
      <x:c r="J19" s="49"/>
      <x:c r="K19" s="49"/>
      <x:c r="L19" s="49"/>
      <x:c r="M19" s="49"/>
      <x:c r="N19" s="49"/>
      <x:c r="O19" s="49"/>
      <x:c r="P19" s="49"/>
      <x:c r="Q19" s="49"/>
      <x:c r="R19" s="49"/>
      <x:c r="S19" s="49"/>
      <x:c r="T19" s="49"/>
      <x:c r="U19" s="49"/>
      <x:c r="V19" s="49"/>
      <x:c r="W19" s="49"/>
      <x:c r="X19" s="49"/>
      <x:c r="Y19" s="49"/>
      <x:c r="Z19" s="49"/>
      <x:c r="AA19" s="49"/>
      <x:c r="AB19" s="49"/>
      <x:c r="AC19" s="49"/>
      <x:c r="AD19" s="49"/>
      <x:c r="AE19" s="49"/>
      <x:c r="AF19" s="49"/>
      <x:c r="AG19" s="49"/>
      <x:c r="AH19" s="49"/>
      <x:c r="AI19" s="49"/>
      <x:c r="AJ19" s="49"/>
      <x:c r="AK19" s="49"/>
      <x:c r="AL19" s="49"/>
      <x:c r="AM19" s="49"/>
      <x:c r="AN19" s="49"/>
      <x:c r="AO19" s="49"/>
      <x:c r="AP19" s="49"/>
      <x:c r="AQ19" s="49"/>
      <x:c r="AR19" s="49"/>
      <x:c r="AS19" s="49"/>
      <x:c r="AT19" s="49"/>
      <x:c r="AU19" s="49"/>
      <x:c r="AV19" s="49"/>
      <x:c r="AW19" s="49"/>
      <x:c r="AX19" s="49"/>
      <x:c r="AY19" s="49"/>
      <x:c r="AZ19" s="49"/>
    </x:row>
    <x:row r="20">
      <x:c r="A20" s="49"/>
      <x:c r="B20" s="49"/>
      <x:c r="C20" s="49"/>
      <x:c r="D20" s="49"/>
      <x:c r="E20" s="49"/>
      <x:c r="F20" s="49"/>
      <x:c r="G20" s="49"/>
      <x:c r="H20" s="49"/>
      <x:c r="I20" s="49"/>
      <x:c r="J20" s="49"/>
      <x:c r="K20" s="49"/>
      <x:c r="L20" s="49"/>
      <x:c r="M20" s="49"/>
      <x:c r="N20" s="49"/>
      <x:c r="O20" s="49"/>
      <x:c r="P20" s="49"/>
      <x:c r="Q20" s="49"/>
      <x:c r="R20" s="49"/>
      <x:c r="S20" s="49"/>
      <x:c r="T20" s="49"/>
      <x:c r="U20" s="49"/>
      <x:c r="V20" s="49"/>
      <x:c r="W20" s="49"/>
      <x:c r="X20" s="49"/>
      <x:c r="Y20" s="49"/>
      <x:c r="Z20" s="49"/>
      <x:c r="AA20" s="49"/>
      <x:c r="AB20" s="49"/>
      <x:c r="AC20" s="49"/>
      <x:c r="AD20" s="49"/>
      <x:c r="AE20" s="49"/>
      <x:c r="AF20" s="49"/>
      <x:c r="AG20" s="49"/>
      <x:c r="AH20" s="49"/>
      <x:c r="AI20" s="49"/>
      <x:c r="AJ20" s="49"/>
      <x:c r="AK20" s="49"/>
      <x:c r="AL20" s="49"/>
      <x:c r="AM20" s="49"/>
      <x:c r="AN20" s="49"/>
      <x:c r="AO20" s="49"/>
      <x:c r="AP20" s="49"/>
      <x:c r="AQ20" s="49"/>
      <x:c r="AR20" s="49"/>
      <x:c r="AS20" s="49"/>
      <x:c r="AT20" s="49"/>
      <x:c r="AU20" s="49"/>
      <x:c r="AV20" s="49"/>
      <x:c r="AW20" s="49"/>
      <x:c r="AX20" s="49"/>
      <x:c r="AY20" s="49"/>
      <x:c r="AZ20" s="49"/>
    </x:row>
    <x:row r="21">
      <x:c r="A21" s="49"/>
      <x:c r="B21" s="49"/>
      <x:c r="C21" s="49"/>
      <x:c r="D21" s="49"/>
      <x:c r="E21" s="49"/>
      <x:c r="F21" s="49"/>
      <x:c r="G21" s="49"/>
      <x:c r="H21" s="49"/>
      <x:c r="I21" s="49"/>
      <x:c r="J21" s="49"/>
      <x:c r="K21" s="49"/>
      <x:c r="L21" s="49"/>
      <x:c r="M21" s="49"/>
      <x:c r="N21" s="49"/>
      <x:c r="O21" s="49"/>
      <x:c r="P21" s="49"/>
      <x:c r="Q21" s="49"/>
      <x:c r="R21" s="49"/>
      <x:c r="S21" s="49"/>
      <x:c r="T21" s="49"/>
      <x:c r="U21" s="49"/>
      <x:c r="V21" s="49"/>
      <x:c r="W21" s="49"/>
      <x:c r="X21" s="49"/>
      <x:c r="Y21" s="49"/>
      <x:c r="Z21" s="49"/>
      <x:c r="AA21" s="49"/>
      <x:c r="AB21" s="49"/>
      <x:c r="AC21" s="49"/>
      <x:c r="AD21" s="49"/>
      <x:c r="AE21" s="49"/>
      <x:c r="AF21" s="49"/>
      <x:c r="AG21" s="49"/>
      <x:c r="AH21" s="49"/>
      <x:c r="AI21" s="49"/>
      <x:c r="AJ21" s="49"/>
      <x:c r="AK21" s="49"/>
      <x:c r="AL21" s="49"/>
      <x:c r="AM21" s="49"/>
      <x:c r="AN21" s="49"/>
      <x:c r="AO21" s="49"/>
      <x:c r="AP21" s="49"/>
      <x:c r="AQ21" s="49"/>
      <x:c r="AR21" s="49"/>
      <x:c r="AS21" s="49"/>
      <x:c r="AT21" s="49"/>
      <x:c r="AU21" s="49"/>
      <x:c r="AV21" s="49"/>
      <x:c r="AW21" s="49"/>
      <x:c r="AX21" s="49"/>
      <x:c r="AY21" s="49"/>
      <x:c r="AZ21" s="49"/>
    </x:row>
    <x:row r="22">
      <x:c r="A22" s="49"/>
      <x:c r="B22" s="49"/>
      <x:c r="C22" s="49"/>
      <x:c r="D22" s="49"/>
      <x:c r="E22" s="49"/>
      <x:c r="F22" s="49"/>
      <x:c r="G22" s="49"/>
      <x:c r="H22" s="49"/>
      <x:c r="I22" s="49"/>
      <x:c r="J22" s="49"/>
      <x:c r="K22" s="49"/>
      <x:c r="L22" s="49"/>
      <x:c r="M22" s="49"/>
      <x:c r="N22" s="49"/>
      <x:c r="O22" s="49"/>
      <x:c r="P22" s="49"/>
      <x:c r="Q22" s="49"/>
      <x:c r="R22" s="49"/>
      <x:c r="S22" s="49"/>
      <x:c r="T22" s="49"/>
      <x:c r="U22" s="49"/>
      <x:c r="V22" s="49"/>
      <x:c r="W22" s="49"/>
      <x:c r="X22" s="49"/>
      <x:c r="Y22" s="49"/>
      <x:c r="Z22" s="49"/>
      <x:c r="AA22" s="49"/>
      <x:c r="AB22" s="49"/>
      <x:c r="AC22" s="49"/>
      <x:c r="AD22" s="49"/>
      <x:c r="AE22" s="49"/>
      <x:c r="AF22" s="49"/>
      <x:c r="AG22" s="49"/>
      <x:c r="AH22" s="49"/>
      <x:c r="AI22" s="49"/>
      <x:c r="AJ22" s="49"/>
      <x:c r="AK22" s="49"/>
      <x:c r="AL22" s="49"/>
      <x:c r="AM22" s="49"/>
      <x:c r="AN22" s="49"/>
      <x:c r="AO22" s="49"/>
      <x:c r="AP22" s="49"/>
      <x:c r="AQ22" s="49"/>
      <x:c r="AR22" s="49"/>
      <x:c r="AS22" s="49"/>
      <x:c r="AT22" s="49"/>
      <x:c r="AU22" s="49"/>
      <x:c r="AV22" s="49"/>
      <x:c r="AW22" s="49"/>
      <x:c r="AX22" s="49"/>
      <x:c r="AY22" s="49"/>
      <x:c r="AZ22" s="49"/>
    </x:row>
    <x:row r="23">
      <x:c r="A23" s="49"/>
      <x:c r="B23" s="49"/>
      <x:c r="C23" s="49"/>
      <x:c r="D23" s="49"/>
      <x:c r="E23" s="49"/>
      <x:c r="F23" s="49"/>
      <x:c r="G23" s="49"/>
      <x:c r="H23" s="49"/>
      <x:c r="I23" s="49"/>
      <x:c r="J23" s="49"/>
      <x:c r="K23" s="49"/>
      <x:c r="L23" s="49"/>
      <x:c r="M23" s="49"/>
      <x:c r="N23" s="49"/>
      <x:c r="O23" s="49"/>
      <x:c r="P23" s="49"/>
      <x:c r="Q23" s="49"/>
      <x:c r="R23" s="49"/>
      <x:c r="S23" s="49"/>
      <x:c r="T23" s="49"/>
      <x:c r="U23" s="49"/>
      <x:c r="V23" s="49"/>
      <x:c r="W23" s="49"/>
      <x:c r="X23" s="49"/>
      <x:c r="Y23" s="49"/>
      <x:c r="Z23" s="49"/>
      <x:c r="AA23" s="49"/>
      <x:c r="AB23" s="49"/>
      <x:c r="AC23" s="49"/>
      <x:c r="AD23" s="49"/>
      <x:c r="AE23" s="49"/>
      <x:c r="AF23" s="49"/>
      <x:c r="AG23" s="49"/>
      <x:c r="AH23" s="49"/>
      <x:c r="AI23" s="49"/>
      <x:c r="AJ23" s="49"/>
      <x:c r="AK23" s="49"/>
      <x:c r="AL23" s="49"/>
      <x:c r="AM23" s="49"/>
      <x:c r="AN23" s="49"/>
      <x:c r="AO23" s="49"/>
      <x:c r="AP23" s="49"/>
      <x:c r="AQ23" s="49"/>
      <x:c r="AR23" s="49"/>
      <x:c r="AS23" s="49"/>
      <x:c r="AT23" s="49"/>
      <x:c r="AU23" s="49"/>
      <x:c r="AV23" s="49"/>
      <x:c r="AW23" s="49"/>
      <x:c r="AX23" s="49"/>
      <x:c r="AY23" s="49"/>
      <x:c r="AZ23" s="49"/>
    </x:row>
    <x:row r="24">
      <x:c r="A24" s="49"/>
      <x:c r="B24" s="49"/>
      <x:c r="C24" s="49"/>
      <x:c r="D24" s="49"/>
      <x:c r="E24" s="49"/>
      <x:c r="F24" s="49"/>
      <x:c r="G24" s="49"/>
      <x:c r="H24" s="49"/>
      <x:c r="I24" s="49"/>
      <x:c r="J24" s="49"/>
      <x:c r="K24" s="49"/>
      <x:c r="L24" s="49"/>
      <x:c r="M24" s="49"/>
      <x:c r="N24" s="49"/>
      <x:c r="O24" s="49"/>
      <x:c r="P24" s="49"/>
      <x:c r="Q24" s="49"/>
      <x:c r="R24" s="49"/>
      <x:c r="S24" s="49"/>
      <x:c r="T24" s="49"/>
      <x:c r="U24" s="49"/>
      <x:c r="V24" s="49"/>
      <x:c r="W24" s="49"/>
      <x:c r="X24" s="49"/>
      <x:c r="Y24" s="49"/>
      <x:c r="Z24" s="49"/>
      <x:c r="AA24" s="49"/>
      <x:c r="AB24" s="49"/>
      <x:c r="AC24" s="49"/>
      <x:c r="AD24" s="49"/>
      <x:c r="AE24" s="49"/>
      <x:c r="AF24" s="49"/>
      <x:c r="AG24" s="49"/>
      <x:c r="AH24" s="49"/>
      <x:c r="AI24" s="49"/>
      <x:c r="AJ24" s="49"/>
      <x:c r="AK24" s="49"/>
      <x:c r="AL24" s="49"/>
      <x:c r="AM24" s="49"/>
      <x:c r="AN24" s="49"/>
      <x:c r="AO24" s="49"/>
      <x:c r="AP24" s="49"/>
      <x:c r="AQ24" s="49"/>
      <x:c r="AR24" s="49"/>
      <x:c r="AS24" s="49"/>
      <x:c r="AT24" s="49"/>
      <x:c r="AU24" s="49"/>
      <x:c r="AV24" s="49"/>
      <x:c r="AW24" s="49"/>
      <x:c r="AX24" s="49"/>
      <x:c r="AY24" s="49"/>
      <x:c r="AZ24" s="49"/>
    </x:row>
    <x:row r="25">
      <x:c r="A25" s="49"/>
      <x:c r="B25" s="49"/>
      <x:c r="C25" s="49"/>
      <x:c r="D25" s="49"/>
      <x:c r="E25" s="49"/>
      <x:c r="F25" s="49"/>
      <x:c r="G25" s="49"/>
      <x:c r="H25" s="49"/>
      <x:c r="I25" s="49"/>
      <x:c r="J25" s="49"/>
      <x:c r="K25" s="49"/>
      <x:c r="L25" s="49"/>
      <x:c r="M25" s="49"/>
      <x:c r="N25" s="49"/>
      <x:c r="O25" s="49"/>
      <x:c r="P25" s="49"/>
      <x:c r="Q25" s="49"/>
      <x:c r="R25" s="49"/>
      <x:c r="S25" s="49"/>
      <x:c r="T25" s="49"/>
      <x:c r="U25" s="49"/>
      <x:c r="V25" s="49"/>
      <x:c r="W25" s="49"/>
      <x:c r="X25" s="49"/>
      <x:c r="Y25" s="49"/>
      <x:c r="Z25" s="49"/>
      <x:c r="AA25" s="49"/>
      <x:c r="AB25" s="49"/>
      <x:c r="AC25" s="49"/>
      <x:c r="AD25" s="49"/>
      <x:c r="AE25" s="49"/>
      <x:c r="AF25" s="49"/>
      <x:c r="AG25" s="49"/>
      <x:c r="AH25" s="49"/>
      <x:c r="AI25" s="49"/>
      <x:c r="AJ25" s="49"/>
      <x:c r="AK25" s="49"/>
      <x:c r="AL25" s="49"/>
      <x:c r="AM25" s="49"/>
      <x:c r="AN25" s="49"/>
      <x:c r="AO25" s="49"/>
      <x:c r="AP25" s="49"/>
      <x:c r="AQ25" s="49"/>
      <x:c r="AR25" s="49"/>
      <x:c r="AS25" s="49"/>
      <x:c r="AT25" s="49"/>
      <x:c r="AU25" s="49"/>
      <x:c r="AV25" s="49"/>
      <x:c r="AW25" s="49"/>
      <x:c r="AX25" s="49"/>
      <x:c r="AY25" s="49"/>
      <x:c r="AZ25" s="49"/>
    </x:row>
    <x:row r="26">
      <x:c r="A26" s="49"/>
      <x:c r="B26" s="49"/>
      <x:c r="C26" s="49"/>
      <x:c r="D26" s="49"/>
      <x:c r="E26" s="49"/>
      <x:c r="F26" s="49"/>
      <x:c r="G26" s="49"/>
      <x:c r="H26" s="49"/>
      <x:c r="I26" s="49"/>
      <x:c r="J26" s="49"/>
      <x:c r="K26" s="49"/>
      <x:c r="L26" s="49"/>
      <x:c r="M26" s="49"/>
      <x:c r="N26" s="49"/>
      <x:c r="O26" s="49"/>
      <x:c r="P26" s="49"/>
      <x:c r="Q26" s="49"/>
      <x:c r="R26" s="49"/>
      <x:c r="S26" s="49"/>
      <x:c r="T26" s="49"/>
      <x:c r="U26" s="49"/>
      <x:c r="V26" s="49"/>
      <x:c r="W26" s="49"/>
      <x:c r="X26" s="49"/>
      <x:c r="Y26" s="49"/>
      <x:c r="Z26" s="49"/>
      <x:c r="AA26" s="49"/>
      <x:c r="AB26" s="49"/>
      <x:c r="AC26" s="49"/>
      <x:c r="AD26" s="49"/>
      <x:c r="AE26" s="49"/>
      <x:c r="AF26" s="49"/>
      <x:c r="AG26" s="49"/>
      <x:c r="AH26" s="49"/>
      <x:c r="AI26" s="49"/>
      <x:c r="AJ26" s="49"/>
      <x:c r="AK26" s="49"/>
      <x:c r="AL26" s="49"/>
      <x:c r="AM26" s="49"/>
      <x:c r="AN26" s="49"/>
      <x:c r="AO26" s="49"/>
      <x:c r="AP26" s="49"/>
      <x:c r="AQ26" s="49"/>
      <x:c r="AR26" s="49"/>
      <x:c r="AS26" s="49"/>
      <x:c r="AT26" s="49"/>
      <x:c r="AU26" s="49"/>
      <x:c r="AV26" s="49"/>
      <x:c r="AW26" s="49"/>
      <x:c r="AX26" s="49"/>
      <x:c r="AY26" s="49"/>
      <x:c r="AZ26" s="49"/>
    </x:row>
    <x:row r="27">
      <x:c r="A27" s="49"/>
      <x:c r="B27" s="49"/>
      <x:c r="C27" s="49"/>
      <x:c r="D27" s="49"/>
      <x:c r="E27" s="49"/>
      <x:c r="F27" s="49"/>
      <x:c r="G27" s="49"/>
      <x:c r="H27" s="49"/>
      <x:c r="I27" s="49"/>
      <x:c r="J27" s="49"/>
      <x:c r="K27" s="49"/>
      <x:c r="L27" s="49"/>
      <x:c r="M27" s="49"/>
      <x:c r="N27" s="49"/>
      <x:c r="O27" s="49"/>
      <x:c r="P27" s="49"/>
      <x:c r="Q27" s="49"/>
      <x:c r="R27" s="49"/>
      <x:c r="S27" s="49"/>
      <x:c r="T27" s="49"/>
      <x:c r="U27" s="49"/>
      <x:c r="V27" s="49"/>
      <x:c r="W27" s="49"/>
      <x:c r="X27" s="49"/>
      <x:c r="Y27" s="49"/>
      <x:c r="Z27" s="49"/>
      <x:c r="AA27" s="49"/>
      <x:c r="AB27" s="49"/>
      <x:c r="AC27" s="49"/>
      <x:c r="AD27" s="49"/>
      <x:c r="AE27" s="49"/>
      <x:c r="AF27" s="49"/>
      <x:c r="AG27" s="49"/>
      <x:c r="AH27" s="49"/>
      <x:c r="AI27" s="49"/>
      <x:c r="AJ27" s="49"/>
      <x:c r="AK27" s="49"/>
      <x:c r="AL27" s="49"/>
      <x:c r="AM27" s="49"/>
      <x:c r="AN27" s="49"/>
      <x:c r="AO27" s="49"/>
      <x:c r="AP27" s="49"/>
      <x:c r="AQ27" s="49"/>
      <x:c r="AR27" s="49"/>
      <x:c r="AS27" s="49"/>
      <x:c r="AT27" s="49"/>
      <x:c r="AU27" s="49"/>
      <x:c r="AV27" s="49"/>
      <x:c r="AW27" s="49"/>
      <x:c r="AX27" s="49"/>
      <x:c r="AY27" s="49"/>
      <x:c r="AZ27" s="49"/>
    </x:row>
    <x:row r="28">
      <x:c r="A28" s="49"/>
      <x:c r="B28" s="49"/>
      <x:c r="C28" s="49"/>
      <x:c r="D28" s="49"/>
      <x:c r="E28" s="49"/>
      <x:c r="F28" s="49"/>
      <x:c r="G28" s="49"/>
      <x:c r="H28" s="49"/>
      <x:c r="I28" s="49"/>
      <x:c r="J28" s="49"/>
      <x:c r="K28" s="49"/>
      <x:c r="L28" s="49"/>
      <x:c r="M28" s="49"/>
      <x:c r="N28" s="49"/>
      <x:c r="O28" s="49"/>
      <x:c r="P28" s="49"/>
      <x:c r="Q28" s="49"/>
      <x:c r="R28" s="49"/>
      <x:c r="S28" s="49"/>
      <x:c r="T28" s="49"/>
      <x:c r="U28" s="49"/>
      <x:c r="V28" s="49"/>
      <x:c r="W28" s="49"/>
      <x:c r="X28" s="49"/>
      <x:c r="Y28" s="49"/>
      <x:c r="Z28" s="49"/>
      <x:c r="AA28" s="49"/>
      <x:c r="AB28" s="49"/>
      <x:c r="AC28" s="49"/>
      <x:c r="AD28" s="49"/>
      <x:c r="AE28" s="49"/>
      <x:c r="AF28" s="49"/>
      <x:c r="AG28" s="49"/>
      <x:c r="AH28" s="49"/>
      <x:c r="AI28" s="49"/>
      <x:c r="AJ28" s="49"/>
      <x:c r="AK28" s="49"/>
      <x:c r="AL28" s="49"/>
      <x:c r="AM28" s="49"/>
      <x:c r="AN28" s="49"/>
      <x:c r="AO28" s="49"/>
      <x:c r="AP28" s="49"/>
      <x:c r="AQ28" s="49"/>
      <x:c r="AR28" s="49"/>
      <x:c r="AS28" s="49"/>
      <x:c r="AT28" s="49"/>
      <x:c r="AU28" s="49"/>
      <x:c r="AV28" s="49"/>
      <x:c r="AW28" s="49"/>
      <x:c r="AX28" s="49"/>
      <x:c r="AY28" s="49"/>
      <x:c r="AZ28" s="49"/>
    </x:row>
    <x:row r="29">
      <x:c r="A29" s="49"/>
      <x:c r="B29" s="49"/>
      <x:c r="C29" s="49"/>
      <x:c r="D29" s="49"/>
      <x:c r="E29" s="49"/>
      <x:c r="F29" s="49"/>
      <x:c r="G29" s="49"/>
      <x:c r="H29" s="49"/>
      <x:c r="I29" s="49"/>
      <x:c r="J29" s="49"/>
      <x:c r="K29" s="49"/>
      <x:c r="L29" s="49"/>
      <x:c r="M29" s="49"/>
      <x:c r="N29" s="49"/>
      <x:c r="O29" s="49"/>
      <x:c r="P29" s="49"/>
      <x:c r="Q29" s="49"/>
      <x:c r="R29" s="49"/>
      <x:c r="S29" s="49"/>
      <x:c r="T29" s="49"/>
      <x:c r="U29" s="49"/>
      <x:c r="V29" s="49"/>
      <x:c r="W29" s="49"/>
      <x:c r="X29" s="49"/>
      <x:c r="Y29" s="49"/>
      <x:c r="Z29" s="49"/>
      <x:c r="AA29" s="49"/>
      <x:c r="AB29" s="49"/>
      <x:c r="AC29" s="49"/>
      <x:c r="AD29" s="49"/>
      <x:c r="AE29" s="49"/>
      <x:c r="AF29" s="49"/>
      <x:c r="AG29" s="49"/>
      <x:c r="AH29" s="49"/>
      <x:c r="AI29" s="49"/>
      <x:c r="AJ29" s="49"/>
      <x:c r="AK29" s="49"/>
      <x:c r="AL29" s="49"/>
      <x:c r="AM29" s="49"/>
      <x:c r="AN29" s="49"/>
      <x:c r="AO29" s="49"/>
      <x:c r="AP29" s="49"/>
      <x:c r="AQ29" s="49"/>
      <x:c r="AR29" s="49"/>
      <x:c r="AS29" s="49"/>
      <x:c r="AT29" s="49"/>
      <x:c r="AU29" s="49"/>
      <x:c r="AV29" s="49"/>
      <x:c r="AW29" s="49"/>
      <x:c r="AX29" s="49"/>
      <x:c r="AY29" s="49"/>
      <x:c r="AZ29" s="49"/>
    </x:row>
    <x:row r="30">
      <x:c r="A30" s="49"/>
      <x:c r="B30" s="49"/>
      <x:c r="C30" s="49"/>
      <x:c r="D30" s="49"/>
      <x:c r="E30" s="49"/>
      <x:c r="F30" s="49"/>
      <x:c r="G30" s="49"/>
      <x:c r="H30" s="49"/>
      <x:c r="I30" s="49"/>
      <x:c r="J30" s="49"/>
      <x:c r="K30" s="49"/>
      <x:c r="L30" s="49"/>
      <x:c r="M30" s="49"/>
      <x:c r="N30" s="49"/>
      <x:c r="O30" s="49"/>
      <x:c r="P30" s="49"/>
      <x:c r="Q30" s="49"/>
      <x:c r="R30" s="49"/>
      <x:c r="S30" s="49"/>
      <x:c r="T30" s="49"/>
      <x:c r="U30" s="49"/>
      <x:c r="V30" s="49"/>
      <x:c r="W30" s="49"/>
      <x:c r="X30" s="49"/>
      <x:c r="Y30" s="49"/>
      <x:c r="Z30" s="49"/>
      <x:c r="AA30" s="49"/>
      <x:c r="AB30" s="49"/>
      <x:c r="AC30" s="49"/>
      <x:c r="AD30" s="49"/>
      <x:c r="AE30" s="49"/>
      <x:c r="AF30" s="49"/>
      <x:c r="AG30" s="49"/>
      <x:c r="AH30" s="49"/>
      <x:c r="AI30" s="49"/>
      <x:c r="AJ30" s="49"/>
      <x:c r="AK30" s="49"/>
      <x:c r="AL30" s="49"/>
      <x:c r="AM30" s="49"/>
      <x:c r="AN30" s="49"/>
      <x:c r="AO30" s="49"/>
      <x:c r="AP30" s="49"/>
      <x:c r="AQ30" s="49"/>
      <x:c r="AR30" s="49"/>
      <x:c r="AS30" s="49"/>
      <x:c r="AT30" s="49"/>
      <x:c r="AU30" s="49"/>
      <x:c r="AV30" s="49"/>
      <x:c r="AW30" s="49"/>
      <x:c r="AX30" s="49"/>
      <x:c r="AY30" s="49"/>
      <x:c r="AZ30" s="49"/>
    </x:row>
    <x:row r="31">
      <x:c r="A31" s="49"/>
      <x:c r="B31" s="49"/>
      <x:c r="C31" s="49"/>
      <x:c r="D31" s="49"/>
      <x:c r="E31" s="49"/>
      <x:c r="F31" s="49"/>
      <x:c r="G31" s="49"/>
      <x:c r="H31" s="49"/>
      <x:c r="I31" s="49"/>
      <x:c r="J31" s="49"/>
      <x:c r="K31" s="49"/>
      <x:c r="L31" s="49"/>
      <x:c r="M31" s="49"/>
      <x:c r="N31" s="49"/>
      <x:c r="O31" s="49"/>
      <x:c r="P31" s="49"/>
      <x:c r="Q31" s="49"/>
      <x:c r="R31" s="49"/>
      <x:c r="S31" s="49"/>
      <x:c r="T31" s="49"/>
      <x:c r="U31" s="49"/>
      <x:c r="V31" s="49"/>
      <x:c r="W31" s="49"/>
      <x:c r="X31" s="49"/>
      <x:c r="Y31" s="49"/>
      <x:c r="Z31" s="49"/>
      <x:c r="AA31" s="49"/>
      <x:c r="AB31" s="49"/>
      <x:c r="AC31" s="49"/>
      <x:c r="AD31" s="49"/>
      <x:c r="AE31" s="49"/>
      <x:c r="AF31" s="49"/>
      <x:c r="AG31" s="49"/>
      <x:c r="AH31" s="49"/>
      <x:c r="AI31" s="49"/>
      <x:c r="AJ31" s="49"/>
      <x:c r="AK31" s="49"/>
      <x:c r="AL31" s="49"/>
      <x:c r="AM31" s="49"/>
      <x:c r="AN31" s="49"/>
      <x:c r="AO31" s="49"/>
      <x:c r="AP31" s="49"/>
      <x:c r="AQ31" s="49"/>
      <x:c r="AR31" s="49"/>
      <x:c r="AS31" s="49"/>
      <x:c r="AT31" s="49"/>
      <x:c r="AU31" s="49"/>
      <x:c r="AV31" s="49"/>
      <x:c r="AW31" s="49"/>
      <x:c r="AX31" s="49"/>
      <x:c r="AY31" s="49"/>
      <x:c r="AZ31" s="49"/>
    </x:row>
    <x:row r="32">
      <x:c r="A32" s="49"/>
      <x:c r="B32" s="49"/>
      <x:c r="C32" s="49"/>
      <x:c r="D32" s="49"/>
      <x:c r="E32" s="49"/>
      <x:c r="F32" s="49"/>
      <x:c r="G32" s="49"/>
      <x:c r="H32" s="49"/>
      <x:c r="I32" s="49"/>
      <x:c r="J32" s="49"/>
      <x:c r="K32" s="49"/>
      <x:c r="L32" s="49"/>
      <x:c r="M32" s="49"/>
      <x:c r="N32" s="49"/>
      <x:c r="O32" s="49"/>
      <x:c r="P32" s="49"/>
      <x:c r="Q32" s="49"/>
      <x:c r="R32" s="49"/>
      <x:c r="S32" s="49"/>
      <x:c r="T32" s="49"/>
      <x:c r="U32" s="49"/>
      <x:c r="V32" s="49"/>
      <x:c r="W32" s="49"/>
      <x:c r="X32" s="49"/>
      <x:c r="Y32" s="49"/>
      <x:c r="Z32" s="49"/>
      <x:c r="AA32" s="49"/>
      <x:c r="AB32" s="49"/>
      <x:c r="AC32" s="49"/>
      <x:c r="AD32" s="49"/>
      <x:c r="AE32" s="49"/>
      <x:c r="AF32" s="49"/>
      <x:c r="AG32" s="49"/>
      <x:c r="AH32" s="49"/>
      <x:c r="AI32" s="49"/>
      <x:c r="AJ32" s="49"/>
      <x:c r="AK32" s="49"/>
      <x:c r="AL32" s="49"/>
      <x:c r="AM32" s="49"/>
      <x:c r="AN32" s="49"/>
      <x:c r="AO32" s="49"/>
      <x:c r="AP32" s="49"/>
      <x:c r="AQ32" s="49"/>
      <x:c r="AR32" s="49"/>
      <x:c r="AS32" s="49"/>
      <x:c r="AT32" s="49"/>
      <x:c r="AU32" s="49"/>
      <x:c r="AV32" s="49"/>
      <x:c r="AW32" s="49"/>
      <x:c r="AX32" s="49"/>
      <x:c r="AY32" s="49"/>
      <x:c r="AZ32" s="49"/>
    </x:row>
    <x:row r="33">
      <x:c r="A33" s="49"/>
      <x:c r="B33" s="49"/>
      <x:c r="C33" s="49"/>
      <x:c r="D33" s="49"/>
      <x:c r="E33" s="49"/>
      <x:c r="F33" s="49"/>
      <x:c r="G33" s="49"/>
      <x:c r="H33" s="49"/>
      <x:c r="I33" s="49"/>
      <x:c r="J33" s="49"/>
      <x:c r="K33" s="49"/>
      <x:c r="L33" s="49"/>
      <x:c r="M33" s="49"/>
      <x:c r="N33" s="49"/>
      <x:c r="O33" s="49"/>
      <x:c r="P33" s="49"/>
      <x:c r="Q33" s="49"/>
      <x:c r="R33" s="49"/>
      <x:c r="S33" s="49"/>
      <x:c r="T33" s="49"/>
      <x:c r="U33" s="49"/>
      <x:c r="V33" s="49"/>
      <x:c r="W33" s="49"/>
      <x:c r="X33" s="49"/>
      <x:c r="Y33" s="49"/>
      <x:c r="Z33" s="49"/>
      <x:c r="AA33" s="49"/>
      <x:c r="AB33" s="49"/>
      <x:c r="AC33" s="49"/>
      <x:c r="AD33" s="49"/>
      <x:c r="AE33" s="49"/>
      <x:c r="AF33" s="49"/>
      <x:c r="AG33" s="49"/>
      <x:c r="AH33" s="49"/>
      <x:c r="AI33" s="49"/>
      <x:c r="AJ33" s="49"/>
      <x:c r="AK33" s="49"/>
      <x:c r="AL33" s="49"/>
      <x:c r="AM33" s="49"/>
      <x:c r="AN33" s="49"/>
      <x:c r="AO33" s="49"/>
      <x:c r="AP33" s="49"/>
      <x:c r="AQ33" s="49"/>
      <x:c r="AR33" s="49"/>
      <x:c r="AS33" s="49"/>
      <x:c r="AT33" s="49"/>
      <x:c r="AU33" s="49"/>
      <x:c r="AV33" s="49"/>
      <x:c r="AW33" s="49"/>
      <x:c r="AX33" s="49"/>
      <x:c r="AY33" s="49"/>
      <x:c r="AZ33" s="49"/>
    </x:row>
    <x:row r="34">
      <x:c r="A34" s="49"/>
      <x:c r="B34" s="49"/>
      <x:c r="C34" s="49"/>
      <x:c r="D34" s="49"/>
      <x:c r="E34" s="49"/>
      <x:c r="F34" s="49"/>
      <x:c r="G34" s="49"/>
      <x:c r="H34" s="49"/>
      <x:c r="I34" s="49"/>
      <x:c r="J34" s="49"/>
      <x:c r="K34" s="49"/>
      <x:c r="L34" s="49"/>
      <x:c r="M34" s="49"/>
      <x:c r="N34" s="49"/>
      <x:c r="O34" s="49"/>
      <x:c r="P34" s="49"/>
      <x:c r="Q34" s="49"/>
      <x:c r="R34" s="49"/>
      <x:c r="S34" s="49"/>
      <x:c r="T34" s="49"/>
      <x:c r="U34" s="49"/>
      <x:c r="V34" s="49"/>
      <x:c r="W34" s="49"/>
      <x:c r="X34" s="49"/>
      <x:c r="Y34" s="49"/>
      <x:c r="Z34" s="49"/>
      <x:c r="AA34" s="49"/>
      <x:c r="AB34" s="49"/>
      <x:c r="AC34" s="49"/>
      <x:c r="AD34" s="49"/>
      <x:c r="AE34" s="49"/>
      <x:c r="AF34" s="49"/>
      <x:c r="AG34" s="49"/>
      <x:c r="AH34" s="49"/>
      <x:c r="AI34" s="49"/>
      <x:c r="AJ34" s="49"/>
      <x:c r="AK34" s="49"/>
      <x:c r="AL34" s="49"/>
      <x:c r="AM34" s="49"/>
      <x:c r="AN34" s="49"/>
      <x:c r="AO34" s="49"/>
      <x:c r="AP34" s="49"/>
      <x:c r="AQ34" s="49"/>
      <x:c r="AR34" s="49"/>
      <x:c r="AS34" s="49"/>
      <x:c r="AT34" s="49"/>
      <x:c r="AU34" s="49"/>
      <x:c r="AV34" s="49"/>
      <x:c r="AW34" s="49"/>
      <x:c r="AX34" s="49"/>
      <x:c r="AY34" s="49"/>
      <x:c r="AZ34" s="49"/>
    </x:row>
    <x:row r="35">
      <x:c r="A35" s="49"/>
      <x:c r="B35" s="49"/>
      <x:c r="C35" s="49"/>
      <x:c r="D35" s="49"/>
      <x:c r="E35" s="49"/>
      <x:c r="F35" s="49"/>
      <x:c r="G35" s="49"/>
      <x:c r="H35" s="49"/>
      <x:c r="I35" s="49"/>
      <x:c r="J35" s="49"/>
      <x:c r="K35" s="49"/>
      <x:c r="L35" s="49"/>
      <x:c r="M35" s="49"/>
      <x:c r="N35" s="49"/>
      <x:c r="O35" s="49"/>
      <x:c r="P35" s="49"/>
      <x:c r="Q35" s="49"/>
      <x:c r="R35" s="49"/>
      <x:c r="S35" s="49"/>
      <x:c r="T35" s="49"/>
      <x:c r="U35" s="49"/>
      <x:c r="V35" s="49"/>
      <x:c r="W35" s="49"/>
      <x:c r="X35" s="49"/>
      <x:c r="Y35" s="49"/>
      <x:c r="Z35" s="49"/>
      <x:c r="AA35" s="49"/>
      <x:c r="AB35" s="49"/>
      <x:c r="AC35" s="49"/>
      <x:c r="AD35" s="49"/>
      <x:c r="AE35" s="49"/>
      <x:c r="AF35" s="49"/>
      <x:c r="AG35" s="49"/>
      <x:c r="AH35" s="49"/>
      <x:c r="AI35" s="49"/>
      <x:c r="AJ35" s="49"/>
      <x:c r="AK35" s="49"/>
      <x:c r="AL35" s="49"/>
      <x:c r="AM35" s="49"/>
      <x:c r="AN35" s="49"/>
      <x:c r="AO35" s="49"/>
      <x:c r="AP35" s="49"/>
      <x:c r="AQ35" s="49"/>
      <x:c r="AR35" s="49"/>
      <x:c r="AS35" s="49"/>
      <x:c r="AT35" s="49"/>
      <x:c r="AU35" s="49"/>
      <x:c r="AV35" s="49"/>
      <x:c r="AW35" s="49"/>
      <x:c r="AX35" s="49"/>
      <x:c r="AY35" s="49"/>
      <x:c r="AZ35" s="49"/>
    </x:row>
    <x:row r="36">
      <x:c r="A36" s="49"/>
      <x:c r="B36" s="49"/>
      <x:c r="C36" s="49"/>
      <x:c r="D36" s="49"/>
      <x:c r="E36" s="49"/>
      <x:c r="F36" s="49"/>
      <x:c r="G36" s="49"/>
      <x:c r="H36" s="49"/>
      <x:c r="I36" s="49"/>
      <x:c r="J36" s="49"/>
      <x:c r="K36" s="49"/>
      <x:c r="L36" s="49"/>
      <x:c r="M36" s="49"/>
      <x:c r="N36" s="49"/>
      <x:c r="O36" s="49"/>
      <x:c r="P36" s="49"/>
      <x:c r="Q36" s="49"/>
      <x:c r="R36" s="49"/>
      <x:c r="S36" s="49"/>
      <x:c r="T36" s="49"/>
      <x:c r="U36" s="49"/>
      <x:c r="V36" s="49"/>
      <x:c r="W36" s="49"/>
      <x:c r="X36" s="49"/>
      <x:c r="Y36" s="49"/>
      <x:c r="Z36" s="49"/>
      <x:c r="AA36" s="49"/>
      <x:c r="AB36" s="49"/>
      <x:c r="AC36" s="49"/>
      <x:c r="AD36" s="49"/>
      <x:c r="AE36" s="49"/>
      <x:c r="AF36" s="49"/>
      <x:c r="AG36" s="49"/>
      <x:c r="AH36" s="49"/>
      <x:c r="AI36" s="49"/>
      <x:c r="AJ36" s="49"/>
      <x:c r="AK36" s="49"/>
      <x:c r="AL36" s="49"/>
      <x:c r="AM36" s="49"/>
      <x:c r="AN36" s="49"/>
      <x:c r="AO36" s="49"/>
      <x:c r="AP36" s="49"/>
      <x:c r="AQ36" s="49"/>
      <x:c r="AR36" s="49"/>
      <x:c r="AS36" s="49"/>
      <x:c r="AT36" s="49"/>
      <x:c r="AU36" s="49"/>
      <x:c r="AV36" s="49"/>
      <x:c r="AW36" s="49"/>
      <x:c r="AX36" s="49"/>
      <x:c r="AY36" s="49"/>
      <x:c r="AZ36" s="49"/>
    </x:row>
    <x:row r="37">
      <x:c r="A37" s="49"/>
      <x:c r="B37" s="49"/>
      <x:c r="C37" s="49"/>
      <x:c r="D37" s="49"/>
      <x:c r="E37" s="49"/>
      <x:c r="F37" s="49"/>
      <x:c r="G37" s="49"/>
      <x:c r="H37" s="49"/>
      <x:c r="I37" s="49"/>
      <x:c r="J37" s="49"/>
      <x:c r="K37" s="49"/>
      <x:c r="L37" s="49"/>
      <x:c r="M37" s="49"/>
      <x:c r="N37" s="49"/>
      <x:c r="O37" s="49"/>
      <x:c r="P37" s="49"/>
      <x:c r="Q37" s="49"/>
      <x:c r="R37" s="49"/>
      <x:c r="S37" s="49"/>
      <x:c r="T37" s="49"/>
      <x:c r="U37" s="49"/>
      <x:c r="V37" s="49"/>
      <x:c r="W37" s="49"/>
      <x:c r="X37" s="49"/>
      <x:c r="Y37" s="49"/>
      <x:c r="Z37" s="49"/>
      <x:c r="AA37" s="49"/>
      <x:c r="AB37" s="49"/>
      <x:c r="AC37" s="49"/>
      <x:c r="AD37" s="49"/>
      <x:c r="AE37" s="49"/>
      <x:c r="AF37" s="49"/>
      <x:c r="AG37" s="49"/>
      <x:c r="AH37" s="49"/>
      <x:c r="AI37" s="49"/>
      <x:c r="AJ37" s="49"/>
      <x:c r="AK37" s="49"/>
      <x:c r="AL37" s="49"/>
      <x:c r="AM37" s="49"/>
      <x:c r="AN37" s="49"/>
      <x:c r="AO37" s="49"/>
      <x:c r="AP37" s="49"/>
      <x:c r="AQ37" s="49"/>
      <x:c r="AR37" s="49"/>
      <x:c r="AS37" s="49"/>
      <x:c r="AT37" s="49"/>
      <x:c r="AU37" s="49"/>
      <x:c r="AV37" s="49"/>
      <x:c r="AW37" s="49"/>
      <x:c r="AX37" s="49"/>
      <x:c r="AY37" s="49"/>
      <x:c r="AZ37" s="49"/>
    </x:row>
    <x:row r="38">
      <x:c r="A38" s="49"/>
      <x:c r="B38" s="49"/>
      <x:c r="C38" s="49"/>
      <x:c r="D38" s="49"/>
      <x:c r="E38" s="49"/>
      <x:c r="F38" s="49"/>
      <x:c r="G38" s="49"/>
      <x:c r="H38" s="49"/>
      <x:c r="I38" s="49"/>
      <x:c r="J38" s="49"/>
      <x:c r="K38" s="49"/>
      <x:c r="L38" s="49"/>
      <x:c r="M38" s="49"/>
      <x:c r="N38" s="49"/>
      <x:c r="O38" s="49"/>
      <x:c r="P38" s="49"/>
      <x:c r="Q38" s="49"/>
      <x:c r="R38" s="49"/>
      <x:c r="S38" s="49"/>
      <x:c r="T38" s="49"/>
      <x:c r="U38" s="49"/>
      <x:c r="V38" s="49"/>
      <x:c r="W38" s="49"/>
      <x:c r="X38" s="49"/>
      <x:c r="Y38" s="49"/>
      <x:c r="Z38" s="49"/>
      <x:c r="AA38" s="49"/>
      <x:c r="AB38" s="49"/>
      <x:c r="AC38" s="49"/>
      <x:c r="AD38" s="49"/>
      <x:c r="AE38" s="49"/>
      <x:c r="AF38" s="49"/>
      <x:c r="AG38" s="49"/>
      <x:c r="AH38" s="49"/>
      <x:c r="AI38" s="49"/>
      <x:c r="AJ38" s="49"/>
      <x:c r="AK38" s="49"/>
      <x:c r="AL38" s="49"/>
      <x:c r="AM38" s="49"/>
      <x:c r="AN38" s="49"/>
      <x:c r="AO38" s="49"/>
      <x:c r="AP38" s="49"/>
      <x:c r="AQ38" s="49"/>
      <x:c r="AR38" s="49"/>
      <x:c r="AS38" s="49"/>
      <x:c r="AT38" s="49"/>
      <x:c r="AU38" s="49"/>
      <x:c r="AV38" s="49"/>
      <x:c r="AW38" s="49"/>
      <x:c r="AX38" s="49"/>
      <x:c r="AY38" s="49"/>
      <x:c r="AZ38" s="49"/>
    </x:row>
    <x:row r="39">
      <x:c r="A39" s="49"/>
      <x:c r="B39" s="49"/>
      <x:c r="C39" s="49"/>
      <x:c r="D39" s="49"/>
      <x:c r="E39" s="49"/>
      <x:c r="F39" s="49"/>
      <x:c r="G39" s="49"/>
      <x:c r="H39" s="49"/>
      <x:c r="I39" s="49"/>
      <x:c r="J39" s="49"/>
      <x:c r="K39" s="49"/>
      <x:c r="L39" s="49"/>
      <x:c r="M39" s="49"/>
      <x:c r="N39" s="49"/>
      <x:c r="O39" s="49"/>
      <x:c r="P39" s="49"/>
      <x:c r="Q39" s="49"/>
      <x:c r="R39" s="49"/>
      <x:c r="S39" s="49"/>
      <x:c r="T39" s="49"/>
      <x:c r="U39" s="49"/>
      <x:c r="V39" s="49"/>
      <x:c r="W39" s="49"/>
      <x:c r="X39" s="49"/>
      <x:c r="Y39" s="49"/>
      <x:c r="Z39" s="49"/>
      <x:c r="AA39" s="49"/>
      <x:c r="AB39" s="49"/>
      <x:c r="AC39" s="49"/>
      <x:c r="AD39" s="49"/>
      <x:c r="AE39" s="49"/>
      <x:c r="AF39" s="49"/>
      <x:c r="AG39" s="49"/>
      <x:c r="AH39" s="49"/>
      <x:c r="AI39" s="49"/>
      <x:c r="AJ39" s="49"/>
      <x:c r="AK39" s="49"/>
      <x:c r="AL39" s="49"/>
      <x:c r="AM39" s="49"/>
      <x:c r="AN39" s="49"/>
      <x:c r="AO39" s="49"/>
      <x:c r="AP39" s="49"/>
      <x:c r="AQ39" s="49"/>
      <x:c r="AR39" s="49"/>
      <x:c r="AS39" s="49"/>
      <x:c r="AT39" s="49"/>
      <x:c r="AU39" s="49"/>
      <x:c r="AV39" s="49"/>
      <x:c r="AW39" s="49"/>
      <x:c r="AX39" s="49"/>
      <x:c r="AY39" s="49"/>
      <x:c r="AZ39" s="49"/>
    </x:row>
    <x:row r="40">
      <x:c r="A40" s="49"/>
      <x:c r="B40" s="49"/>
      <x:c r="C40" s="49"/>
      <x:c r="D40" s="49"/>
      <x:c r="E40" s="49"/>
      <x:c r="F40" s="49"/>
      <x:c r="G40" s="49"/>
      <x:c r="H40" s="49"/>
      <x:c r="I40" s="49"/>
      <x:c r="J40" s="49"/>
      <x:c r="K40" s="49"/>
      <x:c r="L40" s="49"/>
      <x:c r="M40" s="49"/>
      <x:c r="N40" s="49"/>
      <x:c r="O40" s="49"/>
      <x:c r="P40" s="49"/>
      <x:c r="Q40" s="49"/>
      <x:c r="R40" s="49"/>
      <x:c r="S40" s="49"/>
      <x:c r="T40" s="49"/>
      <x:c r="U40" s="49"/>
      <x:c r="V40" s="49"/>
      <x:c r="W40" s="49"/>
      <x:c r="X40" s="49"/>
      <x:c r="Y40" s="49"/>
      <x:c r="Z40" s="49"/>
      <x:c r="AA40" s="49"/>
      <x:c r="AB40" s="49"/>
      <x:c r="AC40" s="49"/>
      <x:c r="AD40" s="49"/>
      <x:c r="AE40" s="49"/>
      <x:c r="AF40" s="49"/>
      <x:c r="AG40" s="49"/>
      <x:c r="AH40" s="49"/>
      <x:c r="AI40" s="49"/>
      <x:c r="AJ40" s="49"/>
      <x:c r="AK40" s="49"/>
      <x:c r="AL40" s="49"/>
      <x:c r="AM40" s="49"/>
      <x:c r="AN40" s="49"/>
      <x:c r="AO40" s="49"/>
      <x:c r="AP40" s="49"/>
      <x:c r="AQ40" s="49"/>
      <x:c r="AR40" s="49"/>
      <x:c r="AS40" s="49"/>
      <x:c r="AT40" s="49"/>
      <x:c r="AU40" s="49"/>
      <x:c r="AV40" s="49"/>
      <x:c r="AW40" s="49"/>
      <x:c r="AX40" s="49"/>
      <x:c r="AY40" s="49"/>
      <x:c r="AZ40" s="49"/>
    </x:row>
    <x:row r="41">
      <x:c r="A41" s="49"/>
      <x:c r="B41" s="49"/>
      <x:c r="C41" s="49"/>
      <x:c r="D41" s="49"/>
      <x:c r="E41" s="49"/>
      <x:c r="F41" s="49"/>
      <x:c r="G41" s="49"/>
      <x:c r="H41" s="49"/>
      <x:c r="I41" s="49"/>
      <x:c r="J41" s="49"/>
      <x:c r="K41" s="49"/>
      <x:c r="L41" s="49"/>
      <x:c r="M41" s="49"/>
      <x:c r="N41" s="49"/>
      <x:c r="O41" s="49"/>
      <x:c r="P41" s="49"/>
      <x:c r="Q41" s="49"/>
      <x:c r="R41" s="49"/>
      <x:c r="S41" s="49"/>
      <x:c r="T41" s="49"/>
      <x:c r="U41" s="49"/>
      <x:c r="V41" s="49"/>
      <x:c r="W41" s="49"/>
      <x:c r="X41" s="49"/>
      <x:c r="Y41" s="49"/>
      <x:c r="Z41" s="49"/>
      <x:c r="AA41" s="49"/>
      <x:c r="AB41" s="49"/>
      <x:c r="AC41" s="49"/>
      <x:c r="AD41" s="49"/>
      <x:c r="AE41" s="49"/>
      <x:c r="AF41" s="49"/>
      <x:c r="AG41" s="49"/>
      <x:c r="AH41" s="49"/>
      <x:c r="AI41" s="49"/>
      <x:c r="AJ41" s="49"/>
      <x:c r="AK41" s="49"/>
      <x:c r="AL41" s="49"/>
      <x:c r="AM41" s="49"/>
      <x:c r="AN41" s="49"/>
      <x:c r="AO41" s="49"/>
      <x:c r="AP41" s="49"/>
      <x:c r="AQ41" s="49"/>
      <x:c r="AR41" s="49"/>
      <x:c r="AS41" s="49"/>
      <x:c r="AT41" s="49"/>
      <x:c r="AU41" s="49"/>
      <x:c r="AV41" s="49"/>
      <x:c r="AW41" s="49"/>
      <x:c r="AX41" s="49"/>
      <x:c r="AY41" s="49"/>
      <x:c r="AZ41" s="49"/>
    </x:row>
    <x:row r="42">
      <x:c r="A42" s="49"/>
      <x:c r="B42" s="49"/>
      <x:c r="C42" s="49"/>
      <x:c r="D42" s="49"/>
      <x:c r="E42" s="49"/>
      <x:c r="F42" s="49"/>
      <x:c r="G42" s="49"/>
      <x:c r="H42" s="49"/>
      <x:c r="I42" s="49"/>
      <x:c r="J42" s="49"/>
      <x:c r="K42" s="49"/>
      <x:c r="L42" s="49"/>
      <x:c r="M42" s="49"/>
      <x:c r="N42" s="49"/>
      <x:c r="O42" s="49"/>
      <x:c r="P42" s="49"/>
      <x:c r="Q42" s="49"/>
      <x:c r="R42" s="49"/>
      <x:c r="S42" s="49"/>
      <x:c r="T42" s="49"/>
      <x:c r="U42" s="49"/>
      <x:c r="V42" s="49"/>
      <x:c r="W42" s="49"/>
      <x:c r="X42" s="49"/>
      <x:c r="Y42" s="49"/>
      <x:c r="Z42" s="49"/>
      <x:c r="AA42" s="49"/>
      <x:c r="AB42" s="49"/>
      <x:c r="AC42" s="49"/>
      <x:c r="AD42" s="49"/>
      <x:c r="AE42" s="49"/>
      <x:c r="AF42" s="49"/>
      <x:c r="AG42" s="49"/>
      <x:c r="AH42" s="49"/>
      <x:c r="AI42" s="49"/>
      <x:c r="AJ42" s="49"/>
      <x:c r="AK42" s="49"/>
      <x:c r="AL42" s="49"/>
      <x:c r="AM42" s="49"/>
      <x:c r="AN42" s="49"/>
      <x:c r="AO42" s="49"/>
      <x:c r="AP42" s="49"/>
      <x:c r="AQ42" s="49"/>
      <x:c r="AR42" s="49"/>
      <x:c r="AS42" s="49"/>
      <x:c r="AT42" s="49"/>
      <x:c r="AU42" s="49"/>
      <x:c r="AV42" s="49"/>
      <x:c r="AW42" s="49"/>
      <x:c r="AX42" s="49"/>
      <x:c r="AY42" s="49"/>
      <x:c r="AZ42" s="49"/>
    </x:row>
    <x:row r="43">
      <x:c r="A43" s="49"/>
      <x:c r="B43" s="49"/>
      <x:c r="C43" s="49"/>
      <x:c r="D43" s="49"/>
      <x:c r="E43" s="49"/>
      <x:c r="F43" s="49"/>
      <x:c r="G43" s="49"/>
      <x:c r="H43" s="49"/>
      <x:c r="I43" s="49"/>
      <x:c r="J43" s="49"/>
      <x:c r="K43" s="49"/>
      <x:c r="L43" s="49"/>
      <x:c r="M43" s="49"/>
      <x:c r="N43" s="49"/>
      <x:c r="O43" s="49"/>
      <x:c r="P43" s="49"/>
      <x:c r="Q43" s="49"/>
      <x:c r="R43" s="49"/>
      <x:c r="S43" s="49"/>
      <x:c r="T43" s="49"/>
      <x:c r="U43" s="49"/>
      <x:c r="V43" s="49"/>
      <x:c r="W43" s="49"/>
      <x:c r="X43" s="49"/>
      <x:c r="Y43" s="49"/>
      <x:c r="Z43" s="49"/>
      <x:c r="AA43" s="49"/>
      <x:c r="AB43" s="49"/>
      <x:c r="AC43" s="49"/>
      <x:c r="AD43" s="49"/>
      <x:c r="AE43" s="49"/>
      <x:c r="AF43" s="49"/>
      <x:c r="AG43" s="49"/>
      <x:c r="AH43" s="49"/>
      <x:c r="AI43" s="49"/>
      <x:c r="AJ43" s="49"/>
      <x:c r="AK43" s="49"/>
      <x:c r="AL43" s="49"/>
      <x:c r="AM43" s="49"/>
      <x:c r="AN43" s="49"/>
      <x:c r="AO43" s="49"/>
      <x:c r="AP43" s="49"/>
      <x:c r="AQ43" s="49"/>
      <x:c r="AR43" s="49"/>
      <x:c r="AS43" s="49"/>
      <x:c r="AT43" s="49"/>
      <x:c r="AU43" s="49"/>
      <x:c r="AV43" s="49"/>
      <x:c r="AW43" s="49"/>
      <x:c r="AX43" s="49"/>
      <x:c r="AY43" s="49"/>
      <x:c r="AZ43" s="49"/>
    </x:row>
    <x:row r="44">
      <x:c r="A44" s="49"/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49"/>
      <x:c r="N44" s="49"/>
      <x:c r="O44" s="49"/>
      <x:c r="P44" s="49"/>
      <x:c r="Q44" s="49"/>
      <x:c r="R44" s="49"/>
      <x:c r="S44" s="49"/>
      <x:c r="T44" s="49"/>
      <x:c r="U44" s="49"/>
      <x:c r="V44" s="49"/>
      <x:c r="W44" s="49"/>
      <x:c r="X44" s="49"/>
      <x:c r="Y44" s="49"/>
      <x:c r="Z44" s="49"/>
      <x:c r="AA44" s="49"/>
      <x:c r="AB44" s="49"/>
      <x:c r="AC44" s="49"/>
      <x:c r="AD44" s="49"/>
      <x:c r="AE44" s="49"/>
      <x:c r="AF44" s="49"/>
      <x:c r="AG44" s="49"/>
      <x:c r="AH44" s="49"/>
      <x:c r="AI44" s="49"/>
      <x:c r="AJ44" s="49"/>
      <x:c r="AK44" s="49"/>
      <x:c r="AL44" s="49"/>
      <x:c r="AM44" s="49"/>
      <x:c r="AN44" s="49"/>
      <x:c r="AO44" s="49"/>
      <x:c r="AP44" s="49"/>
      <x:c r="AQ44" s="49"/>
      <x:c r="AR44" s="49"/>
      <x:c r="AS44" s="49"/>
      <x:c r="AT44" s="49"/>
      <x:c r="AU44" s="49"/>
      <x:c r="AV44" s="49"/>
      <x:c r="AW44" s="49"/>
      <x:c r="AX44" s="49"/>
      <x:c r="AY44" s="49"/>
      <x:c r="AZ44" s="49"/>
    </x:row>
    <x:row r="45">
      <x:c r="A45" s="49"/>
      <x:c r="B45" s="49"/>
      <x:c r="C45" s="49"/>
      <x:c r="D45" s="49"/>
      <x:c r="E45" s="49"/>
      <x:c r="F45" s="49"/>
      <x:c r="G45" s="49"/>
      <x:c r="H45" s="49"/>
      <x:c r="I45" s="49"/>
      <x:c r="J45" s="49"/>
      <x:c r="K45" s="49"/>
      <x:c r="L45" s="49"/>
      <x:c r="M45" s="49"/>
      <x:c r="N45" s="49"/>
      <x:c r="O45" s="49"/>
      <x:c r="P45" s="49"/>
      <x:c r="Q45" s="49"/>
      <x:c r="R45" s="49"/>
      <x:c r="S45" s="49"/>
      <x:c r="T45" s="49"/>
      <x:c r="U45" s="49"/>
      <x:c r="V45" s="49"/>
      <x:c r="W45" s="49"/>
      <x:c r="X45" s="49"/>
      <x:c r="Y45" s="49"/>
      <x:c r="Z45" s="49"/>
      <x:c r="AA45" s="49"/>
      <x:c r="AB45" s="49"/>
      <x:c r="AC45" s="49"/>
      <x:c r="AD45" s="49"/>
      <x:c r="AE45" s="49"/>
      <x:c r="AF45" s="49"/>
      <x:c r="AG45" s="49"/>
      <x:c r="AH45" s="49"/>
      <x:c r="AI45" s="49"/>
      <x:c r="AJ45" s="49"/>
      <x:c r="AK45" s="49"/>
      <x:c r="AL45" s="49"/>
      <x:c r="AM45" s="49"/>
      <x:c r="AN45" s="49"/>
      <x:c r="AO45" s="49"/>
      <x:c r="AP45" s="49"/>
      <x:c r="AQ45" s="49"/>
      <x:c r="AR45" s="49"/>
      <x:c r="AS45" s="49"/>
      <x:c r="AT45" s="49"/>
      <x:c r="AU45" s="49"/>
      <x:c r="AV45" s="49"/>
      <x:c r="AW45" s="49"/>
      <x:c r="AX45" s="49"/>
      <x:c r="AY45" s="49"/>
      <x:c r="AZ45" s="49"/>
    </x:row>
    <x:row r="46">
      <x:c r="A46" s="49"/>
      <x:c r="B46" s="49"/>
      <x:c r="C46" s="49"/>
      <x:c r="D46" s="49"/>
      <x:c r="E46" s="49"/>
      <x:c r="F46" s="49"/>
      <x:c r="G46" s="49"/>
      <x:c r="H46" s="49"/>
      <x:c r="I46" s="49"/>
      <x:c r="J46" s="49"/>
      <x:c r="K46" s="49"/>
      <x:c r="L46" s="49"/>
      <x:c r="M46" s="49"/>
      <x:c r="N46" s="49"/>
      <x:c r="O46" s="49"/>
      <x:c r="P46" s="49"/>
      <x:c r="Q46" s="49"/>
      <x:c r="R46" s="49"/>
      <x:c r="S46" s="49"/>
      <x:c r="T46" s="49"/>
      <x:c r="U46" s="49"/>
      <x:c r="V46" s="49"/>
      <x:c r="W46" s="49"/>
      <x:c r="X46" s="49"/>
      <x:c r="Y46" s="49"/>
      <x:c r="Z46" s="49"/>
      <x:c r="AA46" s="49"/>
      <x:c r="AB46" s="49"/>
      <x:c r="AC46" s="49"/>
      <x:c r="AD46" s="49"/>
      <x:c r="AE46" s="49"/>
      <x:c r="AF46" s="49"/>
      <x:c r="AG46" s="49"/>
      <x:c r="AH46" s="49"/>
      <x:c r="AI46" s="49"/>
      <x:c r="AJ46" s="49"/>
      <x:c r="AK46" s="49"/>
      <x:c r="AL46" s="49"/>
      <x:c r="AM46" s="49"/>
      <x:c r="AN46" s="49"/>
      <x:c r="AO46" s="49"/>
      <x:c r="AP46" s="49"/>
      <x:c r="AQ46" s="49"/>
      <x:c r="AR46" s="49"/>
      <x:c r="AS46" s="49"/>
      <x:c r="AT46" s="49"/>
      <x:c r="AU46" s="49"/>
      <x:c r="AV46" s="49"/>
      <x:c r="AW46" s="49"/>
      <x:c r="AX46" s="49"/>
      <x:c r="AY46" s="49"/>
      <x:c r="AZ46" s="49"/>
    </x:row>
    <x:row r="47">
      <x:c r="A47" s="49"/>
      <x:c r="B47" s="49"/>
      <x:c r="C47" s="49"/>
      <x:c r="D47" s="49"/>
      <x:c r="E47" s="49"/>
      <x:c r="F47" s="49"/>
      <x:c r="G47" s="49"/>
      <x:c r="H47" s="49"/>
      <x:c r="I47" s="49"/>
      <x:c r="J47" s="49"/>
      <x:c r="K47" s="49"/>
      <x:c r="L47" s="49"/>
      <x:c r="M47" s="49"/>
      <x:c r="N47" s="49"/>
      <x:c r="O47" s="49"/>
      <x:c r="P47" s="49"/>
      <x:c r="Q47" s="49"/>
      <x:c r="R47" s="49"/>
      <x:c r="S47" s="49"/>
      <x:c r="T47" s="49"/>
      <x:c r="U47" s="49"/>
      <x:c r="V47" s="49"/>
      <x:c r="W47" s="49"/>
      <x:c r="X47" s="49"/>
      <x:c r="Y47" s="49"/>
      <x:c r="Z47" s="49"/>
      <x:c r="AA47" s="49"/>
      <x:c r="AB47" s="49"/>
      <x:c r="AC47" s="49"/>
      <x:c r="AD47" s="49"/>
      <x:c r="AE47" s="49"/>
      <x:c r="AF47" s="49"/>
      <x:c r="AG47" s="49"/>
      <x:c r="AH47" s="49"/>
      <x:c r="AI47" s="49"/>
      <x:c r="AJ47" s="49"/>
      <x:c r="AK47" s="49"/>
      <x:c r="AL47" s="49"/>
      <x:c r="AM47" s="49"/>
      <x:c r="AN47" s="49"/>
      <x:c r="AO47" s="49"/>
      <x:c r="AP47" s="49"/>
      <x:c r="AQ47" s="49"/>
      <x:c r="AR47" s="49"/>
      <x:c r="AS47" s="49"/>
      <x:c r="AT47" s="49"/>
      <x:c r="AU47" s="49"/>
      <x:c r="AV47" s="49"/>
      <x:c r="AW47" s="49"/>
      <x:c r="AX47" s="49"/>
      <x:c r="AY47" s="49"/>
      <x:c r="AZ47" s="49"/>
    </x:row>
    <x:row r="48">
      <x:c r="A48" s="49"/>
      <x:c r="B48" s="49"/>
      <x:c r="C48" s="49"/>
      <x:c r="D48" s="49"/>
      <x:c r="E48" s="49"/>
      <x:c r="F48" s="49"/>
      <x:c r="G48" s="49"/>
      <x:c r="H48" s="49"/>
      <x:c r="I48" s="49"/>
      <x:c r="J48" s="49"/>
      <x:c r="K48" s="49"/>
      <x:c r="L48" s="49"/>
      <x:c r="M48" s="49"/>
      <x:c r="N48" s="49"/>
      <x:c r="O48" s="49"/>
      <x:c r="P48" s="49"/>
      <x:c r="Q48" s="49"/>
      <x:c r="R48" s="49"/>
      <x:c r="S48" s="49"/>
      <x:c r="T48" s="49"/>
      <x:c r="U48" s="49"/>
      <x:c r="V48" s="49"/>
      <x:c r="W48" s="49"/>
      <x:c r="X48" s="49"/>
      <x:c r="Y48" s="49"/>
      <x:c r="Z48" s="49"/>
      <x:c r="AA48" s="49"/>
      <x:c r="AB48" s="49"/>
      <x:c r="AC48" s="49"/>
      <x:c r="AD48" s="49"/>
      <x:c r="AE48" s="49"/>
      <x:c r="AF48" s="49"/>
      <x:c r="AG48" s="49"/>
      <x:c r="AH48" s="49"/>
      <x:c r="AI48" s="49"/>
      <x:c r="AJ48" s="49"/>
      <x:c r="AK48" s="49"/>
      <x:c r="AL48" s="49"/>
      <x:c r="AM48" s="49"/>
      <x:c r="AN48" s="49"/>
      <x:c r="AO48" s="49"/>
      <x:c r="AP48" s="49"/>
      <x:c r="AQ48" s="49"/>
      <x:c r="AR48" s="49"/>
      <x:c r="AS48" s="49"/>
      <x:c r="AT48" s="49"/>
      <x:c r="AU48" s="49"/>
      <x:c r="AV48" s="49"/>
      <x:c r="AW48" s="49"/>
      <x:c r="AX48" s="49"/>
      <x:c r="AY48" s="49"/>
      <x:c r="AZ48" s="49"/>
    </x:row>
    <x:row r="49">
      <x:c r="A49" s="49"/>
      <x:c r="B49" s="49"/>
      <x:c r="C49" s="49"/>
      <x:c r="D49" s="49"/>
      <x:c r="E49" s="49"/>
      <x:c r="F49" s="49"/>
      <x:c r="G49" s="49"/>
      <x:c r="H49" s="49"/>
      <x:c r="I49" s="49"/>
      <x:c r="J49" s="49"/>
      <x:c r="K49" s="49"/>
      <x:c r="L49" s="49"/>
      <x:c r="M49" s="49"/>
      <x:c r="N49" s="49"/>
      <x:c r="O49" s="49"/>
      <x:c r="P49" s="49"/>
      <x:c r="Q49" s="49"/>
      <x:c r="R49" s="49"/>
      <x:c r="S49" s="49"/>
      <x:c r="T49" s="49"/>
      <x:c r="U49" s="49"/>
      <x:c r="V49" s="49"/>
      <x:c r="W49" s="49"/>
      <x:c r="X49" s="49"/>
      <x:c r="Y49" s="49"/>
      <x:c r="Z49" s="49"/>
      <x:c r="AA49" s="49"/>
      <x:c r="AB49" s="49"/>
      <x:c r="AC49" s="49"/>
      <x:c r="AD49" s="49"/>
      <x:c r="AE49" s="49"/>
      <x:c r="AF49" s="49"/>
      <x:c r="AG49" s="49"/>
      <x:c r="AH49" s="49"/>
      <x:c r="AI49" s="49"/>
      <x:c r="AJ49" s="49"/>
      <x:c r="AK49" s="49"/>
      <x:c r="AL49" s="49"/>
      <x:c r="AM49" s="49"/>
      <x:c r="AN49" s="49"/>
      <x:c r="AO49" s="49"/>
      <x:c r="AP49" s="49"/>
      <x:c r="AQ49" s="49"/>
      <x:c r="AR49" s="49"/>
      <x:c r="AS49" s="49"/>
      <x:c r="AT49" s="49"/>
      <x:c r="AU49" s="49"/>
      <x:c r="AV49" s="49"/>
      <x:c r="AW49" s="49"/>
      <x:c r="AX49" s="49"/>
      <x:c r="AY49" s="49"/>
      <x:c r="AZ49" s="49"/>
    </x:row>
    <x:row r="50">
      <x:c r="A50" s="49"/>
      <x:c r="B50" s="49"/>
      <x:c r="C50" s="49"/>
      <x:c r="D50" s="49"/>
      <x:c r="E50" s="49"/>
      <x:c r="F50" s="49"/>
      <x:c r="G50" s="49"/>
      <x:c r="H50" s="49"/>
      <x:c r="I50" s="49"/>
      <x:c r="J50" s="49"/>
      <x:c r="K50" s="49"/>
      <x:c r="L50" s="49"/>
      <x:c r="M50" s="49"/>
      <x:c r="N50" s="49"/>
      <x:c r="O50" s="49"/>
      <x:c r="P50" s="49"/>
      <x:c r="Q50" s="49"/>
      <x:c r="R50" s="49"/>
      <x:c r="S50" s="49"/>
      <x:c r="T50" s="49"/>
      <x:c r="U50" s="49"/>
      <x:c r="V50" s="49"/>
      <x:c r="W50" s="49"/>
      <x:c r="X50" s="49"/>
      <x:c r="Y50" s="49"/>
      <x:c r="Z50" s="49"/>
      <x:c r="AA50" s="49"/>
      <x:c r="AB50" s="49"/>
      <x:c r="AC50" s="49"/>
      <x:c r="AD50" s="49"/>
      <x:c r="AE50" s="49"/>
      <x:c r="AF50" s="49"/>
      <x:c r="AG50" s="49"/>
      <x:c r="AH50" s="49"/>
      <x:c r="AI50" s="49"/>
      <x:c r="AJ50" s="49"/>
      <x:c r="AK50" s="49"/>
      <x:c r="AL50" s="49"/>
      <x:c r="AM50" s="49"/>
      <x:c r="AN50" s="49"/>
      <x:c r="AO50" s="49"/>
      <x:c r="AP50" s="49"/>
      <x:c r="AQ50" s="49"/>
      <x:c r="AR50" s="49"/>
      <x:c r="AS50" s="49"/>
      <x:c r="AT50" s="49"/>
      <x:c r="AU50" s="49"/>
      <x:c r="AV50" s="49"/>
      <x:c r="AW50" s="49"/>
      <x:c r="AX50" s="49"/>
      <x:c r="AY50" s="49"/>
      <x:c r="AZ50" s="49"/>
    </x:row>
    <x:row r="51">
      <x:c r="A51" s="49"/>
      <x:c r="B51" s="49"/>
      <x:c r="C51" s="49"/>
      <x:c r="D51" s="49"/>
      <x:c r="E51" s="49"/>
      <x:c r="F51" s="49"/>
      <x:c r="G51" s="49"/>
      <x:c r="H51" s="49"/>
      <x:c r="I51" s="49"/>
      <x:c r="J51" s="49"/>
      <x:c r="K51" s="49"/>
      <x:c r="L51" s="49"/>
      <x:c r="M51" s="49"/>
      <x:c r="N51" s="49"/>
      <x:c r="O51" s="49"/>
      <x:c r="P51" s="49"/>
      <x:c r="Q51" s="49"/>
      <x:c r="R51" s="49"/>
      <x:c r="S51" s="49"/>
      <x:c r="T51" s="49"/>
      <x:c r="U51" s="49"/>
      <x:c r="V51" s="49"/>
      <x:c r="W51" s="49"/>
      <x:c r="X51" s="49"/>
      <x:c r="Y51" s="49"/>
      <x:c r="Z51" s="49"/>
      <x:c r="AA51" s="49"/>
      <x:c r="AB51" s="49"/>
      <x:c r="AC51" s="49"/>
      <x:c r="AD51" s="49"/>
      <x:c r="AE51" s="49"/>
      <x:c r="AF51" s="49"/>
      <x:c r="AG51" s="49"/>
      <x:c r="AH51" s="49"/>
      <x:c r="AI51" s="49"/>
      <x:c r="AJ51" s="49"/>
      <x:c r="AK51" s="49"/>
      <x:c r="AL51" s="49"/>
      <x:c r="AM51" s="49"/>
      <x:c r="AN51" s="49"/>
      <x:c r="AO51" s="49"/>
      <x:c r="AP51" s="49"/>
      <x:c r="AQ51" s="49"/>
      <x:c r="AR51" s="49"/>
      <x:c r="AS51" s="49"/>
      <x:c r="AT51" s="49"/>
      <x:c r="AU51" s="49"/>
      <x:c r="AV51" s="49"/>
      <x:c r="AW51" s="49"/>
      <x:c r="AX51" s="49"/>
      <x:c r="AY51" s="49"/>
      <x:c r="AZ51" s="49"/>
    </x:row>
    <x:row r="52">
      <x:c r="A52" s="49"/>
      <x:c r="B52" s="49"/>
      <x:c r="C52" s="49"/>
      <x:c r="D52" s="49"/>
      <x:c r="E52" s="49"/>
      <x:c r="F52" s="49"/>
      <x:c r="G52" s="49"/>
      <x:c r="H52" s="49"/>
      <x:c r="I52" s="49"/>
      <x:c r="J52" s="49"/>
      <x:c r="K52" s="49"/>
      <x:c r="L52" s="49"/>
      <x:c r="M52" s="49"/>
      <x:c r="N52" s="49"/>
      <x:c r="O52" s="49"/>
      <x:c r="P52" s="49"/>
      <x:c r="Q52" s="49"/>
      <x:c r="R52" s="49"/>
      <x:c r="S52" s="49"/>
      <x:c r="T52" s="49"/>
      <x:c r="U52" s="49"/>
      <x:c r="V52" s="49"/>
      <x:c r="W52" s="49"/>
      <x:c r="X52" s="49"/>
      <x:c r="Y52" s="49"/>
      <x:c r="Z52" s="49"/>
      <x:c r="AA52" s="49"/>
      <x:c r="AB52" s="49"/>
      <x:c r="AC52" s="49"/>
      <x:c r="AD52" s="49"/>
      <x:c r="AE52" s="49"/>
      <x:c r="AF52" s="49"/>
      <x:c r="AG52" s="49"/>
      <x:c r="AH52" s="49"/>
      <x:c r="AI52" s="49"/>
      <x:c r="AJ52" s="49"/>
      <x:c r="AK52" s="49"/>
      <x:c r="AL52" s="49"/>
      <x:c r="AM52" s="49"/>
      <x:c r="AN52" s="49"/>
      <x:c r="AO52" s="49"/>
      <x:c r="AP52" s="49"/>
      <x:c r="AQ52" s="49"/>
      <x:c r="AR52" s="49"/>
      <x:c r="AS52" s="49"/>
      <x:c r="AT52" s="49"/>
      <x:c r="AU52" s="49"/>
      <x:c r="AV52" s="49"/>
      <x:c r="AW52" s="49"/>
      <x:c r="AX52" s="49"/>
      <x:c r="AY52" s="49"/>
      <x:c r="AZ52" s="49"/>
    </x:row>
    <x:row r="53">
      <x:c r="A53" s="49"/>
      <x:c r="B53" s="49"/>
      <x:c r="C53" s="49"/>
      <x:c r="D53" s="49"/>
      <x:c r="E53" s="49"/>
      <x:c r="F53" s="49"/>
      <x:c r="G53" s="49"/>
      <x:c r="H53" s="49"/>
      <x:c r="I53" s="49"/>
      <x:c r="J53" s="49"/>
      <x:c r="K53" s="49"/>
      <x:c r="L53" s="49"/>
      <x:c r="M53" s="49"/>
      <x:c r="N53" s="49"/>
      <x:c r="O53" s="49"/>
      <x:c r="P53" s="49"/>
      <x:c r="Q53" s="49"/>
      <x:c r="R53" s="49"/>
      <x:c r="S53" s="49"/>
      <x:c r="T53" s="49"/>
      <x:c r="U53" s="49"/>
      <x:c r="V53" s="49"/>
      <x:c r="W53" s="49"/>
      <x:c r="X53" s="49"/>
      <x:c r="Y53" s="49"/>
      <x:c r="Z53" s="49"/>
      <x:c r="AA53" s="49"/>
      <x:c r="AB53" s="49"/>
      <x:c r="AC53" s="49"/>
      <x:c r="AD53" s="49"/>
      <x:c r="AE53" s="49"/>
      <x:c r="AF53" s="49"/>
      <x:c r="AG53" s="49"/>
      <x:c r="AH53" s="49"/>
      <x:c r="AI53" s="49"/>
      <x:c r="AJ53" s="49"/>
      <x:c r="AK53" s="49"/>
      <x:c r="AL53" s="49"/>
      <x:c r="AM53" s="49"/>
      <x:c r="AN53" s="49"/>
      <x:c r="AO53" s="49"/>
      <x:c r="AP53" s="49"/>
      <x:c r="AQ53" s="49"/>
      <x:c r="AR53" s="49"/>
      <x:c r="AS53" s="49"/>
      <x:c r="AT53" s="49"/>
      <x:c r="AU53" s="49"/>
      <x:c r="AV53" s="49"/>
      <x:c r="AW53" s="49"/>
      <x:c r="AX53" s="49"/>
      <x:c r="AY53" s="49"/>
      <x:c r="AZ53" s="49"/>
    </x:row>
    <x:row r="54">
      <x:c r="A54" s="49"/>
      <x:c r="B54" s="49"/>
      <x:c r="C54" s="49"/>
      <x:c r="D54" s="49"/>
      <x:c r="E54" s="49"/>
      <x:c r="F54" s="49"/>
      <x:c r="G54" s="49"/>
      <x:c r="H54" s="49"/>
      <x:c r="I54" s="49"/>
      <x:c r="J54" s="49"/>
      <x:c r="K54" s="49"/>
      <x:c r="L54" s="49"/>
      <x:c r="M54" s="49"/>
      <x:c r="N54" s="49"/>
      <x:c r="O54" s="49"/>
      <x:c r="P54" s="49"/>
      <x:c r="Q54" s="49"/>
      <x:c r="R54" s="49"/>
      <x:c r="S54" s="49"/>
      <x:c r="T54" s="49"/>
      <x:c r="U54" s="49"/>
      <x:c r="V54" s="49"/>
      <x:c r="W54" s="49"/>
      <x:c r="X54" s="49"/>
      <x:c r="Y54" s="49"/>
      <x:c r="Z54" s="49"/>
      <x:c r="AA54" s="49"/>
      <x:c r="AB54" s="49"/>
      <x:c r="AC54" s="49"/>
      <x:c r="AD54" s="49"/>
      <x:c r="AE54" s="49"/>
      <x:c r="AF54" s="49"/>
      <x:c r="AG54" s="49"/>
      <x:c r="AH54" s="49"/>
      <x:c r="AI54" s="49"/>
      <x:c r="AJ54" s="49"/>
      <x:c r="AK54" s="49"/>
      <x:c r="AL54" s="49"/>
      <x:c r="AM54" s="49"/>
      <x:c r="AN54" s="49"/>
      <x:c r="AO54" s="49"/>
      <x:c r="AP54" s="49"/>
      <x:c r="AQ54" s="49"/>
      <x:c r="AR54" s="49"/>
      <x:c r="AS54" s="49"/>
      <x:c r="AT54" s="49"/>
      <x:c r="AU54" s="49"/>
      <x:c r="AV54" s="49"/>
      <x:c r="AW54" s="49"/>
      <x:c r="AX54" s="49"/>
      <x:c r="AY54" s="49"/>
      <x:c r="AZ54" s="49"/>
    </x:row>
    <x:row r="55">
      <x:c r="A55" s="49"/>
      <x:c r="B55" s="49"/>
      <x:c r="C55" s="49"/>
      <x:c r="D55" s="49"/>
      <x:c r="E55" s="49"/>
      <x:c r="F55" s="49"/>
      <x:c r="G55" s="49"/>
      <x:c r="H55" s="49"/>
      <x:c r="I55" s="49"/>
      <x:c r="J55" s="49"/>
      <x:c r="K55" s="49"/>
      <x:c r="L55" s="49"/>
      <x:c r="M55" s="49"/>
      <x:c r="N55" s="49"/>
      <x:c r="O55" s="49"/>
      <x:c r="P55" s="49"/>
      <x:c r="Q55" s="49"/>
      <x:c r="R55" s="49"/>
      <x:c r="S55" s="49"/>
      <x:c r="T55" s="49"/>
      <x:c r="U55" s="49"/>
      <x:c r="V55" s="49"/>
      <x:c r="W55" s="49"/>
      <x:c r="X55" s="49"/>
      <x:c r="Y55" s="49"/>
      <x:c r="Z55" s="49"/>
      <x:c r="AA55" s="49"/>
      <x:c r="AB55" s="49"/>
      <x:c r="AC55" s="49"/>
      <x:c r="AD55" s="49"/>
      <x:c r="AE55" s="49"/>
      <x:c r="AF55" s="49"/>
      <x:c r="AG55" s="49"/>
      <x:c r="AH55" s="49"/>
      <x:c r="AI55" s="49"/>
      <x:c r="AJ55" s="49"/>
      <x:c r="AK55" s="49"/>
      <x:c r="AL55" s="49"/>
      <x:c r="AM55" s="49"/>
      <x:c r="AN55" s="49"/>
      <x:c r="AO55" s="49"/>
      <x:c r="AP55" s="49"/>
      <x:c r="AQ55" s="49"/>
      <x:c r="AR55" s="49"/>
      <x:c r="AS55" s="49"/>
      <x:c r="AT55" s="49"/>
      <x:c r="AU55" s="49"/>
      <x:c r="AV55" s="49"/>
      <x:c r="AW55" s="49"/>
      <x:c r="AX55" s="49"/>
      <x:c r="AY55" s="49"/>
      <x:c r="AZ55" s="49"/>
    </x:row>
    <x:row r="56">
      <x:c r="A56" s="49"/>
      <x:c r="B56" s="49"/>
      <x:c r="C56" s="49"/>
      <x:c r="D56" s="49"/>
      <x:c r="E56" s="49"/>
      <x:c r="F56" s="49"/>
      <x:c r="G56" s="49"/>
      <x:c r="H56" s="49"/>
      <x:c r="I56" s="49"/>
      <x:c r="J56" s="49"/>
      <x:c r="K56" s="49"/>
      <x:c r="L56" s="49"/>
      <x:c r="M56" s="49"/>
      <x:c r="N56" s="49"/>
      <x:c r="O56" s="49"/>
      <x:c r="P56" s="49"/>
      <x:c r="Q56" s="49"/>
      <x:c r="R56" s="49"/>
      <x:c r="S56" s="49"/>
      <x:c r="T56" s="49"/>
      <x:c r="U56" s="49"/>
      <x:c r="V56" s="49"/>
      <x:c r="W56" s="49"/>
      <x:c r="X56" s="49"/>
      <x:c r="Y56" s="49"/>
      <x:c r="Z56" s="49"/>
      <x:c r="AA56" s="49"/>
      <x:c r="AB56" s="49"/>
      <x:c r="AC56" s="49"/>
      <x:c r="AD56" s="49"/>
      <x:c r="AE56" s="49"/>
      <x:c r="AF56" s="49"/>
      <x:c r="AG56" s="49"/>
      <x:c r="AH56" s="49"/>
      <x:c r="AI56" s="49"/>
      <x:c r="AJ56" s="49"/>
      <x:c r="AK56" s="49"/>
      <x:c r="AL56" s="49"/>
      <x:c r="AM56" s="49"/>
      <x:c r="AN56" s="49"/>
      <x:c r="AO56" s="49"/>
      <x:c r="AP56" s="49"/>
      <x:c r="AQ56" s="49"/>
      <x:c r="AR56" s="49"/>
      <x:c r="AS56" s="49"/>
      <x:c r="AT56" s="49"/>
      <x:c r="AU56" s="49"/>
      <x:c r="AV56" s="49"/>
      <x:c r="AW56" s="49"/>
      <x:c r="AX56" s="49"/>
      <x:c r="AY56" s="49"/>
      <x:c r="AZ56" s="49"/>
    </x:row>
    <x:row r="57">
      <x:c r="A57" s="49"/>
      <x:c r="B57" s="49"/>
      <x:c r="C57" s="49"/>
      <x:c r="D57" s="49"/>
      <x:c r="E57" s="49"/>
      <x:c r="F57" s="49"/>
      <x:c r="G57" s="49"/>
      <x:c r="H57" s="49"/>
      <x:c r="I57" s="49"/>
      <x:c r="J57" s="49"/>
      <x:c r="K57" s="49"/>
      <x:c r="L57" s="49"/>
      <x:c r="M57" s="49"/>
      <x:c r="N57" s="49"/>
      <x:c r="O57" s="49"/>
      <x:c r="P57" s="49"/>
      <x:c r="Q57" s="49"/>
      <x:c r="R57" s="49"/>
      <x:c r="S57" s="49"/>
      <x:c r="T57" s="49"/>
      <x:c r="U57" s="49"/>
      <x:c r="V57" s="49"/>
      <x:c r="W57" s="49"/>
      <x:c r="X57" s="49"/>
      <x:c r="Y57" s="49"/>
      <x:c r="Z57" s="49"/>
      <x:c r="AA57" s="49"/>
      <x:c r="AB57" s="49"/>
      <x:c r="AC57" s="49"/>
      <x:c r="AD57" s="49"/>
      <x:c r="AE57" s="49"/>
      <x:c r="AF57" s="49"/>
      <x:c r="AG57" s="49"/>
      <x:c r="AH57" s="49"/>
      <x:c r="AI57" s="49"/>
      <x:c r="AJ57" s="49"/>
      <x:c r="AK57" s="49"/>
      <x:c r="AL57" s="49"/>
      <x:c r="AM57" s="49"/>
      <x:c r="AN57" s="49"/>
      <x:c r="AO57" s="49"/>
      <x:c r="AP57" s="49"/>
      <x:c r="AQ57" s="49"/>
      <x:c r="AR57" s="49"/>
      <x:c r="AS57" s="49"/>
      <x:c r="AT57" s="49"/>
      <x:c r="AU57" s="49"/>
      <x:c r="AV57" s="49"/>
      <x:c r="AW57" s="49"/>
      <x:c r="AX57" s="49"/>
      <x:c r="AY57" s="49"/>
      <x:c r="AZ57" s="49"/>
    </x:row>
    <x:row r="58">
      <x:c r="A58" s="49"/>
      <x:c r="B58" s="49"/>
      <x:c r="C58" s="49"/>
      <x:c r="D58" s="49"/>
      <x:c r="E58" s="49"/>
      <x:c r="F58" s="49"/>
      <x:c r="G58" s="49"/>
      <x:c r="H58" s="49"/>
      <x:c r="I58" s="49"/>
      <x:c r="J58" s="49"/>
      <x:c r="K58" s="49"/>
      <x:c r="L58" s="49"/>
      <x:c r="M58" s="49"/>
      <x:c r="N58" s="49"/>
      <x:c r="O58" s="49"/>
      <x:c r="P58" s="49"/>
      <x:c r="Q58" s="49"/>
      <x:c r="R58" s="49"/>
      <x:c r="S58" s="49"/>
      <x:c r="T58" s="49"/>
      <x:c r="U58" s="49"/>
      <x:c r="V58" s="49"/>
      <x:c r="W58" s="49"/>
      <x:c r="X58" s="49"/>
      <x:c r="Y58" s="49"/>
      <x:c r="Z58" s="49"/>
      <x:c r="AA58" s="49"/>
      <x:c r="AB58" s="49"/>
      <x:c r="AC58" s="49"/>
      <x:c r="AD58" s="49"/>
      <x:c r="AE58" s="49"/>
      <x:c r="AF58" s="49"/>
      <x:c r="AG58" s="49"/>
      <x:c r="AH58" s="49"/>
      <x:c r="AI58" s="49"/>
      <x:c r="AJ58" s="49"/>
      <x:c r="AK58" s="49"/>
      <x:c r="AL58" s="49"/>
      <x:c r="AM58" s="49"/>
      <x:c r="AN58" s="49"/>
      <x:c r="AO58" s="49"/>
      <x:c r="AP58" s="49"/>
      <x:c r="AQ58" s="49"/>
      <x:c r="AR58" s="49"/>
      <x:c r="AS58" s="49"/>
      <x:c r="AT58" s="49"/>
      <x:c r="AU58" s="49"/>
      <x:c r="AV58" s="49"/>
      <x:c r="AW58" s="49"/>
      <x:c r="AX58" s="49"/>
      <x:c r="AY58" s="49"/>
      <x:c r="AZ58" s="49"/>
    </x:row>
    <x:row r="59">
      <x:c r="A59" s="49"/>
      <x:c r="B59" s="49"/>
      <x:c r="C59" s="49"/>
      <x:c r="D59" s="49"/>
      <x:c r="E59" s="49"/>
      <x:c r="F59" s="49"/>
      <x:c r="G59" s="49"/>
      <x:c r="H59" s="49"/>
      <x:c r="I59" s="49"/>
      <x:c r="J59" s="49"/>
      <x:c r="K59" s="49"/>
      <x:c r="L59" s="49"/>
      <x:c r="M59" s="49"/>
      <x:c r="N59" s="49"/>
      <x:c r="O59" s="49"/>
      <x:c r="P59" s="49"/>
      <x:c r="Q59" s="49"/>
      <x:c r="R59" s="49"/>
      <x:c r="S59" s="49"/>
      <x:c r="T59" s="49"/>
      <x:c r="U59" s="49"/>
      <x:c r="V59" s="49"/>
      <x:c r="W59" s="49"/>
      <x:c r="X59" s="49"/>
      <x:c r="Y59" s="49"/>
      <x:c r="Z59" s="49"/>
      <x:c r="AA59" s="49"/>
      <x:c r="AB59" s="49"/>
      <x:c r="AC59" s="49"/>
      <x:c r="AD59" s="49"/>
      <x:c r="AE59" s="49"/>
      <x:c r="AF59" s="49"/>
      <x:c r="AG59" s="49"/>
      <x:c r="AH59" s="49"/>
      <x:c r="AI59" s="49"/>
      <x:c r="AJ59" s="49"/>
      <x:c r="AK59" s="49"/>
      <x:c r="AL59" s="49"/>
      <x:c r="AM59" s="49"/>
      <x:c r="AN59" s="49"/>
      <x:c r="AO59" s="49"/>
      <x:c r="AP59" s="49"/>
      <x:c r="AQ59" s="49"/>
      <x:c r="AR59" s="49"/>
      <x:c r="AS59" s="49"/>
      <x:c r="AT59" s="49"/>
      <x:c r="AU59" s="49"/>
      <x:c r="AV59" s="49"/>
      <x:c r="AW59" s="49"/>
      <x:c r="AX59" s="49"/>
      <x:c r="AY59" s="49"/>
      <x:c r="AZ59" s="49"/>
    </x:row>
    <x:row r="60">
      <x:c r="A60" s="49"/>
      <x:c r="B60" s="49"/>
      <x:c r="C60" s="49"/>
      <x:c r="D60" s="49"/>
      <x:c r="E60" s="49"/>
      <x:c r="F60" s="49"/>
      <x:c r="G60" s="49"/>
      <x:c r="H60" s="49"/>
      <x:c r="I60" s="49"/>
      <x:c r="J60" s="49"/>
      <x:c r="K60" s="49"/>
      <x:c r="L60" s="49"/>
      <x:c r="M60" s="49"/>
      <x:c r="N60" s="49"/>
      <x:c r="O60" s="49"/>
      <x:c r="P60" s="49"/>
      <x:c r="Q60" s="49"/>
      <x:c r="R60" s="49"/>
      <x:c r="S60" s="49"/>
      <x:c r="T60" s="49"/>
      <x:c r="U60" s="49"/>
      <x:c r="V60" s="49"/>
      <x:c r="W60" s="49"/>
      <x:c r="X60" s="49"/>
      <x:c r="Y60" s="49"/>
      <x:c r="Z60" s="49"/>
      <x:c r="AA60" s="49"/>
      <x:c r="AB60" s="49"/>
      <x:c r="AC60" s="49"/>
      <x:c r="AD60" s="49"/>
      <x:c r="AE60" s="49"/>
      <x:c r="AF60" s="49"/>
      <x:c r="AG60" s="49"/>
      <x:c r="AH60" s="49"/>
      <x:c r="AI60" s="49"/>
      <x:c r="AJ60" s="49"/>
      <x:c r="AK60" s="49"/>
      <x:c r="AL60" s="49"/>
      <x:c r="AM60" s="49"/>
      <x:c r="AN60" s="49"/>
      <x:c r="AO60" s="49"/>
      <x:c r="AP60" s="49"/>
      <x:c r="AQ60" s="49"/>
      <x:c r="AR60" s="49"/>
      <x:c r="AS60" s="49"/>
      <x:c r="AT60" s="49"/>
      <x:c r="AU60" s="49"/>
      <x:c r="AV60" s="49"/>
      <x:c r="AW60" s="49"/>
      <x:c r="AX60" s="49"/>
      <x:c r="AY60" s="49"/>
      <x:c r="AZ60" s="49"/>
    </x:row>
    <x:row r="61">
      <x:c r="A61" s="49"/>
      <x:c r="B61" s="49"/>
      <x:c r="C61" s="49"/>
      <x:c r="D61" s="49"/>
      <x:c r="E61" s="49"/>
      <x:c r="F61" s="49"/>
      <x:c r="G61" s="49"/>
      <x:c r="H61" s="49"/>
      <x:c r="I61" s="49"/>
      <x:c r="J61" s="49"/>
      <x:c r="K61" s="49"/>
      <x:c r="L61" s="49"/>
      <x:c r="M61" s="49"/>
      <x:c r="N61" s="49"/>
      <x:c r="O61" s="49"/>
      <x:c r="P61" s="49"/>
      <x:c r="Q61" s="49"/>
      <x:c r="R61" s="49"/>
      <x:c r="S61" s="49"/>
      <x:c r="T61" s="49"/>
      <x:c r="U61" s="49"/>
      <x:c r="V61" s="49"/>
      <x:c r="W61" s="49"/>
      <x:c r="X61" s="49"/>
      <x:c r="Y61" s="49"/>
      <x:c r="Z61" s="49"/>
      <x:c r="AA61" s="49"/>
      <x:c r="AB61" s="49"/>
      <x:c r="AC61" s="49"/>
      <x:c r="AD61" s="49"/>
      <x:c r="AE61" s="49"/>
      <x:c r="AF61" s="49"/>
      <x:c r="AG61" s="49"/>
      <x:c r="AH61" s="49"/>
      <x:c r="AI61" s="49"/>
      <x:c r="AJ61" s="49"/>
      <x:c r="AK61" s="49"/>
      <x:c r="AL61" s="49"/>
      <x:c r="AM61" s="49"/>
      <x:c r="AN61" s="49"/>
      <x:c r="AO61" s="49"/>
      <x:c r="AP61" s="49"/>
      <x:c r="AQ61" s="49"/>
      <x:c r="AR61" s="49"/>
      <x:c r="AS61" s="49"/>
      <x:c r="AT61" s="49"/>
      <x:c r="AU61" s="49"/>
      <x:c r="AV61" s="49"/>
      <x:c r="AW61" s="49"/>
      <x:c r="AX61" s="49"/>
      <x:c r="AY61" s="49"/>
      <x:c r="AZ61" s="49"/>
    </x:row>
    <x:row r="62">
      <x:c r="A62" s="49"/>
      <x:c r="B62" s="49"/>
      <x:c r="C62" s="49"/>
      <x:c r="D62" s="49"/>
      <x:c r="E62" s="49"/>
      <x:c r="F62" s="49"/>
      <x:c r="G62" s="49"/>
      <x:c r="H62" s="49"/>
      <x:c r="I62" s="49"/>
      <x:c r="J62" s="49"/>
      <x:c r="K62" s="49"/>
      <x:c r="L62" s="49"/>
      <x:c r="M62" s="49"/>
      <x:c r="N62" s="49"/>
      <x:c r="O62" s="49"/>
      <x:c r="P62" s="49"/>
      <x:c r="Q62" s="49"/>
      <x:c r="R62" s="49"/>
      <x:c r="S62" s="49"/>
      <x:c r="T62" s="49"/>
      <x:c r="U62" s="49"/>
      <x:c r="V62" s="49"/>
      <x:c r="W62" s="49"/>
      <x:c r="X62" s="49"/>
      <x:c r="Y62" s="49"/>
      <x:c r="Z62" s="49"/>
      <x:c r="AA62" s="49"/>
      <x:c r="AB62" s="49"/>
      <x:c r="AC62" s="49"/>
      <x:c r="AD62" s="49"/>
      <x:c r="AE62" s="49"/>
      <x:c r="AF62" s="49"/>
      <x:c r="AG62" s="49"/>
      <x:c r="AH62" s="49"/>
      <x:c r="AI62" s="49"/>
      <x:c r="AJ62" s="49"/>
      <x:c r="AK62" s="49"/>
      <x:c r="AL62" s="49"/>
      <x:c r="AM62" s="49"/>
      <x:c r="AN62" s="49"/>
      <x:c r="AO62" s="49"/>
      <x:c r="AP62" s="49"/>
      <x:c r="AQ62" s="49"/>
      <x:c r="AR62" s="49"/>
      <x:c r="AS62" s="49"/>
      <x:c r="AT62" s="49"/>
      <x:c r="AU62" s="49"/>
      <x:c r="AV62" s="49"/>
      <x:c r="AW62" s="49"/>
      <x:c r="AX62" s="49"/>
      <x:c r="AY62" s="49"/>
      <x:c r="AZ62" s="49"/>
    </x:row>
    <x:row r="63">
      <x:c r="A63" s="49"/>
      <x:c r="B63" s="49"/>
      <x:c r="C63" s="49"/>
      <x:c r="D63" s="49"/>
      <x:c r="E63" s="49"/>
      <x:c r="F63" s="49"/>
      <x:c r="G63" s="49"/>
      <x:c r="H63" s="49"/>
      <x:c r="I63" s="49"/>
      <x:c r="J63" s="49"/>
      <x:c r="K63" s="49"/>
      <x:c r="L63" s="49"/>
      <x:c r="M63" s="49"/>
      <x:c r="N63" s="49"/>
      <x:c r="O63" s="49"/>
      <x:c r="P63" s="49"/>
      <x:c r="Q63" s="49"/>
      <x:c r="R63" s="49"/>
      <x:c r="S63" s="49"/>
      <x:c r="T63" s="49"/>
      <x:c r="U63" s="49"/>
      <x:c r="V63" s="49"/>
      <x:c r="W63" s="49"/>
      <x:c r="X63" s="49"/>
      <x:c r="Y63" s="49"/>
      <x:c r="Z63" s="49"/>
      <x:c r="AA63" s="49"/>
      <x:c r="AB63" s="49"/>
      <x:c r="AC63" s="49"/>
      <x:c r="AD63" s="49"/>
      <x:c r="AE63" s="49"/>
      <x:c r="AF63" s="49"/>
      <x:c r="AG63" s="49"/>
      <x:c r="AH63" s="49"/>
      <x:c r="AI63" s="49"/>
      <x:c r="AJ63" s="49"/>
      <x:c r="AK63" s="49"/>
      <x:c r="AL63" s="49"/>
      <x:c r="AM63" s="49"/>
      <x:c r="AN63" s="49"/>
      <x:c r="AO63" s="49"/>
      <x:c r="AP63" s="49"/>
      <x:c r="AQ63" s="49"/>
      <x:c r="AR63" s="49"/>
      <x:c r="AS63" s="49"/>
      <x:c r="AT63" s="49"/>
      <x:c r="AU63" s="49"/>
      <x:c r="AV63" s="49"/>
      <x:c r="AW63" s="49"/>
      <x:c r="AX63" s="49"/>
      <x:c r="AY63" s="49"/>
      <x:c r="AZ63" s="49"/>
    </x:row>
    <x:row r="64">
      <x:c r="A64" s="49"/>
      <x:c r="B64" s="49"/>
      <x:c r="C64" s="49"/>
      <x:c r="D64" s="49"/>
      <x:c r="E64" s="49"/>
      <x:c r="F64" s="49"/>
      <x:c r="G64" s="49"/>
      <x:c r="H64" s="49"/>
      <x:c r="I64" s="49"/>
      <x:c r="J64" s="49"/>
      <x:c r="K64" s="49"/>
      <x:c r="L64" s="49"/>
      <x:c r="M64" s="49"/>
      <x:c r="N64" s="49"/>
      <x:c r="O64" s="49"/>
      <x:c r="P64" s="49"/>
      <x:c r="Q64" s="49"/>
      <x:c r="R64" s="49"/>
      <x:c r="S64" s="49"/>
      <x:c r="T64" s="49"/>
      <x:c r="U64" s="49"/>
      <x:c r="V64" s="49"/>
      <x:c r="W64" s="49"/>
      <x:c r="X64" s="49"/>
      <x:c r="Y64" s="49"/>
      <x:c r="Z64" s="49"/>
      <x:c r="AA64" s="49"/>
      <x:c r="AB64" s="49"/>
      <x:c r="AC64" s="49"/>
      <x:c r="AD64" s="49"/>
      <x:c r="AE64" s="49"/>
      <x:c r="AF64" s="49"/>
      <x:c r="AG64" s="49"/>
      <x:c r="AH64" s="49"/>
      <x:c r="AI64" s="49"/>
      <x:c r="AJ64" s="49"/>
      <x:c r="AK64" s="49"/>
      <x:c r="AL64" s="49"/>
      <x:c r="AM64" s="49"/>
      <x:c r="AN64" s="49"/>
      <x:c r="AO64" s="49"/>
      <x:c r="AP64" s="49"/>
      <x:c r="AQ64" s="49"/>
      <x:c r="AR64" s="49"/>
      <x:c r="AS64" s="49"/>
      <x:c r="AT64" s="49"/>
      <x:c r="AU64" s="49"/>
      <x:c r="AV64" s="49"/>
      <x:c r="AW64" s="49"/>
      <x:c r="AX64" s="49"/>
      <x:c r="AY64" s="49"/>
      <x:c r="AZ64" s="49"/>
    </x:row>
    <x:row r="65">
      <x:c r="A65" s="49"/>
      <x:c r="B65" s="49"/>
      <x:c r="C65" s="49"/>
      <x:c r="D65" s="49"/>
      <x:c r="E65" s="49"/>
      <x:c r="F65" s="49"/>
      <x:c r="G65" s="49"/>
      <x:c r="H65" s="49"/>
      <x:c r="I65" s="49"/>
      <x:c r="J65" s="49"/>
      <x:c r="K65" s="49"/>
      <x:c r="L65" s="49"/>
      <x:c r="M65" s="49"/>
      <x:c r="N65" s="49"/>
      <x:c r="O65" s="49"/>
      <x:c r="P65" s="49"/>
      <x:c r="Q65" s="49"/>
      <x:c r="R65" s="49"/>
      <x:c r="S65" s="49"/>
      <x:c r="T65" s="49"/>
      <x:c r="U65" s="49"/>
      <x:c r="V65" s="49"/>
      <x:c r="W65" s="49"/>
      <x:c r="X65" s="49"/>
      <x:c r="Y65" s="49"/>
      <x:c r="Z65" s="49"/>
      <x:c r="AA65" s="49"/>
      <x:c r="AB65" s="49"/>
      <x:c r="AC65" s="49"/>
      <x:c r="AD65" s="49"/>
      <x:c r="AE65" s="49"/>
      <x:c r="AF65" s="49"/>
      <x:c r="AG65" s="49"/>
      <x:c r="AH65" s="49"/>
      <x:c r="AI65" s="49"/>
      <x:c r="AJ65" s="49"/>
      <x:c r="AK65" s="49"/>
      <x:c r="AL65" s="49"/>
      <x:c r="AM65" s="49"/>
      <x:c r="AN65" s="49"/>
      <x:c r="AO65" s="49"/>
      <x:c r="AP65" s="49"/>
      <x:c r="AQ65" s="49"/>
      <x:c r="AR65" s="49"/>
      <x:c r="AS65" s="49"/>
      <x:c r="AT65" s="49"/>
      <x:c r="AU65" s="49"/>
      <x:c r="AV65" s="49"/>
      <x:c r="AW65" s="49"/>
      <x:c r="AX65" s="49"/>
      <x:c r="AY65" s="49"/>
      <x:c r="AZ65" s="49"/>
    </x:row>
    <x:row r="66">
      <x:c r="A66" s="49"/>
      <x:c r="B66" s="49"/>
      <x:c r="C66" s="49"/>
      <x:c r="D66" s="49"/>
      <x:c r="E66" s="49"/>
      <x:c r="F66" s="49"/>
      <x:c r="G66" s="49"/>
      <x:c r="H66" s="49"/>
      <x:c r="I66" s="49"/>
      <x:c r="J66" s="49"/>
      <x:c r="K66" s="49"/>
      <x:c r="L66" s="49"/>
      <x:c r="M66" s="49"/>
      <x:c r="N66" s="49"/>
      <x:c r="O66" s="49"/>
      <x:c r="P66" s="49"/>
      <x:c r="Q66" s="49"/>
      <x:c r="R66" s="49"/>
      <x:c r="S66" s="49"/>
      <x:c r="T66" s="49"/>
      <x:c r="U66" s="49"/>
      <x:c r="V66" s="49"/>
      <x:c r="W66" s="49"/>
      <x:c r="X66" s="49"/>
      <x:c r="Y66" s="49"/>
      <x:c r="Z66" s="49"/>
      <x:c r="AA66" s="49"/>
      <x:c r="AB66" s="49"/>
      <x:c r="AC66" s="49"/>
      <x:c r="AD66" s="49"/>
      <x:c r="AE66" s="49"/>
      <x:c r="AF66" s="49"/>
      <x:c r="AG66" s="49"/>
      <x:c r="AH66" s="49"/>
      <x:c r="AI66" s="49"/>
      <x:c r="AJ66" s="49"/>
      <x:c r="AK66" s="49"/>
      <x:c r="AL66" s="49"/>
      <x:c r="AM66" s="49"/>
      <x:c r="AN66" s="49"/>
      <x:c r="AO66" s="49"/>
      <x:c r="AP66" s="49"/>
      <x:c r="AQ66" s="49"/>
      <x:c r="AR66" s="49"/>
      <x:c r="AS66" s="49"/>
      <x:c r="AT66" s="49"/>
      <x:c r="AU66" s="49"/>
      <x:c r="AV66" s="49"/>
      <x:c r="AW66" s="49"/>
      <x:c r="AX66" s="49"/>
      <x:c r="AY66" s="49"/>
      <x:c r="AZ66" s="49"/>
    </x:row>
    <x:row r="67">
      <x:c r="A67" s="49"/>
      <x:c r="B67" s="49"/>
      <x:c r="C67" s="49"/>
      <x:c r="D67" s="49"/>
      <x:c r="E67" s="49"/>
      <x:c r="F67" s="49"/>
      <x:c r="G67" s="49"/>
      <x:c r="H67" s="49"/>
      <x:c r="I67" s="49"/>
      <x:c r="J67" s="49"/>
      <x:c r="K67" s="49"/>
      <x:c r="L67" s="49"/>
      <x:c r="M67" s="49"/>
      <x:c r="N67" s="49"/>
      <x:c r="O67" s="49"/>
      <x:c r="P67" s="49"/>
      <x:c r="Q67" s="49"/>
      <x:c r="R67" s="49"/>
      <x:c r="S67" s="49"/>
      <x:c r="T67" s="49"/>
      <x:c r="U67" s="49"/>
      <x:c r="V67" s="49"/>
      <x:c r="W67" s="49"/>
      <x:c r="X67" s="49"/>
      <x:c r="Y67" s="49"/>
      <x:c r="Z67" s="49"/>
      <x:c r="AA67" s="49"/>
      <x:c r="AB67" s="49"/>
      <x:c r="AC67" s="49"/>
      <x:c r="AD67" s="49"/>
      <x:c r="AE67" s="49"/>
      <x:c r="AF67" s="49"/>
      <x:c r="AG67" s="49"/>
      <x:c r="AH67" s="49"/>
      <x:c r="AI67" s="49"/>
      <x:c r="AJ67" s="49"/>
      <x:c r="AK67" s="49"/>
      <x:c r="AL67" s="49"/>
      <x:c r="AM67" s="49"/>
      <x:c r="AN67" s="49"/>
      <x:c r="AO67" s="49"/>
      <x:c r="AP67" s="49"/>
      <x:c r="AQ67" s="49"/>
      <x:c r="AR67" s="49"/>
      <x:c r="AS67" s="49"/>
      <x:c r="AT67" s="49"/>
      <x:c r="AU67" s="49"/>
      <x:c r="AV67" s="49"/>
      <x:c r="AW67" s="49"/>
      <x:c r="AX67" s="49"/>
      <x:c r="AY67" s="49"/>
      <x:c r="AZ67" s="49"/>
    </x:row>
    <x:row r="68">
      <x:c r="A68" s="49"/>
      <x:c r="B68" s="49"/>
      <x:c r="C68" s="49"/>
      <x:c r="D68" s="49"/>
      <x:c r="E68" s="49"/>
      <x:c r="F68" s="49"/>
      <x:c r="G68" s="49"/>
      <x:c r="H68" s="49"/>
      <x:c r="I68" s="49"/>
      <x:c r="J68" s="49"/>
      <x:c r="K68" s="49"/>
      <x:c r="L68" s="49"/>
      <x:c r="M68" s="49"/>
      <x:c r="N68" s="49"/>
      <x:c r="O68" s="49"/>
      <x:c r="P68" s="49"/>
      <x:c r="Q68" s="49"/>
      <x:c r="R68" s="49"/>
      <x:c r="S68" s="49"/>
      <x:c r="T68" s="49"/>
      <x:c r="U68" s="49"/>
      <x:c r="V68" s="49"/>
      <x:c r="W68" s="49"/>
      <x:c r="X68" s="49"/>
      <x:c r="Y68" s="49"/>
      <x:c r="Z68" s="49"/>
      <x:c r="AA68" s="49"/>
      <x:c r="AB68" s="49"/>
      <x:c r="AC68" s="49"/>
      <x:c r="AD68" s="49"/>
      <x:c r="AE68" s="49"/>
      <x:c r="AF68" s="49"/>
      <x:c r="AG68" s="49"/>
      <x:c r="AH68" s="49"/>
      <x:c r="AI68" s="49"/>
      <x:c r="AJ68" s="49"/>
      <x:c r="AK68" s="49"/>
      <x:c r="AL68" s="49"/>
      <x:c r="AM68" s="49"/>
      <x:c r="AN68" s="49"/>
      <x:c r="AO68" s="49"/>
      <x:c r="AP68" s="49"/>
      <x:c r="AQ68" s="49"/>
      <x:c r="AR68" s="49"/>
      <x:c r="AS68" s="49"/>
      <x:c r="AT68" s="49"/>
      <x:c r="AU68" s="49"/>
      <x:c r="AV68" s="49"/>
      <x:c r="AW68" s="49"/>
      <x:c r="AX68" s="49"/>
      <x:c r="AY68" s="49"/>
      <x:c r="AZ68" s="49"/>
    </x:row>
    <x:row r="69">
      <x:c r="A69" s="49"/>
      <x:c r="B69" s="49"/>
      <x:c r="C69" s="49"/>
      <x:c r="D69" s="49"/>
      <x:c r="E69" s="49"/>
      <x:c r="F69" s="49"/>
      <x:c r="G69" s="49"/>
      <x:c r="H69" s="49"/>
      <x:c r="I69" s="49"/>
      <x:c r="J69" s="49"/>
      <x:c r="K69" s="49"/>
      <x:c r="L69" s="49"/>
      <x:c r="M69" s="49"/>
      <x:c r="N69" s="49"/>
      <x:c r="O69" s="49"/>
      <x:c r="P69" s="49"/>
      <x:c r="Q69" s="49"/>
      <x:c r="R69" s="49"/>
      <x:c r="S69" s="49"/>
      <x:c r="T69" s="49"/>
      <x:c r="U69" s="49"/>
      <x:c r="V69" s="49"/>
      <x:c r="W69" s="49"/>
      <x:c r="X69" s="49"/>
      <x:c r="Y69" s="49"/>
      <x:c r="Z69" s="49"/>
      <x:c r="AA69" s="49"/>
      <x:c r="AB69" s="49"/>
      <x:c r="AC69" s="49"/>
      <x:c r="AD69" s="49"/>
      <x:c r="AE69" s="49"/>
      <x:c r="AF69" s="49"/>
      <x:c r="AG69" s="49"/>
      <x:c r="AH69" s="49"/>
      <x:c r="AI69" s="49"/>
      <x:c r="AJ69" s="49"/>
      <x:c r="AK69" s="49"/>
      <x:c r="AL69" s="49"/>
      <x:c r="AM69" s="49"/>
      <x:c r="AN69" s="49"/>
      <x:c r="AO69" s="49"/>
      <x:c r="AP69" s="49"/>
      <x:c r="AQ69" s="49"/>
      <x:c r="AR69" s="49"/>
      <x:c r="AS69" s="49"/>
      <x:c r="AT69" s="49"/>
      <x:c r="AU69" s="49"/>
      <x:c r="AV69" s="49"/>
      <x:c r="AW69" s="49"/>
      <x:c r="AX69" s="49"/>
      <x:c r="AY69" s="49"/>
      <x:c r="AZ69" s="49"/>
    </x:row>
    <x:row r="70">
      <x:c r="A70" s="49"/>
      <x:c r="B70" s="49"/>
      <x:c r="C70" s="49"/>
      <x:c r="D70" s="49"/>
      <x:c r="E70" s="49"/>
      <x:c r="F70" s="49"/>
      <x:c r="G70" s="49"/>
      <x:c r="H70" s="49"/>
      <x:c r="I70" s="49"/>
      <x:c r="J70" s="49"/>
      <x:c r="K70" s="49"/>
      <x:c r="L70" s="49"/>
      <x:c r="M70" s="49"/>
      <x:c r="N70" s="49"/>
      <x:c r="O70" s="49"/>
      <x:c r="P70" s="49"/>
      <x:c r="Q70" s="49"/>
      <x:c r="R70" s="49"/>
      <x:c r="S70" s="49"/>
      <x:c r="T70" s="49"/>
      <x:c r="U70" s="49"/>
      <x:c r="V70" s="49"/>
      <x:c r="W70" s="49"/>
      <x:c r="X70" s="49"/>
      <x:c r="Y70" s="49"/>
      <x:c r="Z70" s="49"/>
      <x:c r="AA70" s="49"/>
      <x:c r="AB70" s="49"/>
      <x:c r="AC70" s="49"/>
      <x:c r="AD70" s="49"/>
      <x:c r="AE70" s="49"/>
      <x:c r="AF70" s="49"/>
      <x:c r="AG70" s="49"/>
      <x:c r="AH70" s="49"/>
      <x:c r="AI70" s="49"/>
      <x:c r="AJ70" s="49"/>
      <x:c r="AK70" s="49"/>
      <x:c r="AL70" s="49"/>
      <x:c r="AM70" s="49"/>
      <x:c r="AN70" s="49"/>
      <x:c r="AO70" s="49"/>
      <x:c r="AP70" s="49"/>
      <x:c r="AQ70" s="49"/>
      <x:c r="AR70" s="49"/>
      <x:c r="AS70" s="49"/>
      <x:c r="AT70" s="49"/>
      <x:c r="AU70" s="49"/>
      <x:c r="AV70" s="49"/>
      <x:c r="AW70" s="49"/>
      <x:c r="AX70" s="49"/>
      <x:c r="AY70" s="49"/>
      <x:c r="AZ70" s="49"/>
    </x:row>
    <x:row r="71">
      <x:c r="A71" s="49"/>
      <x:c r="B71" s="49"/>
      <x:c r="C71" s="49"/>
      <x:c r="D71" s="49"/>
      <x:c r="E71" s="49"/>
      <x:c r="F71" s="49"/>
      <x:c r="G71" s="49"/>
      <x:c r="H71" s="49"/>
      <x:c r="I71" s="49"/>
      <x:c r="J71" s="49"/>
      <x:c r="K71" s="49"/>
      <x:c r="L71" s="49"/>
      <x:c r="M71" s="49"/>
      <x:c r="N71" s="49"/>
      <x:c r="O71" s="49"/>
      <x:c r="P71" s="49"/>
      <x:c r="Q71" s="49"/>
      <x:c r="R71" s="49"/>
      <x:c r="S71" s="49"/>
      <x:c r="T71" s="49"/>
      <x:c r="U71" s="49"/>
      <x:c r="V71" s="49"/>
      <x:c r="W71" s="49"/>
      <x:c r="X71" s="49"/>
      <x:c r="Y71" s="49"/>
      <x:c r="Z71" s="49"/>
      <x:c r="AA71" s="49"/>
      <x:c r="AB71" s="49"/>
      <x:c r="AC71" s="49"/>
      <x:c r="AD71" s="49"/>
      <x:c r="AE71" s="49"/>
      <x:c r="AF71" s="49"/>
      <x:c r="AG71" s="49"/>
      <x:c r="AH71" s="49"/>
      <x:c r="AI71" s="49"/>
      <x:c r="AJ71" s="49"/>
      <x:c r="AK71" s="49"/>
      <x:c r="AL71" s="49"/>
      <x:c r="AM71" s="49"/>
      <x:c r="AN71" s="49"/>
      <x:c r="AO71" s="49"/>
      <x:c r="AP71" s="49"/>
      <x:c r="AQ71" s="49"/>
      <x:c r="AR71" s="49"/>
      <x:c r="AS71" s="49"/>
      <x:c r="AT71" s="49"/>
      <x:c r="AU71" s="49"/>
      <x:c r="AV71" s="49"/>
      <x:c r="AW71" s="49"/>
      <x:c r="AX71" s="49"/>
      <x:c r="AY71" s="49"/>
      <x:c r="AZ71" s="49"/>
    </x:row>
    <x:row r="72">
      <x:c r="A72" s="49"/>
      <x:c r="B72" s="49"/>
      <x:c r="C72" s="49"/>
      <x:c r="D72" s="49"/>
      <x:c r="E72" s="49"/>
      <x:c r="F72" s="49"/>
      <x:c r="G72" s="49"/>
      <x:c r="H72" s="49"/>
      <x:c r="I72" s="49"/>
      <x:c r="J72" s="49"/>
      <x:c r="K72" s="49"/>
      <x:c r="L72" s="49"/>
      <x:c r="M72" s="49"/>
      <x:c r="N72" s="49"/>
      <x:c r="O72" s="49"/>
      <x:c r="P72" s="49"/>
      <x:c r="Q72" s="49"/>
      <x:c r="R72" s="49"/>
      <x:c r="S72" s="49"/>
      <x:c r="T72" s="49"/>
      <x:c r="U72" s="49"/>
      <x:c r="V72" s="49"/>
      <x:c r="W72" s="49"/>
      <x:c r="X72" s="49"/>
      <x:c r="Y72" s="49"/>
      <x:c r="Z72" s="49"/>
      <x:c r="AA72" s="49"/>
      <x:c r="AB72" s="49"/>
      <x:c r="AC72" s="49"/>
      <x:c r="AD72" s="49"/>
      <x:c r="AE72" s="49"/>
      <x:c r="AF72" s="49"/>
      <x:c r="AG72" s="49"/>
      <x:c r="AH72" s="49"/>
      <x:c r="AI72" s="49"/>
      <x:c r="AJ72" s="49"/>
      <x:c r="AK72" s="49"/>
      <x:c r="AL72" s="49"/>
      <x:c r="AM72" s="49"/>
      <x:c r="AN72" s="49"/>
      <x:c r="AO72" s="49"/>
      <x:c r="AP72" s="49"/>
      <x:c r="AQ72" s="49"/>
      <x:c r="AR72" s="49"/>
      <x:c r="AS72" s="49"/>
      <x:c r="AT72" s="49"/>
      <x:c r="AU72" s="49"/>
      <x:c r="AV72" s="49"/>
      <x:c r="AW72" s="49"/>
      <x:c r="AX72" s="49"/>
      <x:c r="AY72" s="49"/>
      <x:c r="AZ72" s="49"/>
    </x:row>
    <x:row r="73">
      <x:c r="A73" s="49"/>
      <x:c r="B73" s="49"/>
      <x:c r="C73" s="49"/>
      <x:c r="D73" s="49"/>
      <x:c r="E73" s="49"/>
      <x:c r="F73" s="49"/>
      <x:c r="G73" s="49"/>
      <x:c r="H73" s="49"/>
      <x:c r="I73" s="49"/>
      <x:c r="J73" s="49"/>
      <x:c r="K73" s="49"/>
      <x:c r="L73" s="49"/>
      <x:c r="M73" s="49"/>
      <x:c r="N73" s="49"/>
      <x:c r="O73" s="49"/>
      <x:c r="P73" s="49"/>
      <x:c r="Q73" s="49"/>
      <x:c r="R73" s="49"/>
      <x:c r="S73" s="49"/>
      <x:c r="T73" s="49"/>
      <x:c r="U73" s="49"/>
      <x:c r="V73" s="49"/>
      <x:c r="W73" s="49"/>
      <x:c r="X73" s="49"/>
      <x:c r="Y73" s="49"/>
      <x:c r="Z73" s="49"/>
      <x:c r="AA73" s="49"/>
      <x:c r="AB73" s="49"/>
      <x:c r="AC73" s="49"/>
      <x:c r="AD73" s="49"/>
      <x:c r="AE73" s="49"/>
      <x:c r="AF73" s="49"/>
      <x:c r="AG73" s="49"/>
      <x:c r="AH73" s="49"/>
      <x:c r="AI73" s="49"/>
      <x:c r="AJ73" s="49"/>
      <x:c r="AK73" s="49"/>
      <x:c r="AL73" s="49"/>
      <x:c r="AM73" s="49"/>
      <x:c r="AN73" s="49"/>
      <x:c r="AO73" s="49"/>
      <x:c r="AP73" s="49"/>
      <x:c r="AQ73" s="49"/>
      <x:c r="AR73" s="49"/>
      <x:c r="AS73" s="49"/>
      <x:c r="AT73" s="49"/>
      <x:c r="AU73" s="49"/>
      <x:c r="AV73" s="49"/>
      <x:c r="AW73" s="49"/>
      <x:c r="AX73" s="49"/>
      <x:c r="AY73" s="49"/>
      <x:c r="AZ73" s="49"/>
    </x:row>
    <x:row r="74">
      <x:c r="A74" s="49"/>
      <x:c r="B74" s="49"/>
      <x:c r="C74" s="49"/>
      <x:c r="D74" s="49"/>
      <x:c r="E74" s="49"/>
      <x:c r="F74" s="49"/>
      <x:c r="G74" s="49"/>
      <x:c r="H74" s="49"/>
      <x:c r="I74" s="49"/>
      <x:c r="J74" s="49"/>
      <x:c r="K74" s="49"/>
      <x:c r="L74" s="49"/>
      <x:c r="M74" s="49"/>
      <x:c r="N74" s="49"/>
      <x:c r="O74" s="49"/>
      <x:c r="P74" s="49"/>
      <x:c r="Q74" s="49"/>
      <x:c r="R74" s="49"/>
      <x:c r="S74" s="49"/>
      <x:c r="T74" s="49"/>
      <x:c r="U74" s="49"/>
      <x:c r="V74" s="49"/>
      <x:c r="W74" s="49"/>
      <x:c r="X74" s="49"/>
      <x:c r="Y74" s="49"/>
      <x:c r="Z74" s="49"/>
      <x:c r="AA74" s="49"/>
      <x:c r="AB74" s="49"/>
      <x:c r="AC74" s="49"/>
      <x:c r="AD74" s="49"/>
      <x:c r="AE74" s="49"/>
      <x:c r="AF74" s="49"/>
      <x:c r="AG74" s="49"/>
      <x:c r="AH74" s="49"/>
      <x:c r="AI74" s="49"/>
      <x:c r="AJ74" s="49"/>
      <x:c r="AK74" s="49"/>
      <x:c r="AL74" s="49"/>
      <x:c r="AM74" s="49"/>
      <x:c r="AN74" s="49"/>
      <x:c r="AO74" s="49"/>
      <x:c r="AP74" s="49"/>
      <x:c r="AQ74" s="49"/>
      <x:c r="AR74" s="49"/>
      <x:c r="AS74" s="49"/>
      <x:c r="AT74" s="49"/>
      <x:c r="AU74" s="49"/>
      <x:c r="AV74" s="49"/>
      <x:c r="AW74" s="49"/>
      <x:c r="AX74" s="49"/>
      <x:c r="AY74" s="49"/>
      <x:c r="AZ74" s="49"/>
    </x:row>
    <x:row r="75">
      <x:c r="A75" s="49"/>
      <x:c r="B75" s="49"/>
      <x:c r="C75" s="49"/>
      <x:c r="D75" s="49"/>
      <x:c r="E75" s="49"/>
      <x:c r="F75" s="49"/>
      <x:c r="G75" s="49"/>
      <x:c r="H75" s="49"/>
      <x:c r="I75" s="49"/>
      <x:c r="J75" s="49"/>
      <x:c r="K75" s="49"/>
      <x:c r="L75" s="49"/>
      <x:c r="M75" s="49"/>
      <x:c r="N75" s="49"/>
      <x:c r="O75" s="49"/>
      <x:c r="P75" s="49"/>
      <x:c r="Q75" s="49"/>
      <x:c r="R75" s="49"/>
      <x:c r="S75" s="49"/>
      <x:c r="T75" s="49"/>
      <x:c r="U75" s="49"/>
      <x:c r="V75" s="49"/>
      <x:c r="W75" s="49"/>
      <x:c r="X75" s="49"/>
      <x:c r="Y75" s="49"/>
      <x:c r="Z75" s="49"/>
      <x:c r="AA75" s="49"/>
      <x:c r="AB75" s="49"/>
      <x:c r="AC75" s="49"/>
      <x:c r="AD75" s="49"/>
      <x:c r="AE75" s="49"/>
      <x:c r="AF75" s="49"/>
      <x:c r="AG75" s="49"/>
      <x:c r="AH75" s="49"/>
      <x:c r="AI75" s="49"/>
      <x:c r="AJ75" s="49"/>
      <x:c r="AK75" s="49"/>
      <x:c r="AL75" s="49"/>
      <x:c r="AM75" s="49"/>
      <x:c r="AN75" s="49"/>
      <x:c r="AO75" s="49"/>
      <x:c r="AP75" s="49"/>
      <x:c r="AQ75" s="49"/>
      <x:c r="AR75" s="49"/>
      <x:c r="AS75" s="49"/>
      <x:c r="AT75" s="49"/>
      <x:c r="AU75" s="49"/>
      <x:c r="AV75" s="49"/>
      <x:c r="AW75" s="49"/>
      <x:c r="AX75" s="49"/>
      <x:c r="AY75" s="49"/>
      <x:c r="AZ75" s="49"/>
    </x:row>
    <x:row r="76">
      <x:c r="A76" s="49"/>
      <x:c r="B76" s="49"/>
      <x:c r="C76" s="49"/>
      <x:c r="D76" s="49"/>
      <x:c r="E76" s="49"/>
      <x:c r="F76" s="49"/>
      <x:c r="G76" s="49"/>
      <x:c r="H76" s="49"/>
      <x:c r="I76" s="49"/>
      <x:c r="J76" s="49"/>
      <x:c r="K76" s="49"/>
      <x:c r="L76" s="49"/>
      <x:c r="M76" s="49"/>
      <x:c r="N76" s="49"/>
      <x:c r="O76" s="49"/>
      <x:c r="P76" s="49"/>
      <x:c r="Q76" s="49"/>
      <x:c r="R76" s="49"/>
      <x:c r="S76" s="49"/>
      <x:c r="T76" s="49"/>
      <x:c r="U76" s="49"/>
      <x:c r="V76" s="49"/>
      <x:c r="W76" s="49"/>
      <x:c r="X76" s="49"/>
      <x:c r="Y76" s="49"/>
      <x:c r="Z76" s="49"/>
      <x:c r="AA76" s="49"/>
      <x:c r="AB76" s="49"/>
      <x:c r="AC76" s="49"/>
      <x:c r="AD76" s="49"/>
      <x:c r="AE76" s="49"/>
      <x:c r="AF76" s="49"/>
      <x:c r="AG76" s="49"/>
      <x:c r="AH76" s="49"/>
      <x:c r="AI76" s="49"/>
      <x:c r="AJ76" s="49"/>
      <x:c r="AK76" s="49"/>
      <x:c r="AL76" s="49"/>
      <x:c r="AM76" s="49"/>
      <x:c r="AN76" s="49"/>
      <x:c r="AO76" s="49"/>
      <x:c r="AP76" s="49"/>
      <x:c r="AQ76" s="49"/>
      <x:c r="AR76" s="49"/>
      <x:c r="AS76" s="49"/>
      <x:c r="AT76" s="49"/>
      <x:c r="AU76" s="49"/>
      <x:c r="AV76" s="49"/>
      <x:c r="AW76" s="49"/>
      <x:c r="AX76" s="49"/>
      <x:c r="AY76" s="49"/>
      <x:c r="AZ76" s="49"/>
    </x:row>
    <x:row r="77">
      <x:c r="A77" s="49"/>
      <x:c r="B77" s="49"/>
      <x:c r="C77" s="49"/>
      <x:c r="D77" s="49"/>
      <x:c r="E77" s="49"/>
      <x:c r="F77" s="49"/>
      <x:c r="G77" s="49"/>
      <x:c r="H77" s="49"/>
      <x:c r="I77" s="49"/>
      <x:c r="J77" s="49"/>
      <x:c r="K77" s="49"/>
      <x:c r="L77" s="49"/>
      <x:c r="M77" s="49"/>
      <x:c r="N77" s="49"/>
      <x:c r="O77" s="49"/>
      <x:c r="P77" s="49"/>
      <x:c r="Q77" s="49"/>
      <x:c r="R77" s="49"/>
      <x:c r="S77" s="49"/>
      <x:c r="T77" s="49"/>
      <x:c r="U77" s="49"/>
      <x:c r="V77" s="49"/>
      <x:c r="W77" s="49"/>
      <x:c r="X77" s="49"/>
      <x:c r="Y77" s="49"/>
      <x:c r="Z77" s="49"/>
      <x:c r="AA77" s="49"/>
      <x:c r="AB77" s="49"/>
      <x:c r="AC77" s="49"/>
      <x:c r="AD77" s="49"/>
      <x:c r="AE77" s="49"/>
      <x:c r="AF77" s="49"/>
      <x:c r="AG77" s="49"/>
      <x:c r="AH77" s="49"/>
      <x:c r="AI77" s="49"/>
      <x:c r="AJ77" s="49"/>
      <x:c r="AK77" s="49"/>
      <x:c r="AL77" s="49"/>
      <x:c r="AM77" s="49"/>
      <x:c r="AN77" s="49"/>
      <x:c r="AO77" s="49"/>
      <x:c r="AP77" s="49"/>
      <x:c r="AQ77" s="49"/>
      <x:c r="AR77" s="49"/>
      <x:c r="AS77" s="49"/>
      <x:c r="AT77" s="49"/>
      <x:c r="AU77" s="49"/>
      <x:c r="AV77" s="49"/>
      <x:c r="AW77" s="49"/>
      <x:c r="AX77" s="49"/>
      <x:c r="AY77" s="49"/>
      <x:c r="AZ77" s="49"/>
    </x:row>
    <x:row r="78">
      <x:c r="A78" s="49"/>
      <x:c r="B78" s="49"/>
      <x:c r="C78" s="49"/>
      <x:c r="D78" s="49"/>
      <x:c r="E78" s="49"/>
      <x:c r="F78" s="49"/>
      <x:c r="G78" s="49"/>
      <x:c r="H78" s="49"/>
      <x:c r="I78" s="49"/>
      <x:c r="J78" s="49"/>
      <x:c r="K78" s="49"/>
      <x:c r="L78" s="49"/>
      <x:c r="M78" s="49"/>
      <x:c r="N78" s="49"/>
      <x:c r="O78" s="49"/>
      <x:c r="P78" s="49"/>
      <x:c r="Q78" s="49"/>
      <x:c r="R78" s="49"/>
      <x:c r="S78" s="49"/>
      <x:c r="T78" s="49"/>
      <x:c r="U78" s="49"/>
      <x:c r="V78" s="49"/>
      <x:c r="W78" s="49"/>
      <x:c r="X78" s="49"/>
      <x:c r="Y78" s="49"/>
      <x:c r="Z78" s="49"/>
      <x:c r="AA78" s="49"/>
      <x:c r="AB78" s="49"/>
      <x:c r="AC78" s="49"/>
      <x:c r="AD78" s="49"/>
      <x:c r="AE78" s="49"/>
      <x:c r="AF78" s="49"/>
      <x:c r="AG78" s="49"/>
      <x:c r="AH78" s="49"/>
      <x:c r="AI78" s="49"/>
      <x:c r="AJ78" s="49"/>
      <x:c r="AK78" s="49"/>
      <x:c r="AL78" s="49"/>
      <x:c r="AM78" s="49"/>
      <x:c r="AN78" s="49"/>
      <x:c r="AO78" s="49"/>
      <x:c r="AP78" s="49"/>
      <x:c r="AQ78" s="49"/>
      <x:c r="AR78" s="49"/>
      <x:c r="AS78" s="49"/>
      <x:c r="AT78" s="49"/>
      <x:c r="AU78" s="49"/>
      <x:c r="AV78" s="49"/>
      <x:c r="AW78" s="49"/>
      <x:c r="AX78" s="49"/>
      <x:c r="AY78" s="49"/>
      <x:c r="AZ78" s="49"/>
    </x:row>
    <x:row r="79">
      <x:c r="A79" s="49"/>
      <x:c r="B79" s="49"/>
      <x:c r="C79" s="49"/>
      <x:c r="D79" s="49"/>
      <x:c r="E79" s="49"/>
      <x:c r="F79" s="49"/>
      <x:c r="G79" s="49"/>
      <x:c r="H79" s="49"/>
      <x:c r="I79" s="49"/>
      <x:c r="J79" s="49"/>
      <x:c r="K79" s="49"/>
      <x:c r="L79" s="49"/>
      <x:c r="M79" s="49"/>
      <x:c r="N79" s="49"/>
      <x:c r="O79" s="49"/>
      <x:c r="P79" s="49"/>
      <x:c r="Q79" s="49"/>
      <x:c r="R79" s="49"/>
      <x:c r="S79" s="49"/>
      <x:c r="T79" s="49"/>
      <x:c r="U79" s="49"/>
      <x:c r="V79" s="49"/>
      <x:c r="W79" s="49"/>
      <x:c r="X79" s="49"/>
      <x:c r="Y79" s="49"/>
      <x:c r="Z79" s="49"/>
      <x:c r="AA79" s="49"/>
      <x:c r="AB79" s="49"/>
      <x:c r="AC79" s="49"/>
      <x:c r="AD79" s="49"/>
      <x:c r="AE79" s="49"/>
      <x:c r="AF79" s="49"/>
      <x:c r="AG79" s="49"/>
      <x:c r="AH79" s="49"/>
      <x:c r="AI79" s="49"/>
      <x:c r="AJ79" s="49"/>
      <x:c r="AK79" s="49"/>
      <x:c r="AL79" s="49"/>
      <x:c r="AM79" s="49"/>
      <x:c r="AN79" s="49"/>
      <x:c r="AO79" s="49"/>
      <x:c r="AP79" s="49"/>
      <x:c r="AQ79" s="49"/>
      <x:c r="AR79" s="49"/>
      <x:c r="AS79" s="49"/>
      <x:c r="AT79" s="49"/>
      <x:c r="AU79" s="49"/>
      <x:c r="AV79" s="49"/>
      <x:c r="AW79" s="49"/>
      <x:c r="AX79" s="49"/>
      <x:c r="AY79" s="49"/>
      <x:c r="AZ79" s="49"/>
    </x:row>
    <x:row r="80">
      <x:c r="A80" s="49"/>
      <x:c r="B80" s="49"/>
      <x:c r="C80" s="49"/>
      <x:c r="D80" s="49"/>
      <x:c r="E80" s="49"/>
      <x:c r="F80" s="49"/>
      <x:c r="G80" s="49"/>
      <x:c r="H80" s="49"/>
      <x:c r="I80" s="49"/>
      <x:c r="J80" s="49"/>
      <x:c r="K80" s="49"/>
      <x:c r="L80" s="49"/>
      <x:c r="M80" s="49"/>
      <x:c r="N80" s="49"/>
      <x:c r="O80" s="49"/>
      <x:c r="P80" s="49"/>
      <x:c r="Q80" s="49"/>
      <x:c r="R80" s="49"/>
      <x:c r="S80" s="49"/>
      <x:c r="T80" s="49"/>
      <x:c r="U80" s="49"/>
      <x:c r="V80" s="49"/>
      <x:c r="W80" s="49"/>
      <x:c r="X80" s="49"/>
      <x:c r="Y80" s="49"/>
      <x:c r="Z80" s="49"/>
      <x:c r="AA80" s="49"/>
      <x:c r="AB80" s="49"/>
      <x:c r="AC80" s="49"/>
      <x:c r="AD80" s="49"/>
      <x:c r="AE80" s="49"/>
      <x:c r="AF80" s="49"/>
      <x:c r="AG80" s="49"/>
      <x:c r="AH80" s="49"/>
      <x:c r="AI80" s="49"/>
      <x:c r="AJ80" s="49"/>
      <x:c r="AK80" s="49"/>
      <x:c r="AL80" s="49"/>
      <x:c r="AM80" s="49"/>
      <x:c r="AN80" s="49"/>
      <x:c r="AO80" s="49"/>
      <x:c r="AP80" s="49"/>
      <x:c r="AQ80" s="49"/>
      <x:c r="AR80" s="49"/>
      <x:c r="AS80" s="49"/>
      <x:c r="AT80" s="49"/>
      <x:c r="AU80" s="49"/>
      <x:c r="AV80" s="49"/>
      <x:c r="AW80" s="49"/>
      <x:c r="AX80" s="49"/>
      <x:c r="AY80" s="49"/>
      <x:c r="AZ80" s="49"/>
    </x:row>
    <x:row r="81">
      <x:c r="A81" s="49"/>
      <x:c r="B81" s="49"/>
      <x:c r="C81" s="49"/>
      <x:c r="D81" s="49"/>
      <x:c r="E81" s="49"/>
      <x:c r="F81" s="49"/>
      <x:c r="G81" s="49"/>
      <x:c r="H81" s="49"/>
      <x:c r="I81" s="49"/>
      <x:c r="J81" s="49"/>
      <x:c r="K81" s="49"/>
      <x:c r="L81" s="49"/>
      <x:c r="M81" s="49"/>
      <x:c r="N81" s="49"/>
      <x:c r="O81" s="49"/>
      <x:c r="P81" s="49"/>
      <x:c r="Q81" s="49"/>
      <x:c r="R81" s="49"/>
      <x:c r="S81" s="49"/>
      <x:c r="T81" s="49"/>
      <x:c r="U81" s="49"/>
      <x:c r="V81" s="49"/>
      <x:c r="W81" s="49"/>
      <x:c r="X81" s="49"/>
      <x:c r="Y81" s="49"/>
      <x:c r="Z81" s="49"/>
      <x:c r="AA81" s="49"/>
      <x:c r="AB81" s="49"/>
      <x:c r="AC81" s="49"/>
      <x:c r="AD81" s="49"/>
      <x:c r="AE81" s="49"/>
      <x:c r="AF81" s="49"/>
      <x:c r="AG81" s="49"/>
      <x:c r="AH81" s="49"/>
      <x:c r="AI81" s="49"/>
      <x:c r="AJ81" s="49"/>
      <x:c r="AK81" s="49"/>
      <x:c r="AL81" s="49"/>
      <x:c r="AM81" s="49"/>
      <x:c r="AN81" s="49"/>
      <x:c r="AO81" s="49"/>
      <x:c r="AP81" s="49"/>
      <x:c r="AQ81" s="49"/>
      <x:c r="AR81" s="49"/>
      <x:c r="AS81" s="49"/>
      <x:c r="AT81" s="49"/>
      <x:c r="AU81" s="49"/>
      <x:c r="AV81" s="49"/>
      <x:c r="AW81" s="49"/>
      <x:c r="AX81" s="49"/>
      <x:c r="AY81" s="49"/>
      <x:c r="AZ81" s="49"/>
    </x:row>
    <x:row r="82">
      <x:c r="A82" s="49"/>
      <x:c r="B82" s="49"/>
      <x:c r="C82" s="49"/>
      <x:c r="D82" s="49"/>
      <x:c r="E82" s="49"/>
      <x:c r="F82" s="49"/>
      <x:c r="G82" s="49"/>
      <x:c r="H82" s="49"/>
      <x:c r="I82" s="49"/>
      <x:c r="J82" s="49"/>
      <x:c r="K82" s="49"/>
      <x:c r="L82" s="49"/>
      <x:c r="M82" s="49"/>
      <x:c r="N82" s="49"/>
      <x:c r="O82" s="49"/>
      <x:c r="P82" s="49"/>
      <x:c r="Q82" s="49"/>
      <x:c r="R82" s="49"/>
      <x:c r="S82" s="49"/>
      <x:c r="T82" s="49"/>
      <x:c r="U82" s="49"/>
      <x:c r="V82" s="49"/>
      <x:c r="W82" s="49"/>
      <x:c r="X82" s="49"/>
      <x:c r="Y82" s="49"/>
      <x:c r="Z82" s="49"/>
      <x:c r="AA82" s="49"/>
      <x:c r="AB82" s="49"/>
      <x:c r="AC82" s="49"/>
      <x:c r="AD82" s="49"/>
      <x:c r="AE82" s="49"/>
      <x:c r="AF82" s="49"/>
      <x:c r="AG82" s="49"/>
      <x:c r="AH82" s="49"/>
      <x:c r="AI82" s="49"/>
      <x:c r="AJ82" s="49"/>
      <x:c r="AK82" s="49"/>
      <x:c r="AL82" s="49"/>
      <x:c r="AM82" s="49"/>
      <x:c r="AN82" s="49"/>
      <x:c r="AO82" s="49"/>
      <x:c r="AP82" s="49"/>
      <x:c r="AQ82" s="49"/>
      <x:c r="AR82" s="49"/>
      <x:c r="AS82" s="49"/>
      <x:c r="AT82" s="49"/>
      <x:c r="AU82" s="49"/>
      <x:c r="AV82" s="49"/>
      <x:c r="AW82" s="49"/>
      <x:c r="AX82" s="49"/>
      <x:c r="AY82" s="49"/>
      <x:c r="AZ82" s="49"/>
    </x:row>
    <x:row r="83">
      <x:c r="A83" s="49"/>
      <x:c r="B83" s="49"/>
      <x:c r="C83" s="49"/>
      <x:c r="D83" s="49"/>
      <x:c r="E83" s="49"/>
      <x:c r="F83" s="49"/>
      <x:c r="G83" s="49"/>
      <x:c r="H83" s="49"/>
      <x:c r="I83" s="49"/>
      <x:c r="J83" s="49"/>
      <x:c r="K83" s="49"/>
      <x:c r="L83" s="49"/>
      <x:c r="M83" s="49"/>
      <x:c r="N83" s="49"/>
      <x:c r="O83" s="49"/>
      <x:c r="P83" s="49"/>
      <x:c r="Q83" s="49"/>
      <x:c r="R83" s="49"/>
      <x:c r="S83" s="49"/>
      <x:c r="T83" s="49"/>
      <x:c r="U83" s="49"/>
      <x:c r="V83" s="49"/>
      <x:c r="W83" s="49"/>
      <x:c r="X83" s="49"/>
      <x:c r="Y83" s="49"/>
      <x:c r="Z83" s="49"/>
      <x:c r="AA83" s="49"/>
      <x:c r="AB83" s="49"/>
      <x:c r="AC83" s="49"/>
      <x:c r="AD83" s="49"/>
      <x:c r="AE83" s="49"/>
      <x:c r="AF83" s="49"/>
      <x:c r="AG83" s="49"/>
      <x:c r="AH83" s="49"/>
      <x:c r="AI83" s="49"/>
      <x:c r="AJ83" s="49"/>
      <x:c r="AK83" s="49"/>
      <x:c r="AL83" s="49"/>
      <x:c r="AM83" s="49"/>
      <x:c r="AN83" s="49"/>
      <x:c r="AO83" s="49"/>
      <x:c r="AP83" s="49"/>
      <x:c r="AQ83" s="49"/>
      <x:c r="AR83" s="49"/>
      <x:c r="AS83" s="49"/>
      <x:c r="AT83" s="49"/>
      <x:c r="AU83" s="49"/>
      <x:c r="AV83" s="49"/>
      <x:c r="AW83" s="49"/>
      <x:c r="AX83" s="49"/>
      <x:c r="AY83" s="49"/>
      <x:c r="AZ83" s="49"/>
    </x:row>
    <x:row r="84">
      <x:c r="A84" s="49"/>
      <x:c r="B84" s="49"/>
      <x:c r="C84" s="49"/>
      <x:c r="D84" s="49"/>
      <x:c r="E84" s="49"/>
      <x:c r="F84" s="49"/>
      <x:c r="G84" s="49"/>
      <x:c r="H84" s="49"/>
      <x:c r="I84" s="49"/>
      <x:c r="J84" s="49"/>
      <x:c r="K84" s="49"/>
      <x:c r="L84" s="49"/>
      <x:c r="M84" s="49"/>
      <x:c r="N84" s="49"/>
      <x:c r="O84" s="49"/>
      <x:c r="P84" s="49"/>
      <x:c r="Q84" s="49"/>
      <x:c r="R84" s="49"/>
      <x:c r="S84" s="49"/>
      <x:c r="T84" s="49"/>
      <x:c r="U84" s="49"/>
      <x:c r="V84" s="49"/>
      <x:c r="W84" s="49"/>
      <x:c r="X84" s="49"/>
      <x:c r="Y84" s="49"/>
      <x:c r="Z84" s="49"/>
      <x:c r="AA84" s="49"/>
      <x:c r="AB84" s="49"/>
      <x:c r="AC84" s="49"/>
      <x:c r="AD84" s="49"/>
      <x:c r="AE84" s="49"/>
      <x:c r="AF84" s="49"/>
      <x:c r="AG84" s="49"/>
      <x:c r="AH84" s="49"/>
      <x:c r="AI84" s="49"/>
      <x:c r="AJ84" s="49"/>
      <x:c r="AK84" s="49"/>
      <x:c r="AL84" s="49"/>
      <x:c r="AM84" s="49"/>
      <x:c r="AN84" s="49"/>
      <x:c r="AO84" s="49"/>
      <x:c r="AP84" s="49"/>
      <x:c r="AQ84" s="49"/>
      <x:c r="AR84" s="49"/>
      <x:c r="AS84" s="49"/>
      <x:c r="AT84" s="49"/>
      <x:c r="AU84" s="49"/>
      <x:c r="AV84" s="49"/>
      <x:c r="AW84" s="49"/>
      <x:c r="AX84" s="49"/>
      <x:c r="AY84" s="49"/>
      <x:c r="AZ84" s="49"/>
    </x:row>
    <x:row r="85">
      <x:c r="A85" s="49"/>
      <x:c r="B85" s="49"/>
      <x:c r="C85" s="49"/>
      <x:c r="D85" s="49"/>
      <x:c r="E85" s="49"/>
      <x:c r="F85" s="49"/>
      <x:c r="G85" s="49"/>
      <x:c r="H85" s="49"/>
      <x:c r="I85" s="49"/>
      <x:c r="J85" s="49"/>
      <x:c r="K85" s="49"/>
      <x:c r="L85" s="49"/>
      <x:c r="M85" s="49"/>
      <x:c r="N85" s="49"/>
      <x:c r="O85" s="49"/>
      <x:c r="P85" s="49"/>
      <x:c r="Q85" s="49"/>
      <x:c r="R85" s="49"/>
      <x:c r="S85" s="49"/>
      <x:c r="T85" s="49"/>
      <x:c r="U85" s="49"/>
      <x:c r="V85" s="49"/>
      <x:c r="W85" s="49"/>
      <x:c r="X85" s="49"/>
      <x:c r="Y85" s="49"/>
      <x:c r="Z85" s="49"/>
      <x:c r="AA85" s="49"/>
      <x:c r="AB85" s="49"/>
      <x:c r="AC85" s="49"/>
      <x:c r="AD85" s="49"/>
      <x:c r="AE85" s="49"/>
      <x:c r="AF85" s="49"/>
      <x:c r="AG85" s="49"/>
      <x:c r="AH85" s="49"/>
      <x:c r="AI85" s="49"/>
      <x:c r="AJ85" s="49"/>
      <x:c r="AK85" s="49"/>
      <x:c r="AL85" s="49"/>
      <x:c r="AM85" s="49"/>
      <x:c r="AN85" s="49"/>
      <x:c r="AO85" s="49"/>
      <x:c r="AP85" s="49"/>
      <x:c r="AQ85" s="49"/>
      <x:c r="AR85" s="49"/>
      <x:c r="AS85" s="49"/>
      <x:c r="AT85" s="49"/>
      <x:c r="AU85" s="49"/>
      <x:c r="AV85" s="49"/>
      <x:c r="AW85" s="49"/>
      <x:c r="AX85" s="49"/>
      <x:c r="AY85" s="49"/>
      <x:c r="AZ85" s="49"/>
    </x:row>
    <x:row r="86">
      <x:c r="A86" s="49"/>
      <x:c r="B86" s="49"/>
      <x:c r="C86" s="49"/>
      <x:c r="D86" s="49"/>
      <x:c r="E86" s="49"/>
      <x:c r="F86" s="49"/>
      <x:c r="G86" s="49"/>
      <x:c r="H86" s="49"/>
      <x:c r="I86" s="49"/>
      <x:c r="J86" s="49"/>
      <x:c r="K86" s="49"/>
      <x:c r="L86" s="49"/>
      <x:c r="M86" s="49"/>
      <x:c r="N86" s="49"/>
      <x:c r="O86" s="49"/>
      <x:c r="P86" s="49"/>
      <x:c r="Q86" s="49"/>
      <x:c r="R86" s="49"/>
      <x:c r="S86" s="49"/>
      <x:c r="T86" s="49"/>
      <x:c r="U86" s="49"/>
      <x:c r="V86" s="49"/>
      <x:c r="W86" s="49"/>
      <x:c r="X86" s="49"/>
      <x:c r="Y86" s="49"/>
      <x:c r="Z86" s="49"/>
      <x:c r="AA86" s="49"/>
      <x:c r="AB86" s="49"/>
      <x:c r="AC86" s="49"/>
      <x:c r="AD86" s="49"/>
      <x:c r="AE86" s="49"/>
      <x:c r="AF86" s="49"/>
      <x:c r="AG86" s="49"/>
      <x:c r="AH86" s="49"/>
      <x:c r="AI86" s="49"/>
      <x:c r="AJ86" s="49"/>
      <x:c r="AK86" s="49"/>
      <x:c r="AL86" s="49"/>
      <x:c r="AM86" s="49"/>
      <x:c r="AN86" s="49"/>
      <x:c r="AO86" s="49"/>
      <x:c r="AP86" s="49"/>
      <x:c r="AQ86" s="49"/>
      <x:c r="AR86" s="49"/>
      <x:c r="AS86" s="49"/>
      <x:c r="AT86" s="49"/>
      <x:c r="AU86" s="49"/>
      <x:c r="AV86" s="49"/>
      <x:c r="AW86" s="49"/>
      <x:c r="AX86" s="49"/>
      <x:c r="AY86" s="49"/>
      <x:c r="AZ86" s="49"/>
    </x:row>
    <x:row r="87">
      <x:c r="A87" s="49"/>
      <x:c r="B87" s="49"/>
      <x:c r="C87" s="49"/>
      <x:c r="D87" s="49"/>
      <x:c r="E87" s="49"/>
      <x:c r="F87" s="49"/>
      <x:c r="G87" s="49"/>
      <x:c r="H87" s="49"/>
      <x:c r="I87" s="49"/>
      <x:c r="J87" s="49"/>
      <x:c r="K87" s="49"/>
      <x:c r="L87" s="49"/>
      <x:c r="M87" s="49"/>
      <x:c r="N87" s="49"/>
      <x:c r="O87" s="49"/>
      <x:c r="P87" s="49"/>
      <x:c r="Q87" s="49"/>
      <x:c r="R87" s="49"/>
      <x:c r="S87" s="49"/>
      <x:c r="T87" s="49"/>
      <x:c r="U87" s="49"/>
      <x:c r="V87" s="49"/>
      <x:c r="W87" s="49"/>
      <x:c r="X87" s="49"/>
      <x:c r="Y87" s="49"/>
      <x:c r="Z87" s="49"/>
      <x:c r="AA87" s="49"/>
      <x:c r="AB87" s="49"/>
      <x:c r="AC87" s="49"/>
      <x:c r="AD87" s="49"/>
      <x:c r="AE87" s="49"/>
      <x:c r="AF87" s="49"/>
      <x:c r="AG87" s="49"/>
      <x:c r="AH87" s="49"/>
      <x:c r="AI87" s="49"/>
      <x:c r="AJ87" s="49"/>
      <x:c r="AK87" s="49"/>
      <x:c r="AL87" s="49"/>
      <x:c r="AM87" s="49"/>
      <x:c r="AN87" s="49"/>
      <x:c r="AO87" s="49"/>
      <x:c r="AP87" s="49"/>
      <x:c r="AQ87" s="49"/>
      <x:c r="AR87" s="49"/>
      <x:c r="AS87" s="49"/>
      <x:c r="AT87" s="49"/>
      <x:c r="AU87" s="49"/>
      <x:c r="AV87" s="49"/>
      <x:c r="AW87" s="49"/>
      <x:c r="AX87" s="49"/>
      <x:c r="AY87" s="49"/>
      <x:c r="AZ87" s="49"/>
    </x:row>
    <x:row r="88">
      <x:c r="A88" s="49"/>
      <x:c r="B88" s="49"/>
      <x:c r="C88" s="49"/>
      <x:c r="D88" s="49"/>
      <x:c r="E88" s="49"/>
      <x:c r="F88" s="49"/>
      <x:c r="G88" s="49"/>
      <x:c r="H88" s="49"/>
      <x:c r="I88" s="49"/>
      <x:c r="J88" s="49"/>
      <x:c r="K88" s="49"/>
      <x:c r="L88" s="49"/>
      <x:c r="M88" s="49"/>
      <x:c r="N88" s="49"/>
      <x:c r="O88" s="49"/>
      <x:c r="P88" s="49"/>
      <x:c r="Q88" s="49"/>
      <x:c r="R88" s="49"/>
      <x:c r="S88" s="49"/>
      <x:c r="T88" s="49"/>
      <x:c r="U88" s="49"/>
      <x:c r="V88" s="49"/>
      <x:c r="W88" s="49"/>
      <x:c r="X88" s="49"/>
      <x:c r="Y88" s="49"/>
      <x:c r="Z88" s="49"/>
      <x:c r="AA88" s="49"/>
      <x:c r="AB88" s="49"/>
      <x:c r="AC88" s="49"/>
      <x:c r="AD88" s="49"/>
      <x:c r="AE88" s="49"/>
      <x:c r="AF88" s="49"/>
      <x:c r="AG88" s="49"/>
      <x:c r="AH88" s="49"/>
      <x:c r="AI88" s="49"/>
      <x:c r="AJ88" s="49"/>
      <x:c r="AK88" s="49"/>
      <x:c r="AL88" s="49"/>
      <x:c r="AM88" s="49"/>
      <x:c r="AN88" s="49"/>
      <x:c r="AO88" s="49"/>
      <x:c r="AP88" s="49"/>
      <x:c r="AQ88" s="49"/>
      <x:c r="AR88" s="49"/>
      <x:c r="AS88" s="49"/>
      <x:c r="AT88" s="49"/>
      <x:c r="AU88" s="49"/>
      <x:c r="AV88" s="49"/>
      <x:c r="AW88" s="49"/>
      <x:c r="AX88" s="49"/>
      <x:c r="AY88" s="49"/>
      <x:c r="AZ88" s="49"/>
    </x:row>
    <x:row r="89">
      <x:c r="A89" s="49"/>
      <x:c r="B89" s="49"/>
      <x:c r="C89" s="49"/>
      <x:c r="D89" s="49"/>
      <x:c r="E89" s="49"/>
      <x:c r="F89" s="49"/>
      <x:c r="G89" s="49"/>
      <x:c r="H89" s="49"/>
      <x:c r="I89" s="49"/>
      <x:c r="J89" s="49"/>
      <x:c r="K89" s="49"/>
      <x:c r="L89" s="49"/>
      <x:c r="M89" s="49"/>
      <x:c r="N89" s="49"/>
      <x:c r="O89" s="49"/>
      <x:c r="P89" s="49"/>
      <x:c r="Q89" s="49"/>
      <x:c r="R89" s="49"/>
      <x:c r="S89" s="49"/>
      <x:c r="T89" s="49"/>
      <x:c r="U89" s="49"/>
      <x:c r="V89" s="49"/>
      <x:c r="W89" s="49"/>
      <x:c r="X89" s="49"/>
      <x:c r="Y89" s="49"/>
      <x:c r="Z89" s="49"/>
      <x:c r="AA89" s="49"/>
      <x:c r="AB89" s="49"/>
      <x:c r="AC89" s="49"/>
      <x:c r="AD89" s="49"/>
      <x:c r="AE89" s="49"/>
      <x:c r="AF89" s="49"/>
      <x:c r="AG89" s="49"/>
      <x:c r="AH89" s="49"/>
      <x:c r="AI89" s="49"/>
      <x:c r="AJ89" s="49"/>
      <x:c r="AK89" s="49"/>
      <x:c r="AL89" s="49"/>
      <x:c r="AM89" s="49"/>
      <x:c r="AN89" s="49"/>
      <x:c r="AO89" s="49"/>
      <x:c r="AP89" s="49"/>
      <x:c r="AQ89" s="49"/>
      <x:c r="AR89" s="49"/>
      <x:c r="AS89" s="49"/>
      <x:c r="AT89" s="49"/>
      <x:c r="AU89" s="49"/>
      <x:c r="AV89" s="49"/>
      <x:c r="AW89" s="49"/>
      <x:c r="AX89" s="49"/>
      <x:c r="AY89" s="49"/>
      <x:c r="AZ89" s="49"/>
    </x:row>
    <x:row r="90">
      <x:c r="A90" s="49"/>
      <x:c r="B90" s="49"/>
      <x:c r="C90" s="49"/>
      <x:c r="D90" s="49"/>
      <x:c r="E90" s="49"/>
      <x:c r="F90" s="49"/>
      <x:c r="G90" s="49"/>
      <x:c r="H90" s="49"/>
      <x:c r="I90" s="49"/>
      <x:c r="J90" s="49"/>
      <x:c r="K90" s="49"/>
      <x:c r="L90" s="49"/>
      <x:c r="M90" s="49"/>
      <x:c r="N90" s="49"/>
      <x:c r="O90" s="49"/>
      <x:c r="P90" s="49"/>
      <x:c r="Q90" s="49"/>
      <x:c r="R90" s="49"/>
      <x:c r="S90" s="49"/>
      <x:c r="T90" s="49"/>
      <x:c r="U90" s="49"/>
      <x:c r="V90" s="49"/>
      <x:c r="W90" s="49"/>
      <x:c r="X90" s="49"/>
      <x:c r="Y90" s="49"/>
      <x:c r="Z90" s="49"/>
      <x:c r="AA90" s="49"/>
      <x:c r="AB90" s="49"/>
      <x:c r="AC90" s="49"/>
      <x:c r="AD90" s="49"/>
      <x:c r="AE90" s="49"/>
      <x:c r="AF90" s="49"/>
      <x:c r="AG90" s="49"/>
      <x:c r="AH90" s="49"/>
      <x:c r="AI90" s="49"/>
      <x:c r="AJ90" s="49"/>
      <x:c r="AK90" s="49"/>
      <x:c r="AL90" s="49"/>
      <x:c r="AM90" s="49"/>
      <x:c r="AN90" s="49"/>
      <x:c r="AO90" s="49"/>
      <x:c r="AP90" s="49"/>
      <x:c r="AQ90" s="49"/>
      <x:c r="AR90" s="49"/>
      <x:c r="AS90" s="49"/>
      <x:c r="AT90" s="49"/>
      <x:c r="AU90" s="49"/>
      <x:c r="AV90" s="49"/>
      <x:c r="AW90" s="49"/>
      <x:c r="AX90" s="49"/>
      <x:c r="AY90" s="49"/>
      <x:c r="AZ90" s="49"/>
    </x:row>
    <x:row r="91">
      <x:c r="A91" s="49"/>
      <x:c r="B91" s="49"/>
      <x:c r="C91" s="49"/>
      <x:c r="D91" s="49"/>
      <x:c r="E91" s="49"/>
      <x:c r="F91" s="49"/>
      <x:c r="G91" s="49"/>
      <x:c r="H91" s="49"/>
      <x:c r="I91" s="49"/>
      <x:c r="J91" s="49"/>
      <x:c r="K91" s="49"/>
      <x:c r="L91" s="49"/>
      <x:c r="M91" s="49"/>
      <x:c r="N91" s="49"/>
      <x:c r="O91" s="49"/>
      <x:c r="P91" s="49"/>
      <x:c r="Q91" s="49"/>
      <x:c r="R91" s="49"/>
      <x:c r="S91" s="49"/>
      <x:c r="T91" s="49"/>
      <x:c r="U91" s="49"/>
      <x:c r="V91" s="49"/>
      <x:c r="W91" s="49"/>
      <x:c r="X91" s="49"/>
      <x:c r="Y91" s="49"/>
      <x:c r="Z91" s="49"/>
      <x:c r="AA91" s="49"/>
      <x:c r="AB91" s="49"/>
      <x:c r="AC91" s="49"/>
      <x:c r="AD91" s="49"/>
      <x:c r="AE91" s="49"/>
      <x:c r="AF91" s="49"/>
      <x:c r="AG91" s="49"/>
      <x:c r="AH91" s="49"/>
      <x:c r="AI91" s="49"/>
      <x:c r="AJ91" s="49"/>
      <x:c r="AK91" s="49"/>
      <x:c r="AL91" s="49"/>
      <x:c r="AM91" s="49"/>
      <x:c r="AN91" s="49"/>
      <x:c r="AO91" s="49"/>
      <x:c r="AP91" s="49"/>
      <x:c r="AQ91" s="49"/>
      <x:c r="AR91" s="49"/>
      <x:c r="AS91" s="49"/>
      <x:c r="AT91" s="49"/>
      <x:c r="AU91" s="49"/>
      <x:c r="AV91" s="49"/>
      <x:c r="AW91" s="49"/>
      <x:c r="AX91" s="49"/>
      <x:c r="AY91" s="49"/>
      <x:c r="AZ91" s="49"/>
    </x:row>
    <x:row r="92">
      <x:c r="A92" s="49"/>
      <x:c r="B92" s="49"/>
      <x:c r="C92" s="49"/>
      <x:c r="D92" s="49"/>
      <x:c r="E92" s="49"/>
      <x:c r="F92" s="49"/>
      <x:c r="G92" s="49"/>
      <x:c r="H92" s="49"/>
      <x:c r="I92" s="49"/>
      <x:c r="J92" s="49"/>
      <x:c r="K92" s="49"/>
      <x:c r="L92" s="49"/>
      <x:c r="M92" s="49"/>
      <x:c r="N92" s="49"/>
      <x:c r="O92" s="49"/>
      <x:c r="P92" s="49"/>
      <x:c r="Q92" s="49"/>
      <x:c r="R92" s="49"/>
      <x:c r="S92" s="49"/>
      <x:c r="T92" s="49"/>
      <x:c r="U92" s="49"/>
      <x:c r="V92" s="49"/>
      <x:c r="W92" s="49"/>
      <x:c r="X92" s="49"/>
      <x:c r="Y92" s="49"/>
      <x:c r="Z92" s="49"/>
      <x:c r="AA92" s="49"/>
      <x:c r="AB92" s="49"/>
      <x:c r="AC92" s="49"/>
      <x:c r="AD92" s="49"/>
      <x:c r="AE92" s="49"/>
      <x:c r="AF92" s="49"/>
      <x:c r="AG92" s="49"/>
      <x:c r="AH92" s="49"/>
      <x:c r="AI92" s="49"/>
      <x:c r="AJ92" s="49"/>
      <x:c r="AK92" s="49"/>
      <x:c r="AL92" s="49"/>
      <x:c r="AM92" s="49"/>
      <x:c r="AN92" s="49"/>
      <x:c r="AO92" s="49"/>
      <x:c r="AP92" s="49"/>
      <x:c r="AQ92" s="49"/>
      <x:c r="AR92" s="49"/>
      <x:c r="AS92" s="49"/>
      <x:c r="AT92" s="49"/>
      <x:c r="AU92" s="49"/>
      <x:c r="AV92" s="49"/>
      <x:c r="AW92" s="49"/>
      <x:c r="AX92" s="49"/>
      <x:c r="AY92" s="49"/>
      <x:c r="AZ92" s="49"/>
    </x:row>
    <x:row r="93">
      <x:c r="A93" s="49"/>
      <x:c r="B93" s="49"/>
      <x:c r="C93" s="49"/>
      <x:c r="D93" s="49"/>
      <x:c r="E93" s="49"/>
      <x:c r="F93" s="49"/>
      <x:c r="G93" s="49"/>
      <x:c r="H93" s="49"/>
      <x:c r="I93" s="49"/>
      <x:c r="J93" s="49"/>
      <x:c r="K93" s="49"/>
      <x:c r="L93" s="49"/>
      <x:c r="M93" s="49"/>
      <x:c r="N93" s="49"/>
      <x:c r="O93" s="49"/>
      <x:c r="P93" s="49"/>
      <x:c r="Q93" s="49"/>
      <x:c r="R93" s="49"/>
      <x:c r="S93" s="49"/>
      <x:c r="T93" s="49"/>
      <x:c r="U93" s="49"/>
      <x:c r="V93" s="49"/>
      <x:c r="W93" s="49"/>
      <x:c r="X93" s="49"/>
      <x:c r="Y93" s="49"/>
      <x:c r="Z93" s="49"/>
      <x:c r="AA93" s="49"/>
      <x:c r="AB93" s="49"/>
      <x:c r="AC93" s="49"/>
      <x:c r="AD93" s="49"/>
      <x:c r="AE93" s="49"/>
      <x:c r="AF93" s="49"/>
      <x:c r="AG93" s="49"/>
      <x:c r="AH93" s="49"/>
      <x:c r="AI93" s="49"/>
      <x:c r="AJ93" s="49"/>
      <x:c r="AK93" s="49"/>
      <x:c r="AL93" s="49"/>
      <x:c r="AM93" s="49"/>
      <x:c r="AN93" s="49"/>
      <x:c r="AO93" s="49"/>
      <x:c r="AP93" s="49"/>
      <x:c r="AQ93" s="49"/>
      <x:c r="AR93" s="49"/>
      <x:c r="AS93" s="49"/>
      <x:c r="AT93" s="49"/>
      <x:c r="AU93" s="49"/>
      <x:c r="AV93" s="49"/>
      <x:c r="AW93" s="49"/>
      <x:c r="AX93" s="49"/>
      <x:c r="AY93" s="49"/>
      <x:c r="AZ93" s="49"/>
    </x:row>
    <x:row r="94">
      <x:c r="A94" s="49"/>
      <x:c r="B94" s="49"/>
      <x:c r="C94" s="49"/>
      <x:c r="D94" s="49"/>
      <x:c r="E94" s="49"/>
      <x:c r="F94" s="49"/>
      <x:c r="G94" s="49"/>
      <x:c r="H94" s="49"/>
      <x:c r="I94" s="49"/>
      <x:c r="J94" s="49"/>
      <x:c r="K94" s="49"/>
      <x:c r="L94" s="49"/>
      <x:c r="M94" s="49"/>
      <x:c r="N94" s="49"/>
      <x:c r="O94" s="49"/>
      <x:c r="P94" s="49"/>
      <x:c r="Q94" s="49"/>
      <x:c r="R94" s="49"/>
      <x:c r="S94" s="49"/>
      <x:c r="T94" s="49"/>
      <x:c r="U94" s="49"/>
      <x:c r="V94" s="49"/>
      <x:c r="W94" s="49"/>
      <x:c r="X94" s="49"/>
      <x:c r="Y94" s="49"/>
      <x:c r="Z94" s="49"/>
      <x:c r="AA94" s="49"/>
      <x:c r="AB94" s="49"/>
      <x:c r="AC94" s="49"/>
      <x:c r="AD94" s="49"/>
      <x:c r="AE94" s="49"/>
      <x:c r="AF94" s="49"/>
      <x:c r="AG94" s="49"/>
      <x:c r="AH94" s="49"/>
      <x:c r="AI94" s="49"/>
      <x:c r="AJ94" s="49"/>
      <x:c r="AK94" s="49"/>
      <x:c r="AL94" s="49"/>
      <x:c r="AM94" s="49"/>
      <x:c r="AN94" s="49"/>
      <x:c r="AO94" s="49"/>
      <x:c r="AP94" s="49"/>
      <x:c r="AQ94" s="49"/>
      <x:c r="AR94" s="49"/>
      <x:c r="AS94" s="49"/>
      <x:c r="AT94" s="49"/>
      <x:c r="AU94" s="49"/>
      <x:c r="AV94" s="49"/>
      <x:c r="AW94" s="49"/>
      <x:c r="AX94" s="49"/>
      <x:c r="AY94" s="49"/>
      <x:c r="AZ94" s="49"/>
    </x:row>
    <x:row r="95">
      <x:c r="A95" s="49"/>
      <x:c r="B95" s="49"/>
      <x:c r="C95" s="49"/>
      <x:c r="D95" s="49"/>
      <x:c r="E95" s="49"/>
      <x:c r="F95" s="49"/>
      <x:c r="G95" s="49"/>
      <x:c r="H95" s="49"/>
      <x:c r="I95" s="49"/>
      <x:c r="J95" s="49"/>
      <x:c r="K95" s="49"/>
      <x:c r="L95" s="49"/>
      <x:c r="M95" s="49"/>
      <x:c r="N95" s="49"/>
      <x:c r="O95" s="49"/>
      <x:c r="P95" s="49"/>
      <x:c r="Q95" s="49"/>
      <x:c r="R95" s="49"/>
      <x:c r="S95" s="49"/>
      <x:c r="T95" s="49"/>
      <x:c r="U95" s="49"/>
      <x:c r="V95" s="49"/>
      <x:c r="W95" s="49"/>
      <x:c r="X95" s="49"/>
      <x:c r="Y95" s="49"/>
      <x:c r="Z95" s="49"/>
      <x:c r="AA95" s="49"/>
      <x:c r="AB95" s="49"/>
      <x:c r="AC95" s="49"/>
      <x:c r="AD95" s="49"/>
      <x:c r="AE95" s="49"/>
      <x:c r="AF95" s="49"/>
      <x:c r="AG95" s="49"/>
      <x:c r="AH95" s="49"/>
      <x:c r="AI95" s="49"/>
      <x:c r="AJ95" s="49"/>
      <x:c r="AK95" s="49"/>
      <x:c r="AL95" s="49"/>
      <x:c r="AM95" s="49"/>
      <x:c r="AN95" s="49"/>
      <x:c r="AO95" s="49"/>
      <x:c r="AP95" s="49"/>
      <x:c r="AQ95" s="49"/>
      <x:c r="AR95" s="49"/>
      <x:c r="AS95" s="49"/>
      <x:c r="AT95" s="49"/>
      <x:c r="AU95" s="49"/>
      <x:c r="AV95" s="49"/>
      <x:c r="AW95" s="49"/>
      <x:c r="AX95" s="49"/>
      <x:c r="AY95" s="49"/>
      <x:c r="AZ95" s="49"/>
    </x:row>
    <x:row r="96">
      <x:c r="A96" s="49"/>
      <x:c r="B96" s="49"/>
      <x:c r="C96" s="49"/>
      <x:c r="D96" s="49"/>
      <x:c r="E96" s="49"/>
      <x:c r="F96" s="49"/>
      <x:c r="G96" s="49"/>
      <x:c r="H96" s="49"/>
      <x:c r="I96" s="49"/>
      <x:c r="J96" s="49"/>
      <x:c r="K96" s="49"/>
      <x:c r="L96" s="49"/>
      <x:c r="M96" s="49"/>
      <x:c r="N96" s="49"/>
      <x:c r="O96" s="49"/>
      <x:c r="P96" s="49"/>
      <x:c r="Q96" s="49"/>
      <x:c r="R96" s="49"/>
      <x:c r="S96" s="49"/>
      <x:c r="T96" s="49"/>
      <x:c r="U96" s="49"/>
      <x:c r="V96" s="49"/>
      <x:c r="W96" s="49"/>
      <x:c r="X96" s="49"/>
      <x:c r="Y96" s="49"/>
      <x:c r="Z96" s="49"/>
      <x:c r="AA96" s="49"/>
      <x:c r="AB96" s="49"/>
      <x:c r="AC96" s="49"/>
      <x:c r="AD96" s="49"/>
      <x:c r="AE96" s="49"/>
      <x:c r="AF96" s="49"/>
      <x:c r="AG96" s="49"/>
      <x:c r="AH96" s="49"/>
      <x:c r="AI96" s="49"/>
      <x:c r="AJ96" s="49"/>
      <x:c r="AK96" s="49"/>
      <x:c r="AL96" s="49"/>
      <x:c r="AM96" s="49"/>
      <x:c r="AN96" s="49"/>
      <x:c r="AO96" s="49"/>
      <x:c r="AP96" s="49"/>
      <x:c r="AQ96" s="49"/>
      <x:c r="AR96" s="49"/>
      <x:c r="AS96" s="49"/>
      <x:c r="AT96" s="49"/>
      <x:c r="AU96" s="49"/>
      <x:c r="AV96" s="49"/>
      <x:c r="AW96" s="49"/>
      <x:c r="AX96" s="49"/>
      <x:c r="AY96" s="49"/>
      <x:c r="AZ96" s="49"/>
    </x:row>
    <x:row r="97">
      <x:c r="A97" s="49"/>
      <x:c r="B97" s="49"/>
      <x:c r="C97" s="49"/>
      <x:c r="D97" s="49"/>
      <x:c r="E97" s="49"/>
      <x:c r="F97" s="49"/>
      <x:c r="G97" s="49"/>
      <x:c r="H97" s="49"/>
      <x:c r="I97" s="49"/>
      <x:c r="J97" s="49"/>
      <x:c r="K97" s="49"/>
      <x:c r="L97" s="49"/>
      <x:c r="M97" s="49"/>
      <x:c r="N97" s="49"/>
      <x:c r="O97" s="49"/>
      <x:c r="P97" s="49"/>
      <x:c r="Q97" s="49"/>
      <x:c r="R97" s="49"/>
      <x:c r="S97" s="49"/>
      <x:c r="T97" s="49"/>
      <x:c r="U97" s="49"/>
      <x:c r="V97" s="49"/>
      <x:c r="W97" s="49"/>
      <x:c r="X97" s="49"/>
      <x:c r="Y97" s="49"/>
      <x:c r="Z97" s="49"/>
      <x:c r="AA97" s="49"/>
      <x:c r="AB97" s="49"/>
      <x:c r="AC97" s="49"/>
      <x:c r="AD97" s="49"/>
      <x:c r="AE97" s="49"/>
      <x:c r="AF97" s="49"/>
      <x:c r="AG97" s="49"/>
      <x:c r="AH97" s="49"/>
      <x:c r="AI97" s="49"/>
      <x:c r="AJ97" s="49"/>
      <x:c r="AK97" s="49"/>
      <x:c r="AL97" s="49"/>
      <x:c r="AM97" s="49"/>
      <x:c r="AN97" s="49"/>
      <x:c r="AO97" s="49"/>
      <x:c r="AP97" s="49"/>
      <x:c r="AQ97" s="49"/>
      <x:c r="AR97" s="49"/>
      <x:c r="AS97" s="49"/>
      <x:c r="AT97" s="49"/>
      <x:c r="AU97" s="49"/>
      <x:c r="AV97" s="49"/>
      <x:c r="AW97" s="49"/>
      <x:c r="AX97" s="49"/>
      <x:c r="AY97" s="49"/>
      <x:c r="AZ97" s="49"/>
    </x:row>
    <x:row r="98">
      <x:c r="A98" s="49"/>
      <x:c r="B98" s="49"/>
      <x:c r="C98" s="49"/>
      <x:c r="D98" s="49"/>
      <x:c r="E98" s="49"/>
      <x:c r="F98" s="49"/>
      <x:c r="G98" s="49"/>
      <x:c r="H98" s="49"/>
      <x:c r="I98" s="49"/>
      <x:c r="J98" s="49"/>
      <x:c r="K98" s="49"/>
      <x:c r="L98" s="49"/>
      <x:c r="M98" s="49"/>
      <x:c r="N98" s="49"/>
      <x:c r="O98" s="49"/>
      <x:c r="P98" s="49"/>
      <x:c r="Q98" s="49"/>
      <x:c r="R98" s="49"/>
      <x:c r="S98" s="49"/>
      <x:c r="T98" s="49"/>
      <x:c r="U98" s="49"/>
      <x:c r="V98" s="49"/>
      <x:c r="W98" s="49"/>
      <x:c r="X98" s="49"/>
      <x:c r="Y98" s="49"/>
      <x:c r="Z98" s="49"/>
      <x:c r="AA98" s="49"/>
      <x:c r="AB98" s="49"/>
      <x:c r="AC98" s="49"/>
      <x:c r="AD98" s="49"/>
      <x:c r="AE98" s="49"/>
      <x:c r="AF98" s="49"/>
      <x:c r="AG98" s="49"/>
      <x:c r="AH98" s="49"/>
      <x:c r="AI98" s="49"/>
      <x:c r="AJ98" s="49"/>
      <x:c r="AK98" s="49"/>
      <x:c r="AL98" s="49"/>
      <x:c r="AM98" s="49"/>
      <x:c r="AN98" s="49"/>
      <x:c r="AO98" s="49"/>
      <x:c r="AP98" s="49"/>
      <x:c r="AQ98" s="49"/>
      <x:c r="AR98" s="49"/>
      <x:c r="AS98" s="49"/>
      <x:c r="AT98" s="49"/>
      <x:c r="AU98" s="49"/>
      <x:c r="AV98" s="49"/>
      <x:c r="AW98" s="49"/>
      <x:c r="AX98" s="49"/>
      <x:c r="AY98" s="49"/>
      <x:c r="AZ98" s="49"/>
    </x:row>
    <x:row r="99">
      <x:c r="A99" s="49"/>
      <x:c r="B99" s="49"/>
      <x:c r="C99" s="49"/>
      <x:c r="D99" s="49"/>
      <x:c r="E99" s="49"/>
      <x:c r="F99" s="49"/>
      <x:c r="G99" s="49"/>
      <x:c r="H99" s="49"/>
      <x:c r="I99" s="49"/>
      <x:c r="J99" s="49"/>
      <x:c r="K99" s="49"/>
      <x:c r="L99" s="49"/>
      <x:c r="M99" s="49"/>
      <x:c r="N99" s="49"/>
      <x:c r="O99" s="49"/>
      <x:c r="P99" s="49"/>
      <x:c r="Q99" s="49"/>
      <x:c r="R99" s="49"/>
      <x:c r="S99" s="49"/>
      <x:c r="T99" s="49"/>
      <x:c r="U99" s="49"/>
      <x:c r="V99" s="49"/>
      <x:c r="W99" s="49"/>
      <x:c r="X99" s="49"/>
      <x:c r="Y99" s="49"/>
      <x:c r="Z99" s="49"/>
      <x:c r="AA99" s="49"/>
      <x:c r="AB99" s="49"/>
      <x:c r="AC99" s="49"/>
      <x:c r="AD99" s="49"/>
      <x:c r="AE99" s="49"/>
      <x:c r="AF99" s="49"/>
      <x:c r="AG99" s="49"/>
      <x:c r="AH99" s="49"/>
      <x:c r="AI99" s="49"/>
      <x:c r="AJ99" s="49"/>
      <x:c r="AK99" s="49"/>
      <x:c r="AL99" s="49"/>
      <x:c r="AM99" s="49"/>
      <x:c r="AN99" s="49"/>
      <x:c r="AO99" s="49"/>
      <x:c r="AP99" s="49"/>
      <x:c r="AQ99" s="49"/>
      <x:c r="AR99" s="49"/>
      <x:c r="AS99" s="49"/>
      <x:c r="AT99" s="49"/>
      <x:c r="AU99" s="49"/>
      <x:c r="AV99" s="49"/>
      <x:c r="AW99" s="49"/>
      <x:c r="AX99" s="49"/>
      <x:c r="AY99" s="49"/>
      <x:c r="AZ99" s="49"/>
    </x:row>
    <x:row r="100">
      <x:c r="A100" s="49"/>
      <x:c r="B100" s="49"/>
      <x:c r="C100" s="49"/>
      <x:c r="D100" s="49"/>
      <x:c r="E100" s="49"/>
      <x:c r="F100" s="49"/>
      <x:c r="G100" s="49"/>
      <x:c r="H100" s="49"/>
      <x:c r="I100" s="49"/>
      <x:c r="J100" s="49"/>
      <x:c r="K100" s="49"/>
      <x:c r="L100" s="49"/>
      <x:c r="M100" s="49"/>
      <x:c r="N100" s="49"/>
      <x:c r="O100" s="49"/>
      <x:c r="P100" s="49"/>
      <x:c r="Q100" s="49"/>
      <x:c r="R100" s="49"/>
      <x:c r="S100" s="49"/>
      <x:c r="T100" s="49"/>
      <x:c r="U100" s="49"/>
      <x:c r="V100" s="49"/>
      <x:c r="W100" s="49"/>
      <x:c r="X100" s="49"/>
      <x:c r="Y100" s="49"/>
      <x:c r="Z100" s="49"/>
      <x:c r="AA100" s="49"/>
      <x:c r="AB100" s="49"/>
      <x:c r="AC100" s="49"/>
      <x:c r="AD100" s="49"/>
      <x:c r="AE100" s="49"/>
      <x:c r="AF100" s="49"/>
      <x:c r="AG100" s="49"/>
      <x:c r="AH100" s="49"/>
      <x:c r="AI100" s="49"/>
      <x:c r="AJ100" s="49"/>
      <x:c r="AK100" s="49"/>
      <x:c r="AL100" s="49"/>
      <x:c r="AM100" s="49"/>
      <x:c r="AN100" s="49"/>
      <x:c r="AO100" s="49"/>
      <x:c r="AP100" s="49"/>
      <x:c r="AQ100" s="49"/>
      <x:c r="AR100" s="49"/>
      <x:c r="AS100" s="49"/>
      <x:c r="AT100" s="49"/>
      <x:c r="AU100" s="49"/>
      <x:c r="AV100" s="49"/>
      <x:c r="AW100" s="49"/>
      <x:c r="AX100" s="49"/>
      <x:c r="AY100" s="49"/>
      <x:c r="AZ100" s="49"/>
    </x:row>
    <x:row r="101">
      <x:c r="A101" s="49"/>
      <x:c r="B101" s="49"/>
      <x:c r="C101" s="49"/>
      <x:c r="D101" s="49"/>
      <x:c r="E101" s="49"/>
      <x:c r="F101" s="49"/>
      <x:c r="G101" s="49"/>
      <x:c r="H101" s="49"/>
      <x:c r="I101" s="49"/>
      <x:c r="J101" s="49"/>
      <x:c r="K101" s="49"/>
      <x:c r="L101" s="49"/>
      <x:c r="M101" s="49"/>
      <x:c r="N101" s="49"/>
      <x:c r="O101" s="49"/>
      <x:c r="P101" s="49"/>
      <x:c r="Q101" s="49"/>
      <x:c r="R101" s="49"/>
      <x:c r="S101" s="49"/>
      <x:c r="T101" s="49"/>
      <x:c r="U101" s="49"/>
      <x:c r="V101" s="49"/>
      <x:c r="W101" s="49"/>
      <x:c r="X101" s="49"/>
      <x:c r="Y101" s="49"/>
      <x:c r="Z101" s="49"/>
      <x:c r="AA101" s="49"/>
      <x:c r="AB101" s="49"/>
      <x:c r="AC101" s="49"/>
      <x:c r="AD101" s="49"/>
      <x:c r="AE101" s="49"/>
      <x:c r="AF101" s="49"/>
      <x:c r="AG101" s="49"/>
      <x:c r="AH101" s="49"/>
      <x:c r="AI101" s="49"/>
      <x:c r="AJ101" s="49"/>
      <x:c r="AK101" s="49"/>
      <x:c r="AL101" s="49"/>
      <x:c r="AM101" s="49"/>
      <x:c r="AN101" s="49"/>
      <x:c r="AO101" s="49"/>
      <x:c r="AP101" s="49"/>
      <x:c r="AQ101" s="49"/>
      <x:c r="AR101" s="49"/>
      <x:c r="AS101" s="49"/>
      <x:c r="AT101" s="49"/>
      <x:c r="AU101" s="49"/>
      <x:c r="AV101" s="49"/>
      <x:c r="AW101" s="49"/>
      <x:c r="AX101" s="49"/>
      <x:c r="AY101" s="49"/>
      <x:c r="AZ101" s="49"/>
    </x:row>
    <x:row r="102">
      <x:c r="A102" s="49"/>
      <x:c r="B102" s="49"/>
      <x:c r="C102" s="49"/>
      <x:c r="D102" s="49"/>
      <x:c r="E102" s="49"/>
      <x:c r="F102" s="49"/>
      <x:c r="G102" s="49"/>
      <x:c r="H102" s="49"/>
      <x:c r="I102" s="49"/>
      <x:c r="J102" s="49"/>
      <x:c r="K102" s="49"/>
      <x:c r="L102" s="49"/>
      <x:c r="M102" s="49"/>
      <x:c r="N102" s="49"/>
      <x:c r="O102" s="49"/>
      <x:c r="P102" s="49"/>
      <x:c r="Q102" s="49"/>
      <x:c r="R102" s="49"/>
      <x:c r="S102" s="49"/>
      <x:c r="T102" s="49"/>
      <x:c r="U102" s="49"/>
      <x:c r="V102" s="49"/>
      <x:c r="W102" s="49"/>
      <x:c r="X102" s="49"/>
      <x:c r="Y102" s="49"/>
      <x:c r="Z102" s="49"/>
      <x:c r="AA102" s="49"/>
      <x:c r="AB102" s="49"/>
      <x:c r="AC102" s="49"/>
      <x:c r="AD102" s="49"/>
      <x:c r="AE102" s="49"/>
      <x:c r="AF102" s="49"/>
      <x:c r="AG102" s="49"/>
      <x:c r="AH102" s="49"/>
      <x:c r="AI102" s="49"/>
      <x:c r="AJ102" s="49"/>
      <x:c r="AK102" s="49"/>
      <x:c r="AL102" s="49"/>
      <x:c r="AM102" s="49"/>
      <x:c r="AN102" s="49"/>
      <x:c r="AO102" s="49"/>
      <x:c r="AP102" s="49"/>
      <x:c r="AQ102" s="49"/>
      <x:c r="AR102" s="49"/>
      <x:c r="AS102" s="49"/>
      <x:c r="AT102" s="49"/>
      <x:c r="AU102" s="49"/>
      <x:c r="AV102" s="49"/>
      <x:c r="AW102" s="49"/>
      <x:c r="AX102" s="49"/>
      <x:c r="AY102" s="49"/>
      <x:c r="AZ102" s="49"/>
    </x:row>
    <x:row r="103">
      <x:c r="A103" s="49"/>
      <x:c r="B103" s="49"/>
      <x:c r="C103" s="49"/>
      <x:c r="D103" s="49"/>
      <x:c r="E103" s="49"/>
      <x:c r="F103" s="49"/>
      <x:c r="G103" s="49"/>
      <x:c r="H103" s="49"/>
      <x:c r="I103" s="49"/>
      <x:c r="J103" s="49"/>
      <x:c r="K103" s="49"/>
      <x:c r="L103" s="49"/>
      <x:c r="M103" s="49"/>
      <x:c r="N103" s="49"/>
      <x:c r="O103" s="49"/>
      <x:c r="P103" s="49"/>
      <x:c r="Q103" s="49"/>
      <x:c r="R103" s="49"/>
      <x:c r="S103" s="49"/>
      <x:c r="T103" s="49"/>
      <x:c r="U103" s="49"/>
      <x:c r="V103" s="49"/>
      <x:c r="W103" s="49"/>
      <x:c r="X103" s="49"/>
      <x:c r="Y103" s="49"/>
      <x:c r="Z103" s="49"/>
      <x:c r="AA103" s="49"/>
      <x:c r="AB103" s="49"/>
      <x:c r="AC103" s="49"/>
      <x:c r="AD103" s="49"/>
      <x:c r="AE103" s="49"/>
      <x:c r="AF103" s="49"/>
      <x:c r="AG103" s="49"/>
      <x:c r="AH103" s="49"/>
      <x:c r="AI103" s="49"/>
      <x:c r="AJ103" s="49"/>
      <x:c r="AK103" s="49"/>
      <x:c r="AL103" s="49"/>
      <x:c r="AM103" s="49"/>
      <x:c r="AN103" s="49"/>
      <x:c r="AO103" s="49"/>
      <x:c r="AP103" s="49"/>
      <x:c r="AQ103" s="49"/>
      <x:c r="AR103" s="49"/>
      <x:c r="AS103" s="49"/>
      <x:c r="AT103" s="49"/>
      <x:c r="AU103" s="49"/>
      <x:c r="AV103" s="49"/>
      <x:c r="AW103" s="49"/>
      <x:c r="AX103" s="49"/>
      <x:c r="AY103" s="49"/>
      <x:c r="AZ103" s="49"/>
    </x:row>
    <x:row r="104">
      <x:c r="A104" s="49"/>
      <x:c r="B104" s="49"/>
      <x:c r="C104" s="49"/>
      <x:c r="D104" s="49"/>
      <x:c r="E104" s="49"/>
      <x:c r="F104" s="49"/>
      <x:c r="G104" s="49"/>
      <x:c r="H104" s="49"/>
      <x:c r="I104" s="49"/>
      <x:c r="J104" s="49"/>
      <x:c r="K104" s="49"/>
      <x:c r="L104" s="49"/>
      <x:c r="M104" s="49"/>
      <x:c r="N104" s="49"/>
      <x:c r="O104" s="49"/>
      <x:c r="P104" s="49"/>
      <x:c r="Q104" s="49"/>
      <x:c r="R104" s="49"/>
      <x:c r="S104" s="49"/>
      <x:c r="T104" s="49"/>
      <x:c r="U104" s="49"/>
      <x:c r="V104" s="49"/>
      <x:c r="W104" s="49"/>
      <x:c r="X104" s="49"/>
      <x:c r="Y104" s="49"/>
      <x:c r="Z104" s="49"/>
      <x:c r="AA104" s="49"/>
      <x:c r="AB104" s="49"/>
      <x:c r="AC104" s="49"/>
      <x:c r="AD104" s="49"/>
      <x:c r="AE104" s="49"/>
      <x:c r="AF104" s="49"/>
      <x:c r="AG104" s="49"/>
      <x:c r="AH104" s="49"/>
      <x:c r="AI104" s="49"/>
      <x:c r="AJ104" s="49"/>
      <x:c r="AK104" s="49"/>
      <x:c r="AL104" s="49"/>
      <x:c r="AM104" s="49"/>
      <x:c r="AN104" s="49"/>
      <x:c r="AO104" s="49"/>
      <x:c r="AP104" s="49"/>
      <x:c r="AQ104" s="49"/>
      <x:c r="AR104" s="49"/>
      <x:c r="AS104" s="49"/>
      <x:c r="AT104" s="49"/>
      <x:c r="AU104" s="49"/>
      <x:c r="AV104" s="49"/>
      <x:c r="AW104" s="49"/>
      <x:c r="AX104" s="49"/>
      <x:c r="AY104" s="49"/>
      <x:c r="AZ104" s="49"/>
    </x:row>
    <x:row r="105">
      <x:c r="A105" s="49"/>
      <x:c r="B105" s="49"/>
      <x:c r="C105" s="49"/>
      <x:c r="D105" s="49"/>
      <x:c r="E105" s="49"/>
      <x:c r="F105" s="49"/>
      <x:c r="G105" s="49"/>
      <x:c r="H105" s="49"/>
      <x:c r="I105" s="49"/>
      <x:c r="J105" s="49"/>
      <x:c r="K105" s="49"/>
      <x:c r="L105" s="49"/>
      <x:c r="M105" s="49"/>
      <x:c r="N105" s="49"/>
      <x:c r="O105" s="49"/>
      <x:c r="P105" s="49"/>
      <x:c r="Q105" s="49"/>
      <x:c r="R105" s="49"/>
      <x:c r="S105" s="49"/>
      <x:c r="T105" s="49"/>
      <x:c r="U105" s="49"/>
      <x:c r="V105" s="49"/>
      <x:c r="W105" s="49"/>
      <x:c r="X105" s="49"/>
      <x:c r="Y105" s="49"/>
      <x:c r="Z105" s="49"/>
      <x:c r="AA105" s="49"/>
      <x:c r="AB105" s="49"/>
      <x:c r="AC105" s="49"/>
      <x:c r="AD105" s="49"/>
      <x:c r="AE105" s="49"/>
      <x:c r="AF105" s="49"/>
      <x:c r="AG105" s="49"/>
      <x:c r="AH105" s="49"/>
      <x:c r="AI105" s="49"/>
      <x:c r="AJ105" s="49"/>
      <x:c r="AK105" s="49"/>
      <x:c r="AL105" s="49"/>
      <x:c r="AM105" s="49"/>
      <x:c r="AN105" s="49"/>
      <x:c r="AO105" s="49"/>
      <x:c r="AP105" s="49"/>
      <x:c r="AQ105" s="49"/>
      <x:c r="AR105" s="49"/>
      <x:c r="AS105" s="49"/>
      <x:c r="AT105" s="49"/>
      <x:c r="AU105" s="49"/>
      <x:c r="AV105" s="49"/>
      <x:c r="AW105" s="49"/>
      <x:c r="AX105" s="49"/>
      <x:c r="AY105" s="49"/>
      <x:c r="AZ105" s="49"/>
    </x:row>
    <x:row r="106">
      <x:c r="A106" s="49"/>
      <x:c r="B106" s="49"/>
      <x:c r="C106" s="49"/>
      <x:c r="D106" s="49"/>
      <x:c r="E106" s="49"/>
      <x:c r="F106" s="49"/>
      <x:c r="G106" s="49"/>
      <x:c r="H106" s="49"/>
      <x:c r="I106" s="49"/>
      <x:c r="J106" s="49"/>
      <x:c r="K106" s="49"/>
      <x:c r="L106" s="49"/>
      <x:c r="M106" s="49"/>
      <x:c r="N106" s="49"/>
      <x:c r="O106" s="49"/>
      <x:c r="P106" s="49"/>
      <x:c r="Q106" s="49"/>
      <x:c r="R106" s="49"/>
      <x:c r="S106" s="49"/>
      <x:c r="T106" s="49"/>
      <x:c r="U106" s="49"/>
      <x:c r="V106" s="49"/>
      <x:c r="W106" s="49"/>
      <x:c r="X106" s="49"/>
      <x:c r="Y106" s="49"/>
      <x:c r="Z106" s="49"/>
      <x:c r="AA106" s="49"/>
      <x:c r="AB106" s="49"/>
      <x:c r="AC106" s="49"/>
      <x:c r="AD106" s="49"/>
      <x:c r="AE106" s="49"/>
      <x:c r="AF106" s="49"/>
      <x:c r="AG106" s="49"/>
      <x:c r="AH106" s="49"/>
      <x:c r="AI106" s="49"/>
      <x:c r="AJ106" s="49"/>
      <x:c r="AK106" s="49"/>
      <x:c r="AL106" s="49"/>
      <x:c r="AM106" s="49"/>
      <x:c r="AN106" s="49"/>
      <x:c r="AO106" s="49"/>
      <x:c r="AP106" s="49"/>
      <x:c r="AQ106" s="49"/>
      <x:c r="AR106" s="49"/>
      <x:c r="AS106" s="49"/>
      <x:c r="AT106" s="49"/>
      <x:c r="AU106" s="49"/>
      <x:c r="AV106" s="49"/>
      <x:c r="AW106" s="49"/>
      <x:c r="AX106" s="49"/>
      <x:c r="AY106" s="49"/>
      <x:c r="AZ106" s="49"/>
    </x:row>
    <x:row r="107">
      <x:c r="A107" s="49"/>
      <x:c r="B107" s="49"/>
      <x:c r="C107" s="49"/>
      <x:c r="D107" s="49"/>
      <x:c r="E107" s="49"/>
      <x:c r="F107" s="49"/>
      <x:c r="G107" s="49"/>
      <x:c r="H107" s="49"/>
      <x:c r="I107" s="49"/>
      <x:c r="J107" s="49"/>
      <x:c r="K107" s="49"/>
      <x:c r="L107" s="49"/>
      <x:c r="M107" s="49"/>
      <x:c r="N107" s="49"/>
      <x:c r="O107" s="49"/>
      <x:c r="P107" s="49"/>
      <x:c r="Q107" s="49"/>
      <x:c r="R107" s="49"/>
      <x:c r="S107" s="49"/>
      <x:c r="T107" s="49"/>
      <x:c r="U107" s="49"/>
      <x:c r="V107" s="49"/>
      <x:c r="W107" s="49"/>
      <x:c r="X107" s="49"/>
      <x:c r="Y107" s="49"/>
      <x:c r="Z107" s="49"/>
      <x:c r="AA107" s="49"/>
      <x:c r="AB107" s="49"/>
      <x:c r="AC107" s="49"/>
      <x:c r="AD107" s="49"/>
      <x:c r="AE107" s="49"/>
      <x:c r="AF107" s="49"/>
      <x:c r="AG107" s="49"/>
      <x:c r="AH107" s="49"/>
      <x:c r="AI107" s="49"/>
      <x:c r="AJ107" s="49"/>
      <x:c r="AK107" s="49"/>
      <x:c r="AL107" s="49"/>
      <x:c r="AM107" s="49"/>
      <x:c r="AN107" s="49"/>
      <x:c r="AO107" s="49"/>
      <x:c r="AP107" s="49"/>
      <x:c r="AQ107" s="49"/>
      <x:c r="AR107" s="49"/>
      <x:c r="AS107" s="49"/>
      <x:c r="AT107" s="49"/>
      <x:c r="AU107" s="49"/>
      <x:c r="AV107" s="49"/>
      <x:c r="AW107" s="49"/>
      <x:c r="AX107" s="49"/>
      <x:c r="AY107" s="49"/>
      <x:c r="AZ107" s="49"/>
    </x:row>
    <x:row r="108">
      <x:c r="A108" s="49"/>
      <x:c r="B108" s="49"/>
      <x:c r="C108" s="49"/>
      <x:c r="D108" s="49"/>
      <x:c r="E108" s="49"/>
      <x:c r="F108" s="49"/>
      <x:c r="G108" s="49"/>
      <x:c r="H108" s="49"/>
      <x:c r="I108" s="49"/>
      <x:c r="J108" s="49"/>
      <x:c r="K108" s="49"/>
      <x:c r="L108" s="49"/>
      <x:c r="M108" s="49"/>
      <x:c r="N108" s="49"/>
      <x:c r="O108" s="49"/>
      <x:c r="P108" s="49"/>
      <x:c r="Q108" s="49"/>
      <x:c r="R108" s="49"/>
      <x:c r="S108" s="49"/>
      <x:c r="T108" s="49"/>
      <x:c r="U108" s="49"/>
      <x:c r="V108" s="49"/>
      <x:c r="W108" s="49"/>
      <x:c r="X108" s="49"/>
      <x:c r="Y108" s="49"/>
      <x:c r="Z108" s="49"/>
      <x:c r="AA108" s="49"/>
      <x:c r="AB108" s="49"/>
      <x:c r="AC108" s="49"/>
      <x:c r="AD108" s="49"/>
      <x:c r="AE108" s="49"/>
      <x:c r="AF108" s="49"/>
      <x:c r="AG108" s="49"/>
      <x:c r="AH108" s="49"/>
      <x:c r="AI108" s="49"/>
      <x:c r="AJ108" s="49"/>
      <x:c r="AK108" s="49"/>
      <x:c r="AL108" s="49"/>
      <x:c r="AM108" s="49"/>
      <x:c r="AN108" s="49"/>
      <x:c r="AO108" s="49"/>
      <x:c r="AP108" s="49"/>
      <x:c r="AQ108" s="49"/>
      <x:c r="AR108" s="49"/>
      <x:c r="AS108" s="49"/>
      <x:c r="AT108" s="49"/>
      <x:c r="AU108" s="49"/>
      <x:c r="AV108" s="49"/>
      <x:c r="AW108" s="49"/>
      <x:c r="AX108" s="49"/>
      <x:c r="AY108" s="49"/>
      <x:c r="AZ108" s="49"/>
    </x:row>
    <x:row r="109">
      <x:c r="A109" s="49"/>
      <x:c r="B109" s="49"/>
      <x:c r="C109" s="49"/>
      <x:c r="D109" s="49"/>
      <x:c r="E109" s="49"/>
      <x:c r="F109" s="49"/>
      <x:c r="G109" s="49"/>
      <x:c r="H109" s="49"/>
      <x:c r="I109" s="49"/>
      <x:c r="J109" s="49"/>
      <x:c r="K109" s="49"/>
      <x:c r="L109" s="49"/>
      <x:c r="M109" s="49"/>
      <x:c r="N109" s="49"/>
      <x:c r="O109" s="49"/>
      <x:c r="P109" s="49"/>
      <x:c r="Q109" s="49"/>
      <x:c r="R109" s="49"/>
      <x:c r="S109" s="49"/>
      <x:c r="T109" s="49"/>
      <x:c r="U109" s="49"/>
      <x:c r="V109" s="49"/>
      <x:c r="W109" s="49"/>
      <x:c r="X109" s="49"/>
      <x:c r="Y109" s="49"/>
      <x:c r="Z109" s="49"/>
      <x:c r="AA109" s="49"/>
      <x:c r="AB109" s="49"/>
      <x:c r="AC109" s="49"/>
      <x:c r="AD109" s="49"/>
      <x:c r="AE109" s="49"/>
      <x:c r="AF109" s="49"/>
      <x:c r="AG109" s="49"/>
      <x:c r="AH109" s="49"/>
      <x:c r="AI109" s="49"/>
      <x:c r="AJ109" s="49"/>
      <x:c r="AK109" s="49"/>
      <x:c r="AL109" s="49"/>
      <x:c r="AM109" s="49"/>
      <x:c r="AN109" s="49"/>
      <x:c r="AO109" s="49"/>
      <x:c r="AP109" s="49"/>
      <x:c r="AQ109" s="49"/>
      <x:c r="AR109" s="49"/>
      <x:c r="AS109" s="49"/>
      <x:c r="AT109" s="49"/>
      <x:c r="AU109" s="49"/>
      <x:c r="AV109" s="49"/>
      <x:c r="AW109" s="49"/>
      <x:c r="AX109" s="49"/>
      <x:c r="AY109" s="49"/>
      <x:c r="AZ109" s="49"/>
    </x:row>
    <x:row r="110">
      <x:c r="A110" s="49"/>
      <x:c r="B110" s="49"/>
      <x:c r="C110" s="49"/>
      <x:c r="D110" s="49"/>
      <x:c r="E110" s="49"/>
      <x:c r="F110" s="49"/>
      <x:c r="G110" s="49"/>
      <x:c r="H110" s="49"/>
      <x:c r="I110" s="49"/>
      <x:c r="J110" s="49"/>
      <x:c r="K110" s="49"/>
      <x:c r="L110" s="49"/>
      <x:c r="M110" s="49"/>
      <x:c r="N110" s="49"/>
      <x:c r="O110" s="49"/>
      <x:c r="P110" s="49"/>
      <x:c r="Q110" s="49"/>
      <x:c r="R110" s="49"/>
      <x:c r="S110" s="49"/>
      <x:c r="T110" s="49"/>
      <x:c r="U110" s="49"/>
      <x:c r="V110" s="49"/>
      <x:c r="W110" s="49"/>
      <x:c r="X110" s="49"/>
      <x:c r="Y110" s="49"/>
      <x:c r="Z110" s="49"/>
      <x:c r="AA110" s="49"/>
      <x:c r="AB110" s="49"/>
      <x:c r="AC110" s="49"/>
      <x:c r="AD110" s="49"/>
      <x:c r="AE110" s="49"/>
      <x:c r="AF110" s="49"/>
      <x:c r="AG110" s="49"/>
      <x:c r="AH110" s="49"/>
      <x:c r="AI110" s="49"/>
      <x:c r="AJ110" s="49"/>
      <x:c r="AK110" s="49"/>
      <x:c r="AL110" s="49"/>
      <x:c r="AM110" s="49"/>
      <x:c r="AN110" s="49"/>
      <x:c r="AO110" s="49"/>
      <x:c r="AP110" s="49"/>
      <x:c r="AQ110" s="49"/>
      <x:c r="AR110" s="49"/>
      <x:c r="AS110" s="49"/>
      <x:c r="AT110" s="49"/>
      <x:c r="AU110" s="49"/>
      <x:c r="AV110" s="49"/>
      <x:c r="AW110" s="49"/>
      <x:c r="AX110" s="49"/>
      <x:c r="AY110" s="49"/>
      <x:c r="AZ110" s="49"/>
    </x:row>
    <x:row r="111">
      <x:c r="A111" s="49"/>
      <x:c r="B111" s="49"/>
      <x:c r="C111" s="49"/>
      <x:c r="D111" s="49"/>
      <x:c r="E111" s="49"/>
      <x:c r="F111" s="49"/>
      <x:c r="G111" s="49"/>
      <x:c r="H111" s="49"/>
      <x:c r="I111" s="49"/>
      <x:c r="J111" s="49"/>
      <x:c r="K111" s="49"/>
      <x:c r="L111" s="49"/>
      <x:c r="M111" s="49"/>
      <x:c r="N111" s="49"/>
      <x:c r="O111" s="49"/>
      <x:c r="P111" s="49"/>
      <x:c r="Q111" s="49"/>
      <x:c r="R111" s="49"/>
      <x:c r="S111" s="49"/>
      <x:c r="T111" s="49"/>
      <x:c r="U111" s="49"/>
      <x:c r="V111" s="49"/>
      <x:c r="W111" s="49"/>
      <x:c r="X111" s="49"/>
      <x:c r="Y111" s="49"/>
      <x:c r="Z111" s="49"/>
      <x:c r="AA111" s="49"/>
      <x:c r="AB111" s="49"/>
      <x:c r="AC111" s="49"/>
      <x:c r="AD111" s="49"/>
      <x:c r="AE111" s="49"/>
      <x:c r="AF111" s="49"/>
      <x:c r="AG111" s="49"/>
      <x:c r="AH111" s="49"/>
      <x:c r="AI111" s="49"/>
      <x:c r="AJ111" s="49"/>
      <x:c r="AK111" s="49"/>
      <x:c r="AL111" s="49"/>
      <x:c r="AM111" s="49"/>
      <x:c r="AN111" s="49"/>
      <x:c r="AO111" s="49"/>
      <x:c r="AP111" s="49"/>
      <x:c r="AQ111" s="49"/>
      <x:c r="AR111" s="49"/>
      <x:c r="AS111" s="49"/>
      <x:c r="AT111" s="49"/>
      <x:c r="AU111" s="49"/>
      <x:c r="AV111" s="49"/>
      <x:c r="AW111" s="49"/>
      <x:c r="AX111" s="49"/>
      <x:c r="AY111" s="49"/>
      <x:c r="AZ111" s="49"/>
    </x:row>
    <x:row r="112">
      <x:c r="A112" s="49"/>
      <x:c r="B112" s="49"/>
      <x:c r="C112" s="49"/>
      <x:c r="D112" s="49"/>
      <x:c r="E112" s="49"/>
      <x:c r="F112" s="49"/>
      <x:c r="G112" s="49"/>
      <x:c r="H112" s="49"/>
      <x:c r="I112" s="49"/>
      <x:c r="J112" s="49"/>
      <x:c r="K112" s="49"/>
      <x:c r="L112" s="49"/>
      <x:c r="M112" s="49"/>
      <x:c r="N112" s="49"/>
      <x:c r="O112" s="49"/>
      <x:c r="P112" s="49"/>
      <x:c r="Q112" s="49"/>
      <x:c r="R112" s="49"/>
      <x:c r="S112" s="49"/>
      <x:c r="T112" s="49"/>
      <x:c r="U112" s="49"/>
      <x:c r="V112" s="49"/>
      <x:c r="W112" s="49"/>
      <x:c r="X112" s="49"/>
      <x:c r="Y112" s="49"/>
      <x:c r="Z112" s="49"/>
      <x:c r="AA112" s="49"/>
      <x:c r="AB112" s="49"/>
      <x:c r="AC112" s="49"/>
      <x:c r="AD112" s="49"/>
      <x:c r="AE112" s="49"/>
      <x:c r="AF112" s="49"/>
      <x:c r="AG112" s="49"/>
      <x:c r="AH112" s="49"/>
      <x:c r="AI112" s="49"/>
      <x:c r="AJ112" s="49"/>
      <x:c r="AK112" s="49"/>
      <x:c r="AL112" s="49"/>
      <x:c r="AM112" s="49"/>
      <x:c r="AN112" s="49"/>
      <x:c r="AO112" s="49"/>
      <x:c r="AP112" s="49"/>
      <x:c r="AQ112" s="49"/>
      <x:c r="AR112" s="49"/>
      <x:c r="AS112" s="49"/>
      <x:c r="AT112" s="49"/>
      <x:c r="AU112" s="49"/>
      <x:c r="AV112" s="49"/>
      <x:c r="AW112" s="49"/>
      <x:c r="AX112" s="49"/>
      <x:c r="AY112" s="49"/>
      <x:c r="AZ112" s="49"/>
    </x:row>
    <x:row r="113">
      <x:c r="A113" s="49"/>
      <x:c r="B113" s="49"/>
      <x:c r="C113" s="49"/>
      <x:c r="D113" s="49"/>
      <x:c r="E113" s="49"/>
      <x:c r="F113" s="49"/>
      <x:c r="G113" s="49"/>
      <x:c r="H113" s="49"/>
      <x:c r="I113" s="49"/>
      <x:c r="J113" s="49"/>
      <x:c r="K113" s="49"/>
      <x:c r="L113" s="49"/>
      <x:c r="M113" s="49"/>
      <x:c r="N113" s="49"/>
      <x:c r="O113" s="49"/>
      <x:c r="P113" s="49"/>
      <x:c r="Q113" s="49"/>
      <x:c r="R113" s="49"/>
      <x:c r="S113" s="49"/>
      <x:c r="T113" s="49"/>
      <x:c r="U113" s="49"/>
      <x:c r="V113" s="49"/>
      <x:c r="W113" s="49"/>
      <x:c r="X113" s="49"/>
      <x:c r="Y113" s="49"/>
      <x:c r="Z113" s="49"/>
      <x:c r="AA113" s="49"/>
      <x:c r="AB113" s="49"/>
      <x:c r="AC113" s="49"/>
      <x:c r="AD113" s="49"/>
      <x:c r="AE113" s="49"/>
      <x:c r="AF113" s="49"/>
      <x:c r="AG113" s="49"/>
      <x:c r="AH113" s="49"/>
      <x:c r="AI113" s="49"/>
      <x:c r="AJ113" s="49"/>
      <x:c r="AK113" s="49"/>
      <x:c r="AL113" s="49"/>
      <x:c r="AM113" s="49"/>
      <x:c r="AN113" s="49"/>
      <x:c r="AO113" s="49"/>
      <x:c r="AP113" s="49"/>
      <x:c r="AQ113" s="49"/>
      <x:c r="AR113" s="49"/>
      <x:c r="AS113" s="49"/>
      <x:c r="AT113" s="49"/>
      <x:c r="AU113" s="49"/>
      <x:c r="AV113" s="49"/>
      <x:c r="AW113" s="49"/>
      <x:c r="AX113" s="49"/>
      <x:c r="AY113" s="49"/>
      <x:c r="AZ113" s="49"/>
    </x:row>
    <x:row r="114">
      <x:c r="A114" s="49"/>
      <x:c r="B114" s="49"/>
      <x:c r="C114" s="49"/>
      <x:c r="D114" s="49"/>
      <x:c r="E114" s="49"/>
      <x:c r="F114" s="49"/>
      <x:c r="G114" s="49"/>
      <x:c r="H114" s="49"/>
      <x:c r="I114" s="49"/>
      <x:c r="J114" s="49"/>
      <x:c r="K114" s="49"/>
      <x:c r="L114" s="49"/>
      <x:c r="M114" s="49"/>
      <x:c r="N114" s="49"/>
      <x:c r="O114" s="49"/>
      <x:c r="P114" s="49"/>
      <x:c r="Q114" s="49"/>
      <x:c r="R114" s="49"/>
      <x:c r="S114" s="49"/>
      <x:c r="T114" s="49"/>
      <x:c r="U114" s="49"/>
      <x:c r="V114" s="49"/>
      <x:c r="W114" s="49"/>
      <x:c r="X114" s="49"/>
      <x:c r="Y114" s="49"/>
      <x:c r="Z114" s="49"/>
      <x:c r="AA114" s="49"/>
      <x:c r="AB114" s="49"/>
      <x:c r="AC114" s="49"/>
      <x:c r="AD114" s="49"/>
      <x:c r="AE114" s="49"/>
      <x:c r="AF114" s="49"/>
      <x:c r="AG114" s="49"/>
      <x:c r="AH114" s="49"/>
      <x:c r="AI114" s="49"/>
      <x:c r="AJ114" s="49"/>
      <x:c r="AK114" s="49"/>
      <x:c r="AL114" s="49"/>
      <x:c r="AM114" s="49"/>
      <x:c r="AN114" s="49"/>
      <x:c r="AO114" s="49"/>
      <x:c r="AP114" s="49"/>
      <x:c r="AQ114" s="49"/>
      <x:c r="AR114" s="49"/>
      <x:c r="AS114" s="49"/>
      <x:c r="AT114" s="49"/>
      <x:c r="AU114" s="49"/>
      <x:c r="AV114" s="49"/>
      <x:c r="AW114" s="49"/>
      <x:c r="AX114" s="49"/>
      <x:c r="AY114" s="49"/>
      <x:c r="AZ114" s="49"/>
    </x:row>
    <x:row r="115">
      <x:c r="A115" s="49"/>
      <x:c r="B115" s="49"/>
      <x:c r="C115" s="49"/>
      <x:c r="D115" s="49"/>
      <x:c r="E115" s="49"/>
      <x:c r="F115" s="49"/>
      <x:c r="G115" s="49"/>
      <x:c r="H115" s="49"/>
      <x:c r="I115" s="49"/>
      <x:c r="J115" s="49"/>
      <x:c r="K115" s="49"/>
      <x:c r="L115" s="49"/>
      <x:c r="M115" s="49"/>
      <x:c r="N115" s="49"/>
      <x:c r="O115" s="49"/>
      <x:c r="P115" s="49"/>
      <x:c r="Q115" s="49"/>
      <x:c r="R115" s="49"/>
      <x:c r="S115" s="49"/>
      <x:c r="T115" s="49"/>
      <x:c r="U115" s="49"/>
      <x:c r="V115" s="49"/>
      <x:c r="W115" s="49"/>
      <x:c r="X115" s="49"/>
      <x:c r="Y115" s="49"/>
      <x:c r="Z115" s="49"/>
      <x:c r="AA115" s="49"/>
      <x:c r="AB115" s="49"/>
      <x:c r="AC115" s="49"/>
      <x:c r="AD115" s="49"/>
      <x:c r="AE115" s="49"/>
      <x:c r="AF115" s="49"/>
      <x:c r="AG115" s="49"/>
      <x:c r="AH115" s="49"/>
      <x:c r="AI115" s="49"/>
      <x:c r="AJ115" s="49"/>
      <x:c r="AK115" s="49"/>
      <x:c r="AL115" s="49"/>
      <x:c r="AM115" s="49"/>
      <x:c r="AN115" s="49"/>
      <x:c r="AO115" s="49"/>
      <x:c r="AP115" s="49"/>
      <x:c r="AQ115" s="49"/>
      <x:c r="AR115" s="49"/>
      <x:c r="AS115" s="49"/>
      <x:c r="AT115" s="49"/>
      <x:c r="AU115" s="49"/>
      <x:c r="AV115" s="49"/>
      <x:c r="AW115" s="49"/>
      <x:c r="AX115" s="49"/>
      <x:c r="AY115" s="49"/>
      <x:c r="AZ115" s="49"/>
    </x:row>
    <x:row r="116">
      <x:c r="A116" s="49"/>
      <x:c r="B116" s="49"/>
      <x:c r="C116" s="49"/>
      <x:c r="D116" s="49"/>
      <x:c r="E116" s="49"/>
      <x:c r="F116" s="49"/>
      <x:c r="G116" s="49"/>
      <x:c r="H116" s="49"/>
      <x:c r="I116" s="49"/>
      <x:c r="J116" s="49"/>
      <x:c r="K116" s="49"/>
      <x:c r="L116" s="49"/>
      <x:c r="M116" s="49"/>
      <x:c r="N116" s="49"/>
      <x:c r="O116" s="49"/>
      <x:c r="P116" s="49"/>
      <x:c r="Q116" s="49"/>
      <x:c r="R116" s="49"/>
      <x:c r="S116" s="49"/>
      <x:c r="T116" s="49"/>
      <x:c r="U116" s="49"/>
      <x:c r="V116" s="49"/>
      <x:c r="W116" s="49"/>
      <x:c r="X116" s="49"/>
      <x:c r="Y116" s="49"/>
      <x:c r="Z116" s="49"/>
      <x:c r="AA116" s="49"/>
      <x:c r="AB116" s="49"/>
      <x:c r="AC116" s="49"/>
      <x:c r="AD116" s="49"/>
      <x:c r="AE116" s="49"/>
      <x:c r="AF116" s="49"/>
      <x:c r="AG116" s="49"/>
      <x:c r="AH116" s="49"/>
      <x:c r="AI116" s="49"/>
      <x:c r="AJ116" s="49"/>
      <x:c r="AK116" s="49"/>
      <x:c r="AL116" s="49"/>
      <x:c r="AM116" s="49"/>
      <x:c r="AN116" s="49"/>
      <x:c r="AO116" s="49"/>
      <x:c r="AP116" s="49"/>
      <x:c r="AQ116" s="49"/>
      <x:c r="AR116" s="49"/>
      <x:c r="AS116" s="49"/>
      <x:c r="AT116" s="49"/>
      <x:c r="AU116" s="49"/>
      <x:c r="AV116" s="49"/>
      <x:c r="AW116" s="49"/>
      <x:c r="AX116" s="49"/>
      <x:c r="AY116" s="49"/>
      <x:c r="AZ116" s="49"/>
    </x:row>
    <x:row r="117">
      <x:c r="A117" s="49"/>
      <x:c r="B117" s="49"/>
      <x:c r="C117" s="49"/>
      <x:c r="D117" s="49"/>
      <x:c r="E117" s="49"/>
      <x:c r="F117" s="49"/>
      <x:c r="G117" s="49"/>
      <x:c r="H117" s="49"/>
      <x:c r="I117" s="49"/>
      <x:c r="J117" s="49"/>
      <x:c r="K117" s="49"/>
      <x:c r="L117" s="49"/>
      <x:c r="M117" s="49"/>
      <x:c r="N117" s="49"/>
      <x:c r="O117" s="49"/>
      <x:c r="P117" s="49"/>
      <x:c r="Q117" s="49"/>
      <x:c r="R117" s="49"/>
      <x:c r="S117" s="49"/>
      <x:c r="T117" s="49"/>
      <x:c r="U117" s="49"/>
      <x:c r="V117" s="49"/>
      <x:c r="W117" s="49"/>
      <x:c r="X117" s="49"/>
      <x:c r="Y117" s="49"/>
      <x:c r="Z117" s="49"/>
      <x:c r="AA117" s="49"/>
      <x:c r="AB117" s="49"/>
      <x:c r="AC117" s="49"/>
      <x:c r="AD117" s="49"/>
      <x:c r="AE117" s="49"/>
      <x:c r="AF117" s="49"/>
      <x:c r="AG117" s="49"/>
      <x:c r="AH117" s="49"/>
      <x:c r="AI117" s="49"/>
      <x:c r="AJ117" s="49"/>
      <x:c r="AK117" s="49"/>
      <x:c r="AL117" s="49"/>
      <x:c r="AM117" s="49"/>
      <x:c r="AN117" s="49"/>
      <x:c r="AO117" s="49"/>
      <x:c r="AP117" s="49"/>
      <x:c r="AQ117" s="49"/>
      <x:c r="AR117" s="49"/>
      <x:c r="AS117" s="49"/>
      <x:c r="AT117" s="49"/>
      <x:c r="AU117" s="49"/>
      <x:c r="AV117" s="49"/>
      <x:c r="AW117" s="49"/>
      <x:c r="AX117" s="49"/>
      <x:c r="AY117" s="49"/>
      <x:c r="AZ117" s="49"/>
    </x:row>
    <x:row r="118">
      <x:c r="A118" s="49"/>
      <x:c r="B118" s="49"/>
      <x:c r="C118" s="49"/>
      <x:c r="D118" s="49"/>
      <x:c r="E118" s="49"/>
      <x:c r="F118" s="49"/>
      <x:c r="G118" s="49"/>
      <x:c r="H118" s="49"/>
      <x:c r="I118" s="49"/>
      <x:c r="J118" s="49"/>
      <x:c r="K118" s="49"/>
      <x:c r="L118" s="49"/>
      <x:c r="M118" s="49"/>
      <x:c r="N118" s="49"/>
      <x:c r="O118" s="49"/>
      <x:c r="P118" s="49"/>
      <x:c r="Q118" s="49"/>
      <x:c r="R118" s="49"/>
      <x:c r="S118" s="49"/>
      <x:c r="T118" s="49"/>
      <x:c r="U118" s="49"/>
      <x:c r="V118" s="49"/>
      <x:c r="W118" s="49"/>
      <x:c r="X118" s="49"/>
      <x:c r="Y118" s="49"/>
      <x:c r="Z118" s="49"/>
      <x:c r="AA118" s="49"/>
      <x:c r="AB118" s="49"/>
      <x:c r="AC118" s="49"/>
      <x:c r="AD118" s="49"/>
      <x:c r="AE118" s="49"/>
      <x:c r="AF118" s="49"/>
      <x:c r="AG118" s="49"/>
      <x:c r="AH118" s="49"/>
      <x:c r="AI118" s="49"/>
      <x:c r="AJ118" s="49"/>
      <x:c r="AK118" s="49"/>
      <x:c r="AL118" s="49"/>
      <x:c r="AM118" s="49"/>
      <x:c r="AN118" s="49"/>
      <x:c r="AO118" s="49"/>
      <x:c r="AP118" s="49"/>
      <x:c r="AQ118" s="49"/>
      <x:c r="AR118" s="49"/>
      <x:c r="AS118" s="49"/>
      <x:c r="AT118" s="49"/>
      <x:c r="AU118" s="49"/>
      <x:c r="AV118" s="49"/>
      <x:c r="AW118" s="49"/>
      <x:c r="AX118" s="49"/>
      <x:c r="AY118" s="49"/>
      <x:c r="AZ118" s="49"/>
    </x:row>
    <x:row r="119">
      <x:c r="A119" s="49"/>
      <x:c r="B119" s="49"/>
      <x:c r="C119" s="49"/>
      <x:c r="D119" s="49"/>
      <x:c r="E119" s="49"/>
      <x:c r="F119" s="49"/>
      <x:c r="G119" s="49"/>
      <x:c r="H119" s="49"/>
      <x:c r="I119" s="49"/>
      <x:c r="J119" s="49"/>
      <x:c r="K119" s="49"/>
      <x:c r="L119" s="49"/>
      <x:c r="M119" s="49"/>
      <x:c r="N119" s="49"/>
      <x:c r="O119" s="49"/>
      <x:c r="P119" s="49"/>
      <x:c r="Q119" s="49"/>
      <x:c r="R119" s="49"/>
      <x:c r="S119" s="49"/>
      <x:c r="T119" s="49"/>
      <x:c r="U119" s="49"/>
      <x:c r="V119" s="49"/>
      <x:c r="W119" s="49"/>
      <x:c r="X119" s="49"/>
      <x:c r="Y119" s="49"/>
      <x:c r="Z119" s="49"/>
      <x:c r="AA119" s="49"/>
      <x:c r="AB119" s="49"/>
      <x:c r="AC119" s="49"/>
      <x:c r="AD119" s="49"/>
      <x:c r="AE119" s="49"/>
      <x:c r="AF119" s="49"/>
      <x:c r="AG119" s="49"/>
      <x:c r="AH119" s="49"/>
      <x:c r="AI119" s="49"/>
      <x:c r="AJ119" s="49"/>
      <x:c r="AK119" s="49"/>
      <x:c r="AL119" s="49"/>
      <x:c r="AM119" s="49"/>
      <x:c r="AN119" s="49"/>
      <x:c r="AO119" s="49"/>
      <x:c r="AP119" s="49"/>
      <x:c r="AQ119" s="49"/>
      <x:c r="AR119" s="49"/>
      <x:c r="AS119" s="49"/>
      <x:c r="AT119" s="49"/>
      <x:c r="AU119" s="49"/>
      <x:c r="AV119" s="49"/>
      <x:c r="AW119" s="49"/>
      <x:c r="AX119" s="49"/>
      <x:c r="AY119" s="49"/>
      <x:c r="AZ119" s="49"/>
    </x:row>
    <x:row r="120">
      <x:c r="A120" s="49"/>
      <x:c r="B120" s="49"/>
      <x:c r="C120" s="49"/>
      <x:c r="D120" s="49"/>
      <x:c r="E120" s="49"/>
      <x:c r="F120" s="49"/>
      <x:c r="G120" s="49"/>
      <x:c r="H120" s="49"/>
      <x:c r="I120" s="49"/>
      <x:c r="J120" s="49"/>
      <x:c r="K120" s="49"/>
      <x:c r="L120" s="49"/>
      <x:c r="M120" s="49"/>
      <x:c r="N120" s="49"/>
      <x:c r="O120" s="49"/>
      <x:c r="P120" s="49"/>
      <x:c r="Q120" s="49"/>
      <x:c r="R120" s="49"/>
      <x:c r="S120" s="49"/>
      <x:c r="T120" s="49"/>
      <x:c r="U120" s="49"/>
      <x:c r="V120" s="49"/>
      <x:c r="W120" s="49"/>
      <x:c r="X120" s="49"/>
      <x:c r="Y120" s="49"/>
      <x:c r="Z120" s="49"/>
      <x:c r="AA120" s="49"/>
      <x:c r="AB120" s="49"/>
      <x:c r="AC120" s="49"/>
      <x:c r="AD120" s="49"/>
      <x:c r="AE120" s="49"/>
      <x:c r="AF120" s="49"/>
      <x:c r="AG120" s="49"/>
      <x:c r="AH120" s="49"/>
      <x:c r="AI120" s="49"/>
      <x:c r="AJ120" s="49"/>
      <x:c r="AK120" s="49"/>
      <x:c r="AL120" s="49"/>
      <x:c r="AM120" s="49"/>
      <x:c r="AN120" s="49"/>
      <x:c r="AO120" s="49"/>
      <x:c r="AP120" s="49"/>
      <x:c r="AQ120" s="49"/>
      <x:c r="AR120" s="49"/>
      <x:c r="AS120" s="49"/>
      <x:c r="AT120" s="49"/>
      <x:c r="AU120" s="49"/>
      <x:c r="AV120" s="49"/>
      <x:c r="AW120" s="49"/>
      <x:c r="AX120" s="49"/>
      <x:c r="AY120" s="49"/>
      <x:c r="AZ120" s="49"/>
    </x:row>
    <x:row r="121">
      <x:c r="A121" s="49"/>
      <x:c r="B121" s="49"/>
      <x:c r="C121" s="49"/>
      <x:c r="D121" s="49"/>
      <x:c r="E121" s="49"/>
      <x:c r="F121" s="49"/>
      <x:c r="G121" s="49"/>
      <x:c r="H121" s="49"/>
      <x:c r="I121" s="49"/>
      <x:c r="J121" s="49"/>
      <x:c r="K121" s="49"/>
      <x:c r="L121" s="49"/>
      <x:c r="M121" s="49"/>
      <x:c r="N121" s="49"/>
      <x:c r="O121" s="49"/>
      <x:c r="P121" s="49"/>
      <x:c r="Q121" s="49"/>
      <x:c r="R121" s="49"/>
      <x:c r="S121" s="49"/>
      <x:c r="T121" s="49"/>
      <x:c r="U121" s="49"/>
      <x:c r="V121" s="49"/>
      <x:c r="W121" s="49"/>
      <x:c r="X121" s="49"/>
      <x:c r="Y121" s="49"/>
      <x:c r="Z121" s="49"/>
      <x:c r="AA121" s="49"/>
      <x:c r="AB121" s="49"/>
      <x:c r="AC121" s="49"/>
      <x:c r="AD121" s="49"/>
      <x:c r="AE121" s="49"/>
      <x:c r="AF121" s="49"/>
      <x:c r="AG121" s="49"/>
      <x:c r="AH121" s="49"/>
      <x:c r="AI121" s="49"/>
      <x:c r="AJ121" s="49"/>
      <x:c r="AK121" s="49"/>
      <x:c r="AL121" s="49"/>
      <x:c r="AM121" s="49"/>
      <x:c r="AN121" s="49"/>
      <x:c r="AO121" s="49"/>
      <x:c r="AP121" s="49"/>
      <x:c r="AQ121" s="49"/>
      <x:c r="AR121" s="49"/>
      <x:c r="AS121" s="49"/>
      <x:c r="AT121" s="49"/>
      <x:c r="AU121" s="49"/>
      <x:c r="AV121" s="49"/>
      <x:c r="AW121" s="49"/>
      <x:c r="AX121" s="49"/>
      <x:c r="AY121" s="49"/>
      <x:c r="AZ121" s="49"/>
    </x:row>
    <x:row r="122">
      <x:c r="A122" s="49"/>
      <x:c r="B122" s="49"/>
      <x:c r="C122" s="49"/>
      <x:c r="D122" s="49"/>
      <x:c r="E122" s="49"/>
      <x:c r="F122" s="49"/>
      <x:c r="G122" s="49"/>
      <x:c r="H122" s="49"/>
      <x:c r="I122" s="49"/>
      <x:c r="J122" s="49"/>
      <x:c r="K122" s="49"/>
      <x:c r="L122" s="49"/>
      <x:c r="M122" s="49"/>
      <x:c r="N122" s="49"/>
      <x:c r="O122" s="49"/>
      <x:c r="P122" s="49"/>
      <x:c r="Q122" s="49"/>
      <x:c r="R122" s="49"/>
      <x:c r="S122" s="49"/>
      <x:c r="T122" s="49"/>
      <x:c r="U122" s="49"/>
      <x:c r="V122" s="49"/>
      <x:c r="W122" s="49"/>
      <x:c r="X122" s="49"/>
      <x:c r="Y122" s="49"/>
      <x:c r="Z122" s="49"/>
      <x:c r="AA122" s="49"/>
      <x:c r="AB122" s="49"/>
      <x:c r="AC122" s="49"/>
      <x:c r="AD122" s="49"/>
      <x:c r="AE122" s="49"/>
      <x:c r="AF122" s="49"/>
      <x:c r="AG122" s="49"/>
      <x:c r="AH122" s="49"/>
      <x:c r="AI122" s="49"/>
      <x:c r="AJ122" s="49"/>
      <x:c r="AK122" s="49"/>
      <x:c r="AL122" s="49"/>
      <x:c r="AM122" s="49"/>
      <x:c r="AN122" s="49"/>
      <x:c r="AO122" s="49"/>
      <x:c r="AP122" s="49"/>
      <x:c r="AQ122" s="49"/>
      <x:c r="AR122" s="49"/>
      <x:c r="AS122" s="49"/>
      <x:c r="AT122" s="49"/>
      <x:c r="AU122" s="49"/>
      <x:c r="AV122" s="49"/>
      <x:c r="AW122" s="49"/>
      <x:c r="AX122" s="49"/>
      <x:c r="AY122" s="49"/>
      <x:c r="AZ122" s="49"/>
    </x:row>
    <x:row r="123">
      <x:c r="A123" s="49"/>
      <x:c r="B123" s="49"/>
      <x:c r="C123" s="49"/>
      <x:c r="D123" s="49"/>
      <x:c r="E123" s="49"/>
      <x:c r="F123" s="49"/>
      <x:c r="G123" s="49"/>
      <x:c r="H123" s="49"/>
      <x:c r="I123" s="49"/>
      <x:c r="J123" s="49"/>
      <x:c r="K123" s="49"/>
      <x:c r="L123" s="49"/>
      <x:c r="M123" s="49"/>
      <x:c r="N123" s="49"/>
      <x:c r="O123" s="49"/>
      <x:c r="P123" s="49"/>
      <x:c r="Q123" s="49"/>
      <x:c r="R123" s="49"/>
      <x:c r="S123" s="49"/>
      <x:c r="T123" s="49"/>
      <x:c r="U123" s="49"/>
      <x:c r="V123" s="49"/>
      <x:c r="W123" s="49"/>
      <x:c r="X123" s="49"/>
      <x:c r="Y123" s="49"/>
      <x:c r="Z123" s="49"/>
      <x:c r="AA123" s="49"/>
      <x:c r="AB123" s="49"/>
      <x:c r="AC123" s="49"/>
      <x:c r="AD123" s="49"/>
      <x:c r="AE123" s="49"/>
      <x:c r="AF123" s="49"/>
      <x:c r="AG123" s="49"/>
      <x:c r="AH123" s="49"/>
      <x:c r="AI123" s="49"/>
      <x:c r="AJ123" s="49"/>
      <x:c r="AK123" s="49"/>
      <x:c r="AL123" s="49"/>
      <x:c r="AM123" s="49"/>
      <x:c r="AN123" s="49"/>
      <x:c r="AO123" s="49"/>
      <x:c r="AP123" s="49"/>
      <x:c r="AQ123" s="49"/>
      <x:c r="AR123" s="49"/>
      <x:c r="AS123" s="49"/>
      <x:c r="AT123" s="49"/>
      <x:c r="AU123" s="49"/>
      <x:c r="AV123" s="49"/>
      <x:c r="AW123" s="49"/>
      <x:c r="AX123" s="49"/>
      <x:c r="AY123" s="49"/>
      <x:c r="AZ123" s="49"/>
    </x:row>
    <x:row r="124">
      <x:c r="A124" s="49"/>
      <x:c r="B124" s="49"/>
      <x:c r="C124" s="49"/>
      <x:c r="D124" s="49"/>
      <x:c r="E124" s="49"/>
      <x:c r="F124" s="49"/>
      <x:c r="G124" s="49"/>
      <x:c r="H124" s="49"/>
      <x:c r="I124" s="49"/>
      <x:c r="J124" s="49"/>
      <x:c r="K124" s="49"/>
      <x:c r="L124" s="49"/>
      <x:c r="M124" s="49"/>
      <x:c r="N124" s="49"/>
      <x:c r="O124" s="49"/>
      <x:c r="P124" s="49"/>
      <x:c r="Q124" s="49"/>
      <x:c r="R124" s="49"/>
      <x:c r="S124" s="49"/>
      <x:c r="T124" s="49"/>
      <x:c r="U124" s="49"/>
      <x:c r="V124" s="49"/>
      <x:c r="W124" s="49"/>
      <x:c r="X124" s="49"/>
      <x:c r="Y124" s="49"/>
      <x:c r="Z124" s="49"/>
      <x:c r="AA124" s="49"/>
      <x:c r="AB124" s="49"/>
      <x:c r="AC124" s="49"/>
      <x:c r="AD124" s="49"/>
      <x:c r="AE124" s="49"/>
      <x:c r="AF124" s="49"/>
      <x:c r="AG124" s="49"/>
      <x:c r="AH124" s="49"/>
      <x:c r="AI124" s="49"/>
      <x:c r="AJ124" s="49"/>
      <x:c r="AK124" s="49"/>
      <x:c r="AL124" s="49"/>
      <x:c r="AM124" s="49"/>
      <x:c r="AN124" s="49"/>
      <x:c r="AO124" s="49"/>
      <x:c r="AP124" s="49"/>
      <x:c r="AQ124" s="49"/>
      <x:c r="AR124" s="49"/>
      <x:c r="AS124" s="49"/>
      <x:c r="AT124" s="49"/>
      <x:c r="AU124" s="49"/>
      <x:c r="AV124" s="49"/>
      <x:c r="AW124" s="49"/>
      <x:c r="AX124" s="49"/>
      <x:c r="AY124" s="49"/>
      <x:c r="AZ124" s="49"/>
    </x:row>
    <x:row r="125">
      <x:c r="A125" s="49"/>
      <x:c r="B125" s="49"/>
      <x:c r="C125" s="49"/>
      <x:c r="D125" s="49"/>
      <x:c r="E125" s="49"/>
      <x:c r="F125" s="49"/>
      <x:c r="G125" s="49"/>
      <x:c r="H125" s="49"/>
      <x:c r="I125" s="49"/>
      <x:c r="J125" s="49"/>
      <x:c r="K125" s="49"/>
      <x:c r="L125" s="49"/>
      <x:c r="M125" s="49"/>
      <x:c r="N125" s="49"/>
      <x:c r="O125" s="49"/>
      <x:c r="P125" s="49"/>
      <x:c r="Q125" s="49"/>
      <x:c r="R125" s="49"/>
      <x:c r="S125" s="49"/>
      <x:c r="T125" s="49"/>
      <x:c r="U125" s="49"/>
      <x:c r="V125" s="49"/>
      <x:c r="W125" s="49"/>
      <x:c r="X125" s="49"/>
      <x:c r="Y125" s="49"/>
      <x:c r="Z125" s="49"/>
      <x:c r="AA125" s="49"/>
      <x:c r="AB125" s="49"/>
      <x:c r="AC125" s="49"/>
      <x:c r="AD125" s="49"/>
      <x:c r="AE125" s="49"/>
      <x:c r="AF125" s="49"/>
      <x:c r="AG125" s="49"/>
      <x:c r="AH125" s="49"/>
      <x:c r="AI125" s="49"/>
      <x:c r="AJ125" s="49"/>
      <x:c r="AK125" s="49"/>
      <x:c r="AL125" s="49"/>
      <x:c r="AM125" s="49"/>
      <x:c r="AN125" s="49"/>
      <x:c r="AO125" s="49"/>
      <x:c r="AP125" s="49"/>
      <x:c r="AQ125" s="49"/>
      <x:c r="AR125" s="49"/>
      <x:c r="AS125" s="49"/>
      <x:c r="AT125" s="49"/>
      <x:c r="AU125" s="49"/>
      <x:c r="AV125" s="49"/>
      <x:c r="AW125" s="49"/>
      <x:c r="AX125" s="49"/>
      <x:c r="AY125" s="49"/>
      <x:c r="AZ125" s="49"/>
    </x:row>
    <x:row r="126">
      <x:c r="A126" s="49"/>
      <x:c r="B126" s="49"/>
      <x:c r="C126" s="49"/>
      <x:c r="D126" s="49"/>
      <x:c r="E126" s="49"/>
      <x:c r="F126" s="49"/>
      <x:c r="G126" s="49"/>
      <x:c r="H126" s="49"/>
      <x:c r="I126" s="49"/>
      <x:c r="J126" s="49"/>
      <x:c r="K126" s="49"/>
      <x:c r="L126" s="49"/>
      <x:c r="M126" s="49"/>
      <x:c r="N126" s="49"/>
      <x:c r="O126" s="49"/>
      <x:c r="P126" s="49"/>
      <x:c r="Q126" s="49"/>
      <x:c r="R126" s="49"/>
      <x:c r="S126" s="49"/>
      <x:c r="T126" s="49"/>
      <x:c r="U126" s="49"/>
      <x:c r="V126" s="49"/>
      <x:c r="W126" s="49"/>
      <x:c r="X126" s="49"/>
      <x:c r="Y126" s="49"/>
      <x:c r="Z126" s="49"/>
      <x:c r="AA126" s="49"/>
      <x:c r="AB126" s="49"/>
      <x:c r="AC126" s="49"/>
      <x:c r="AD126" s="49"/>
      <x:c r="AE126" s="49"/>
      <x:c r="AF126" s="49"/>
      <x:c r="AG126" s="49"/>
      <x:c r="AH126" s="49"/>
      <x:c r="AI126" s="49"/>
      <x:c r="AJ126" s="49"/>
      <x:c r="AK126" s="49"/>
      <x:c r="AL126" s="49"/>
      <x:c r="AM126" s="49"/>
      <x:c r="AN126" s="49"/>
      <x:c r="AO126" s="49"/>
      <x:c r="AP126" s="49"/>
      <x:c r="AQ126" s="49"/>
      <x:c r="AR126" s="49"/>
      <x:c r="AS126" s="49"/>
      <x:c r="AT126" s="49"/>
      <x:c r="AU126" s="49"/>
      <x:c r="AV126" s="49"/>
      <x:c r="AW126" s="49"/>
      <x:c r="AX126" s="49"/>
      <x:c r="AY126" s="49"/>
      <x:c r="AZ126" s="49"/>
    </x:row>
    <x:row r="127">
      <x:c r="A127" s="49"/>
      <x:c r="B127" s="49"/>
      <x:c r="C127" s="49"/>
      <x:c r="D127" s="49"/>
      <x:c r="E127" s="49"/>
      <x:c r="F127" s="49"/>
      <x:c r="G127" s="49"/>
      <x:c r="H127" s="49"/>
      <x:c r="I127" s="49"/>
      <x:c r="J127" s="49"/>
      <x:c r="K127" s="49"/>
      <x:c r="L127" s="49"/>
      <x:c r="M127" s="49"/>
      <x:c r="N127" s="49"/>
      <x:c r="O127" s="49"/>
      <x:c r="P127" s="49"/>
      <x:c r="Q127" s="49"/>
      <x:c r="R127" s="49"/>
      <x:c r="S127" s="49"/>
      <x:c r="T127" s="49"/>
      <x:c r="U127" s="49"/>
      <x:c r="V127" s="49"/>
      <x:c r="W127" s="49"/>
      <x:c r="X127" s="49"/>
      <x:c r="Y127" s="49"/>
      <x:c r="Z127" s="49"/>
      <x:c r="AA127" s="49"/>
      <x:c r="AB127" s="49"/>
      <x:c r="AC127" s="49"/>
      <x:c r="AD127" s="49"/>
      <x:c r="AE127" s="49"/>
      <x:c r="AF127" s="49"/>
      <x:c r="AG127" s="49"/>
      <x:c r="AH127" s="49"/>
      <x:c r="AI127" s="49"/>
      <x:c r="AJ127" s="49"/>
      <x:c r="AK127" s="49"/>
      <x:c r="AL127" s="49"/>
      <x:c r="AM127" s="49"/>
      <x:c r="AN127" s="49"/>
      <x:c r="AO127" s="49"/>
      <x:c r="AP127" s="49"/>
      <x:c r="AQ127" s="49"/>
      <x:c r="AR127" s="49"/>
      <x:c r="AS127" s="49"/>
      <x:c r="AT127" s="49"/>
      <x:c r="AU127" s="49"/>
      <x:c r="AV127" s="49"/>
      <x:c r="AW127" s="49"/>
      <x:c r="AX127" s="49"/>
      <x:c r="AY127" s="49"/>
      <x:c r="AZ127" s="49"/>
    </x:row>
    <x:row r="128">
      <x:c r="A128" s="49"/>
      <x:c r="B128" s="49"/>
      <x:c r="C128" s="49"/>
      <x:c r="D128" s="49"/>
      <x:c r="E128" s="49"/>
      <x:c r="F128" s="49"/>
      <x:c r="G128" s="49"/>
      <x:c r="H128" s="49"/>
      <x:c r="I128" s="49"/>
      <x:c r="J128" s="49"/>
      <x:c r="K128" s="49"/>
      <x:c r="L128" s="49"/>
      <x:c r="M128" s="49"/>
      <x:c r="N128" s="49"/>
      <x:c r="O128" s="49"/>
      <x:c r="P128" s="49"/>
      <x:c r="Q128" s="49"/>
      <x:c r="R128" s="49"/>
      <x:c r="S128" s="49"/>
      <x:c r="T128" s="49"/>
      <x:c r="U128" s="49"/>
      <x:c r="V128" s="49"/>
      <x:c r="W128" s="49"/>
      <x:c r="X128" s="49"/>
      <x:c r="Y128" s="49"/>
      <x:c r="Z128" s="49"/>
      <x:c r="AA128" s="49"/>
      <x:c r="AB128" s="49"/>
      <x:c r="AC128" s="49"/>
      <x:c r="AD128" s="49"/>
      <x:c r="AE128" s="49"/>
      <x:c r="AF128" s="49"/>
      <x:c r="AG128" s="49"/>
      <x:c r="AH128" s="49"/>
      <x:c r="AI128" s="49"/>
      <x:c r="AJ128" s="49"/>
      <x:c r="AK128" s="49"/>
      <x:c r="AL128" s="49"/>
      <x:c r="AM128" s="49"/>
      <x:c r="AN128" s="49"/>
      <x:c r="AO128" s="49"/>
      <x:c r="AP128" s="49"/>
      <x:c r="AQ128" s="49"/>
      <x:c r="AR128" s="49"/>
      <x:c r="AS128" s="49"/>
      <x:c r="AT128" s="49"/>
      <x:c r="AU128" s="49"/>
      <x:c r="AV128" s="49"/>
      <x:c r="AW128" s="49"/>
      <x:c r="AX128" s="49"/>
      <x:c r="AY128" s="49"/>
      <x:c r="AZ128" s="49"/>
    </x:row>
    <x:row r="129">
      <x:c r="A129" s="49"/>
      <x:c r="B129" s="49"/>
      <x:c r="C129" s="49"/>
      <x:c r="D129" s="49"/>
      <x:c r="E129" s="49"/>
      <x:c r="F129" s="49"/>
      <x:c r="G129" s="49"/>
      <x:c r="H129" s="49"/>
      <x:c r="I129" s="49"/>
      <x:c r="J129" s="49"/>
      <x:c r="K129" s="49"/>
      <x:c r="L129" s="49"/>
      <x:c r="M129" s="49"/>
      <x:c r="N129" s="49"/>
      <x:c r="O129" s="49"/>
      <x:c r="P129" s="49"/>
      <x:c r="Q129" s="49"/>
      <x:c r="R129" s="49"/>
      <x:c r="S129" s="49"/>
      <x:c r="T129" s="49"/>
      <x:c r="U129" s="49"/>
      <x:c r="V129" s="49"/>
      <x:c r="W129" s="49"/>
      <x:c r="X129" s="49"/>
      <x:c r="Y129" s="49"/>
      <x:c r="Z129" s="49"/>
      <x:c r="AA129" s="49"/>
      <x:c r="AB129" s="49"/>
      <x:c r="AC129" s="49"/>
      <x:c r="AD129" s="49"/>
      <x:c r="AE129" s="49"/>
      <x:c r="AF129" s="49"/>
      <x:c r="AG129" s="49"/>
      <x:c r="AH129" s="49"/>
      <x:c r="AI129" s="49"/>
      <x:c r="AJ129" s="49"/>
      <x:c r="AK129" s="49"/>
      <x:c r="AL129" s="49"/>
      <x:c r="AM129" s="49"/>
      <x:c r="AN129" s="49"/>
      <x:c r="AO129" s="49"/>
      <x:c r="AP129" s="49"/>
      <x:c r="AQ129" s="49"/>
      <x:c r="AR129" s="49"/>
      <x:c r="AS129" s="49"/>
      <x:c r="AT129" s="49"/>
      <x:c r="AU129" s="49"/>
      <x:c r="AV129" s="49"/>
      <x:c r="AW129" s="49"/>
      <x:c r="AX129" s="49"/>
      <x:c r="AY129" s="49"/>
      <x:c r="AZ129" s="49"/>
    </x:row>
    <x:row r="130">
      <x:c r="A130" s="49"/>
      <x:c r="B130" s="49"/>
      <x:c r="C130" s="49"/>
      <x:c r="D130" s="49"/>
      <x:c r="E130" s="49"/>
      <x:c r="F130" s="49"/>
      <x:c r="G130" s="49"/>
      <x:c r="H130" s="49"/>
      <x:c r="I130" s="49"/>
      <x:c r="J130" s="49"/>
      <x:c r="K130" s="49"/>
      <x:c r="L130" s="49"/>
      <x:c r="M130" s="49"/>
      <x:c r="N130" s="49"/>
      <x:c r="O130" s="49"/>
      <x:c r="P130" s="49"/>
      <x:c r="Q130" s="49"/>
      <x:c r="R130" s="49"/>
      <x:c r="S130" s="49"/>
      <x:c r="T130" s="49"/>
      <x:c r="U130" s="49"/>
      <x:c r="V130" s="49"/>
      <x:c r="W130" s="49"/>
      <x:c r="X130" s="49"/>
      <x:c r="Y130" s="49"/>
      <x:c r="Z130" s="49"/>
      <x:c r="AA130" s="49"/>
      <x:c r="AB130" s="49"/>
      <x:c r="AC130" s="49"/>
      <x:c r="AD130" s="49"/>
      <x:c r="AE130" s="49"/>
      <x:c r="AF130" s="49"/>
      <x:c r="AG130" s="49"/>
      <x:c r="AH130" s="49"/>
      <x:c r="AI130" s="49"/>
      <x:c r="AJ130" s="49"/>
      <x:c r="AK130" s="49"/>
      <x:c r="AL130" s="49"/>
      <x:c r="AM130" s="49"/>
      <x:c r="AN130" s="49"/>
      <x:c r="AO130" s="49"/>
      <x:c r="AP130" s="49"/>
      <x:c r="AQ130" s="49"/>
      <x:c r="AR130" s="49"/>
      <x:c r="AS130" s="49"/>
      <x:c r="AT130" s="49"/>
      <x:c r="AU130" s="49"/>
      <x:c r="AV130" s="49"/>
      <x:c r="AW130" s="49"/>
      <x:c r="AX130" s="49"/>
      <x:c r="AY130" s="49"/>
      <x:c r="AZ130" s="49"/>
    </x:row>
    <x:row r="131">
      <x:c r="A131" s="49"/>
      <x:c r="B131" s="49"/>
      <x:c r="C131" s="49"/>
      <x:c r="D131" s="49"/>
      <x:c r="E131" s="49"/>
      <x:c r="F131" s="49"/>
      <x:c r="G131" s="49"/>
      <x:c r="H131" s="49"/>
      <x:c r="I131" s="49"/>
      <x:c r="J131" s="49"/>
      <x:c r="K131" s="49"/>
      <x:c r="L131" s="49"/>
      <x:c r="M131" s="49"/>
      <x:c r="N131" s="49"/>
      <x:c r="O131" s="49"/>
      <x:c r="P131" s="49"/>
      <x:c r="Q131" s="49"/>
      <x:c r="R131" s="49"/>
      <x:c r="S131" s="49"/>
      <x:c r="T131" s="49"/>
      <x:c r="U131" s="49"/>
      <x:c r="V131" s="49"/>
      <x:c r="W131" s="49"/>
      <x:c r="X131" s="49"/>
      <x:c r="Y131" s="49"/>
      <x:c r="Z131" s="49"/>
      <x:c r="AA131" s="49"/>
      <x:c r="AB131" s="49"/>
      <x:c r="AC131" s="49"/>
      <x:c r="AD131" s="49"/>
      <x:c r="AE131" s="49"/>
      <x:c r="AF131" s="49"/>
      <x:c r="AG131" s="49"/>
      <x:c r="AH131" s="49"/>
      <x:c r="AI131" s="49"/>
      <x:c r="AJ131" s="49"/>
      <x:c r="AK131" s="49"/>
      <x:c r="AL131" s="49"/>
      <x:c r="AM131" s="49"/>
      <x:c r="AN131" s="49"/>
      <x:c r="AO131" s="49"/>
      <x:c r="AP131" s="49"/>
      <x:c r="AQ131" s="49"/>
      <x:c r="AR131" s="49"/>
      <x:c r="AS131" s="49"/>
      <x:c r="AT131" s="49"/>
      <x:c r="AU131" s="49"/>
      <x:c r="AV131" s="49"/>
      <x:c r="AW131" s="49"/>
      <x:c r="AX131" s="49"/>
      <x:c r="AY131" s="49"/>
      <x:c r="AZ131" s="49"/>
    </x:row>
    <x:row r="132">
      <x:c r="A132" s="49"/>
      <x:c r="B132" s="49"/>
      <x:c r="C132" s="49"/>
      <x:c r="D132" s="49"/>
      <x:c r="E132" s="49"/>
      <x:c r="F132" s="49"/>
      <x:c r="G132" s="49"/>
      <x:c r="H132" s="49"/>
      <x:c r="I132" s="49"/>
      <x:c r="J132" s="49"/>
      <x:c r="K132" s="49"/>
      <x:c r="L132" s="49"/>
      <x:c r="M132" s="49"/>
      <x:c r="N132" s="49"/>
      <x:c r="O132" s="49"/>
      <x:c r="P132" s="49"/>
      <x:c r="Q132" s="49"/>
      <x:c r="R132" s="49"/>
      <x:c r="S132" s="49"/>
      <x:c r="T132" s="49"/>
      <x:c r="U132" s="49"/>
      <x:c r="V132" s="49"/>
      <x:c r="W132" s="49"/>
      <x:c r="X132" s="49"/>
      <x:c r="Y132" s="49"/>
      <x:c r="Z132" s="49"/>
      <x:c r="AA132" s="49"/>
      <x:c r="AB132" s="49"/>
      <x:c r="AC132" s="49"/>
      <x:c r="AD132" s="49"/>
      <x:c r="AE132" s="49"/>
      <x:c r="AF132" s="49"/>
      <x:c r="AG132" s="49"/>
      <x:c r="AH132" s="49"/>
      <x:c r="AI132" s="49"/>
      <x:c r="AJ132" s="49"/>
      <x:c r="AK132" s="49"/>
      <x:c r="AL132" s="49"/>
      <x:c r="AM132" s="49"/>
      <x:c r="AN132" s="49"/>
      <x:c r="AO132" s="49"/>
      <x:c r="AP132" s="49"/>
      <x:c r="AQ132" s="49"/>
      <x:c r="AR132" s="49"/>
      <x:c r="AS132" s="49"/>
      <x:c r="AT132" s="49"/>
      <x:c r="AU132" s="49"/>
      <x:c r="AV132" s="49"/>
      <x:c r="AW132" s="49"/>
      <x:c r="AX132" s="49"/>
      <x:c r="AY132" s="49"/>
      <x:c r="AZ132" s="49"/>
    </x:row>
    <x:row r="133">
      <x:c r="A133" s="49"/>
      <x:c r="B133" s="49"/>
      <x:c r="C133" s="49"/>
      <x:c r="D133" s="49"/>
      <x:c r="E133" s="49"/>
      <x:c r="F133" s="49"/>
      <x:c r="G133" s="49"/>
      <x:c r="H133" s="49"/>
      <x:c r="I133" s="49"/>
      <x:c r="J133" s="49"/>
      <x:c r="K133" s="49"/>
      <x:c r="L133" s="49"/>
      <x:c r="M133" s="49"/>
      <x:c r="N133" s="49"/>
      <x:c r="O133" s="49"/>
      <x:c r="P133" s="49"/>
      <x:c r="Q133" s="49"/>
      <x:c r="R133" s="49"/>
      <x:c r="S133" s="49"/>
      <x:c r="T133" s="49"/>
      <x:c r="U133" s="49"/>
      <x:c r="V133" s="49"/>
      <x:c r="W133" s="49"/>
      <x:c r="X133" s="49"/>
      <x:c r="Y133" s="49"/>
      <x:c r="Z133" s="49"/>
      <x:c r="AA133" s="49"/>
      <x:c r="AB133" s="49"/>
      <x:c r="AC133" s="49"/>
      <x:c r="AD133" s="49"/>
      <x:c r="AE133" s="49"/>
      <x:c r="AF133" s="49"/>
      <x:c r="AG133" s="49"/>
      <x:c r="AH133" s="49"/>
      <x:c r="AI133" s="49"/>
      <x:c r="AJ133" s="49"/>
      <x:c r="AK133" s="49"/>
      <x:c r="AL133" s="49"/>
      <x:c r="AM133" s="49"/>
      <x:c r="AN133" s="49"/>
      <x:c r="AO133" s="49"/>
      <x:c r="AP133" s="49"/>
      <x:c r="AQ133" s="49"/>
      <x:c r="AR133" s="49"/>
      <x:c r="AS133" s="49"/>
      <x:c r="AT133" s="49"/>
      <x:c r="AU133" s="49"/>
      <x:c r="AV133" s="49"/>
      <x:c r="AW133" s="49"/>
      <x:c r="AX133" s="49"/>
      <x:c r="AY133" s="49"/>
      <x:c r="AZ133" s="49"/>
    </x:row>
    <x:row r="134">
      <x:c r="A134" s="49"/>
      <x:c r="B134" s="49"/>
      <x:c r="C134" s="49"/>
      <x:c r="D134" s="49"/>
      <x:c r="E134" s="49"/>
      <x:c r="F134" s="49"/>
      <x:c r="G134" s="49"/>
      <x:c r="H134" s="49"/>
      <x:c r="I134" s="49"/>
      <x:c r="J134" s="49"/>
      <x:c r="K134" s="49"/>
      <x:c r="L134" s="49"/>
      <x:c r="M134" s="49"/>
      <x:c r="N134" s="49"/>
      <x:c r="O134" s="49"/>
      <x:c r="P134" s="49"/>
      <x:c r="Q134" s="49"/>
      <x:c r="R134" s="49"/>
      <x:c r="S134" s="49"/>
      <x:c r="T134" s="49"/>
      <x:c r="U134" s="49"/>
      <x:c r="V134" s="49"/>
      <x:c r="W134" s="49"/>
      <x:c r="X134" s="49"/>
      <x:c r="Y134" s="49"/>
      <x:c r="Z134" s="49"/>
      <x:c r="AA134" s="49"/>
      <x:c r="AB134" s="49"/>
      <x:c r="AC134" s="49"/>
      <x:c r="AD134" s="49"/>
      <x:c r="AE134" s="49"/>
      <x:c r="AF134" s="49"/>
      <x:c r="AG134" s="49"/>
      <x:c r="AH134" s="49"/>
      <x:c r="AI134" s="49"/>
      <x:c r="AJ134" s="49"/>
      <x:c r="AK134" s="49"/>
      <x:c r="AL134" s="49"/>
      <x:c r="AM134" s="49"/>
      <x:c r="AN134" s="49"/>
      <x:c r="AO134" s="49"/>
      <x:c r="AP134" s="49"/>
      <x:c r="AQ134" s="49"/>
      <x:c r="AR134" s="49"/>
      <x:c r="AS134" s="49"/>
      <x:c r="AT134" s="49"/>
      <x:c r="AU134" s="49"/>
      <x:c r="AV134" s="49"/>
      <x:c r="AW134" s="49"/>
      <x:c r="AX134" s="49"/>
      <x:c r="AY134" s="49"/>
      <x:c r="AZ134" s="49"/>
    </x:row>
    <x:row r="135">
      <x:c r="A135" s="49"/>
      <x:c r="B135" s="49"/>
      <x:c r="C135" s="49"/>
      <x:c r="D135" s="49"/>
      <x:c r="E135" s="49"/>
      <x:c r="F135" s="49"/>
      <x:c r="G135" s="49"/>
      <x:c r="H135" s="49"/>
      <x:c r="I135" s="49"/>
      <x:c r="J135" s="49"/>
      <x:c r="K135" s="49"/>
      <x:c r="L135" s="49"/>
      <x:c r="M135" s="49"/>
      <x:c r="N135" s="49"/>
      <x:c r="O135" s="49"/>
      <x:c r="P135" s="49"/>
      <x:c r="Q135" s="49"/>
      <x:c r="R135" s="49"/>
      <x:c r="S135" s="49"/>
      <x:c r="T135" s="49"/>
      <x:c r="U135" s="49"/>
      <x:c r="V135" s="49"/>
      <x:c r="W135" s="49"/>
      <x:c r="X135" s="49"/>
      <x:c r="Y135" s="49"/>
      <x:c r="Z135" s="49"/>
      <x:c r="AA135" s="49"/>
      <x:c r="AB135" s="49"/>
      <x:c r="AC135" s="49"/>
      <x:c r="AD135" s="49"/>
      <x:c r="AE135" s="49"/>
      <x:c r="AF135" s="49"/>
      <x:c r="AG135" s="49"/>
      <x:c r="AH135" s="49"/>
      <x:c r="AI135" s="49"/>
      <x:c r="AJ135" s="49"/>
      <x:c r="AK135" s="49"/>
      <x:c r="AL135" s="49"/>
      <x:c r="AM135" s="49"/>
      <x:c r="AN135" s="49"/>
      <x:c r="AO135" s="49"/>
      <x:c r="AP135" s="49"/>
      <x:c r="AQ135" s="49"/>
      <x:c r="AR135" s="49"/>
      <x:c r="AS135" s="49"/>
      <x:c r="AT135" s="49"/>
      <x:c r="AU135" s="49"/>
      <x:c r="AV135" s="49"/>
      <x:c r="AW135" s="49"/>
      <x:c r="AX135" s="49"/>
      <x:c r="AY135" s="49"/>
      <x:c r="AZ135" s="49"/>
    </x:row>
    <x:row r="136">
      <x:c r="A136" s="49"/>
      <x:c r="B136" s="49"/>
      <x:c r="C136" s="49"/>
      <x:c r="D136" s="49"/>
      <x:c r="E136" s="49"/>
      <x:c r="F136" s="49"/>
      <x:c r="G136" s="49"/>
      <x:c r="H136" s="49"/>
      <x:c r="I136" s="49"/>
      <x:c r="J136" s="49"/>
      <x:c r="K136" s="49"/>
      <x:c r="L136" s="49"/>
      <x:c r="M136" s="49"/>
      <x:c r="N136" s="49"/>
      <x:c r="O136" s="49"/>
      <x:c r="P136" s="49"/>
      <x:c r="Q136" s="49"/>
      <x:c r="R136" s="49"/>
      <x:c r="S136" s="49"/>
      <x:c r="T136" s="49"/>
      <x:c r="U136" s="49"/>
      <x:c r="V136" s="49"/>
      <x:c r="W136" s="49"/>
      <x:c r="X136" s="49"/>
      <x:c r="Y136" s="49"/>
      <x:c r="Z136" s="49"/>
      <x:c r="AA136" s="49"/>
      <x:c r="AB136" s="49"/>
      <x:c r="AC136" s="49"/>
      <x:c r="AD136" s="49"/>
      <x:c r="AE136" s="49"/>
      <x:c r="AF136" s="49"/>
      <x:c r="AG136" s="49"/>
      <x:c r="AH136" s="49"/>
      <x:c r="AI136" s="49"/>
      <x:c r="AJ136" s="49"/>
      <x:c r="AK136" s="49"/>
      <x:c r="AL136" s="49"/>
      <x:c r="AM136" s="49"/>
      <x:c r="AN136" s="49"/>
      <x:c r="AO136" s="49"/>
      <x:c r="AP136" s="49"/>
      <x:c r="AQ136" s="49"/>
      <x:c r="AR136" s="49"/>
      <x:c r="AS136" s="49"/>
      <x:c r="AT136" s="49"/>
      <x:c r="AU136" s="49"/>
      <x:c r="AV136" s="49"/>
      <x:c r="AW136" s="49"/>
      <x:c r="AX136" s="49"/>
      <x:c r="AY136" s="49"/>
      <x:c r="AZ136" s="49"/>
    </x:row>
    <x:row r="137">
      <x:c r="A137" s="49"/>
      <x:c r="B137" s="49"/>
      <x:c r="C137" s="49"/>
      <x:c r="D137" s="49"/>
      <x:c r="E137" s="49"/>
      <x:c r="F137" s="49"/>
      <x:c r="G137" s="49"/>
      <x:c r="H137" s="49"/>
      <x:c r="I137" s="49"/>
      <x:c r="J137" s="49"/>
      <x:c r="K137" s="49"/>
      <x:c r="L137" s="49"/>
      <x:c r="M137" s="49"/>
      <x:c r="N137" s="49"/>
      <x:c r="O137" s="49"/>
      <x:c r="P137" s="49"/>
      <x:c r="Q137" s="49"/>
      <x:c r="R137" s="49"/>
      <x:c r="S137" s="49"/>
      <x:c r="T137" s="49"/>
      <x:c r="U137" s="49"/>
      <x:c r="V137" s="49"/>
      <x:c r="W137" s="49"/>
      <x:c r="X137" s="49"/>
      <x:c r="Y137" s="49"/>
      <x:c r="Z137" s="49"/>
      <x:c r="AA137" s="49"/>
      <x:c r="AB137" s="49"/>
      <x:c r="AC137" s="49"/>
      <x:c r="AD137" s="49"/>
      <x:c r="AE137" s="49"/>
      <x:c r="AF137" s="49"/>
      <x:c r="AG137" s="49"/>
      <x:c r="AH137" s="49"/>
      <x:c r="AI137" s="49"/>
      <x:c r="AJ137" s="49"/>
      <x:c r="AK137" s="49"/>
      <x:c r="AL137" s="49"/>
      <x:c r="AM137" s="49"/>
      <x:c r="AN137" s="49"/>
      <x:c r="AO137" s="49"/>
      <x:c r="AP137" s="49"/>
      <x:c r="AQ137" s="49"/>
      <x:c r="AR137" s="49"/>
      <x:c r="AS137" s="49"/>
      <x:c r="AT137" s="49"/>
      <x:c r="AU137" s="49"/>
      <x:c r="AV137" s="49"/>
      <x:c r="AW137" s="49"/>
      <x:c r="AX137" s="49"/>
      <x:c r="AY137" s="49"/>
      <x:c r="AZ137" s="49"/>
    </x:row>
    <x:row r="138">
      <x:c r="A138" s="49"/>
      <x:c r="B138" s="49"/>
      <x:c r="C138" s="49"/>
      <x:c r="D138" s="49"/>
      <x:c r="E138" s="49"/>
      <x:c r="F138" s="49"/>
      <x:c r="G138" s="49"/>
      <x:c r="H138" s="49"/>
      <x:c r="I138" s="49"/>
      <x:c r="J138" s="49"/>
      <x:c r="K138" s="49"/>
      <x:c r="L138" s="49"/>
      <x:c r="M138" s="49"/>
      <x:c r="N138" s="49"/>
      <x:c r="O138" s="49"/>
      <x:c r="P138" s="49"/>
      <x:c r="Q138" s="49"/>
      <x:c r="R138" s="49"/>
      <x:c r="S138" s="49"/>
      <x:c r="T138" s="49"/>
      <x:c r="U138" s="49"/>
      <x:c r="V138" s="49"/>
      <x:c r="W138" s="49"/>
      <x:c r="X138" s="49"/>
      <x:c r="Y138" s="49"/>
      <x:c r="Z138" s="49"/>
      <x:c r="AA138" s="49"/>
      <x:c r="AB138" s="49"/>
      <x:c r="AC138" s="49"/>
      <x:c r="AD138" s="49"/>
      <x:c r="AE138" s="49"/>
      <x:c r="AF138" s="49"/>
      <x:c r="AG138" s="49"/>
      <x:c r="AH138" s="49"/>
      <x:c r="AI138" s="49"/>
      <x:c r="AJ138" s="49"/>
      <x:c r="AK138" s="49"/>
      <x:c r="AL138" s="49"/>
      <x:c r="AM138" s="49"/>
      <x:c r="AN138" s="49"/>
      <x:c r="AO138" s="49"/>
      <x:c r="AP138" s="49"/>
      <x:c r="AQ138" s="49"/>
      <x:c r="AR138" s="49"/>
      <x:c r="AS138" s="49"/>
      <x:c r="AT138" s="49"/>
      <x:c r="AU138" s="49"/>
      <x:c r="AV138" s="49"/>
      <x:c r="AW138" s="49"/>
      <x:c r="AX138" s="49"/>
      <x:c r="AY138" s="49"/>
      <x:c r="AZ138" s="49"/>
    </x:row>
    <x:row r="139">
      <x:c r="A139" s="49"/>
      <x:c r="B139" s="49"/>
      <x:c r="C139" s="49"/>
      <x:c r="D139" s="49"/>
      <x:c r="E139" s="49"/>
      <x:c r="F139" s="49"/>
      <x:c r="G139" s="49"/>
      <x:c r="H139" s="49"/>
      <x:c r="I139" s="49"/>
      <x:c r="J139" s="49"/>
      <x:c r="K139" s="49"/>
      <x:c r="L139" s="49"/>
      <x:c r="M139" s="49"/>
      <x:c r="N139" s="49"/>
      <x:c r="O139" s="49"/>
      <x:c r="P139" s="49"/>
      <x:c r="Q139" s="49"/>
      <x:c r="R139" s="49"/>
      <x:c r="S139" s="49"/>
      <x:c r="T139" s="49"/>
      <x:c r="U139" s="49"/>
      <x:c r="V139" s="49"/>
      <x:c r="W139" s="49"/>
      <x:c r="X139" s="49"/>
      <x:c r="Y139" s="49"/>
      <x:c r="Z139" s="49"/>
      <x:c r="AA139" s="49"/>
      <x:c r="AB139" s="49"/>
      <x:c r="AC139" s="49"/>
      <x:c r="AD139" s="49"/>
      <x:c r="AE139" s="49"/>
      <x:c r="AF139" s="49"/>
      <x:c r="AG139" s="49"/>
      <x:c r="AH139" s="49"/>
      <x:c r="AI139" s="49"/>
      <x:c r="AJ139" s="49"/>
      <x:c r="AK139" s="49"/>
      <x:c r="AL139" s="49"/>
      <x:c r="AM139" s="49"/>
      <x:c r="AN139" s="49"/>
      <x:c r="AO139" s="49"/>
      <x:c r="AP139" s="49"/>
      <x:c r="AQ139" s="49"/>
      <x:c r="AR139" s="49"/>
      <x:c r="AS139" s="49"/>
      <x:c r="AT139" s="49"/>
      <x:c r="AU139" s="49"/>
      <x:c r="AV139" s="49"/>
      <x:c r="AW139" s="49"/>
      <x:c r="AX139" s="49"/>
      <x:c r="AY139" s="49"/>
      <x:c r="AZ139" s="49"/>
    </x:row>
    <x:row r="140">
      <x:c r="A140" s="49"/>
      <x:c r="B140" s="49"/>
      <x:c r="C140" s="49"/>
      <x:c r="D140" s="49"/>
      <x:c r="E140" s="49"/>
      <x:c r="F140" s="49"/>
      <x:c r="G140" s="49"/>
      <x:c r="H140" s="49"/>
      <x:c r="I140" s="49"/>
      <x:c r="J140" s="49"/>
      <x:c r="K140" s="49"/>
      <x:c r="L140" s="49"/>
      <x:c r="M140" s="49"/>
      <x:c r="N140" s="49"/>
      <x:c r="O140" s="49"/>
      <x:c r="P140" s="49"/>
      <x:c r="Q140" s="49"/>
      <x:c r="R140" s="49"/>
      <x:c r="S140" s="49"/>
      <x:c r="T140" s="49"/>
      <x:c r="U140" s="49"/>
      <x:c r="V140" s="49"/>
      <x:c r="W140" s="49"/>
      <x:c r="X140" s="49"/>
      <x:c r="Y140" s="49"/>
      <x:c r="Z140" s="49"/>
      <x:c r="AA140" s="49"/>
      <x:c r="AB140" s="49"/>
      <x:c r="AC140" s="49"/>
      <x:c r="AD140" s="49"/>
      <x:c r="AE140" s="49"/>
      <x:c r="AF140" s="49"/>
      <x:c r="AG140" s="49"/>
      <x:c r="AH140" s="49"/>
      <x:c r="AI140" s="49"/>
      <x:c r="AJ140" s="49"/>
      <x:c r="AK140" s="49"/>
      <x:c r="AL140" s="49"/>
      <x:c r="AM140" s="49"/>
      <x:c r="AN140" s="49"/>
      <x:c r="AO140" s="49"/>
      <x:c r="AP140" s="49"/>
      <x:c r="AQ140" s="49"/>
      <x:c r="AR140" s="49"/>
      <x:c r="AS140" s="49"/>
      <x:c r="AT140" s="49"/>
      <x:c r="AU140" s="49"/>
      <x:c r="AV140" s="49"/>
      <x:c r="AW140" s="49"/>
      <x:c r="AX140" s="49"/>
      <x:c r="AY140" s="49"/>
      <x:c r="AZ140" s="49"/>
    </x:row>
    <x:row r="141">
      <x:c r="A141" s="49"/>
      <x:c r="B141" s="49"/>
      <x:c r="C141" s="49"/>
      <x:c r="D141" s="49"/>
      <x:c r="E141" s="49"/>
      <x:c r="F141" s="49"/>
      <x:c r="G141" s="49"/>
      <x:c r="H141" s="49"/>
      <x:c r="I141" s="49"/>
      <x:c r="J141" s="49"/>
      <x:c r="K141" s="49"/>
      <x:c r="L141" s="49"/>
      <x:c r="M141" s="49"/>
      <x:c r="N141" s="49"/>
      <x:c r="O141" s="49"/>
      <x:c r="P141" s="49"/>
      <x:c r="Q141" s="49"/>
      <x:c r="R141" s="49"/>
      <x:c r="S141" s="49"/>
      <x:c r="T141" s="49"/>
      <x:c r="U141" s="49"/>
      <x:c r="V141" s="49"/>
      <x:c r="W141" s="49"/>
      <x:c r="X141" s="49"/>
      <x:c r="Y141" s="49"/>
      <x:c r="Z141" s="49"/>
      <x:c r="AA141" s="49"/>
      <x:c r="AB141" s="49"/>
      <x:c r="AC141" s="49"/>
      <x:c r="AD141" s="49"/>
      <x:c r="AE141" s="49"/>
      <x:c r="AF141" s="49"/>
      <x:c r="AG141" s="49"/>
      <x:c r="AH141" s="49"/>
      <x:c r="AI141" s="49"/>
      <x:c r="AJ141" s="49"/>
      <x:c r="AK141" s="49"/>
      <x:c r="AL141" s="49"/>
      <x:c r="AM141" s="49"/>
      <x:c r="AN141" s="49"/>
      <x:c r="AO141" s="49"/>
      <x:c r="AP141" s="49"/>
      <x:c r="AQ141" s="49"/>
      <x:c r="AR141" s="49"/>
      <x:c r="AS141" s="49"/>
      <x:c r="AT141" s="49"/>
      <x:c r="AU141" s="49"/>
      <x:c r="AV141" s="49"/>
      <x:c r="AW141" s="49"/>
      <x:c r="AX141" s="49"/>
      <x:c r="AY141" s="49"/>
      <x:c r="AZ141" s="49"/>
    </x:row>
    <x:row r="142">
      <x:c r="A142" s="49"/>
      <x:c r="B142" s="49"/>
      <x:c r="C142" s="49"/>
      <x:c r="D142" s="49"/>
      <x:c r="E142" s="49"/>
      <x:c r="F142" s="49"/>
      <x:c r="G142" s="49"/>
      <x:c r="H142" s="49"/>
      <x:c r="I142" s="49"/>
      <x:c r="J142" s="49"/>
      <x:c r="K142" s="49"/>
      <x:c r="L142" s="49"/>
      <x:c r="M142" s="49"/>
      <x:c r="N142" s="49"/>
      <x:c r="O142" s="49"/>
      <x:c r="P142" s="49"/>
      <x:c r="Q142" s="49"/>
      <x:c r="R142" s="49"/>
      <x:c r="S142" s="49"/>
      <x:c r="T142" s="49"/>
      <x:c r="U142" s="49"/>
      <x:c r="V142" s="49"/>
      <x:c r="W142" s="49"/>
      <x:c r="X142" s="49"/>
      <x:c r="Y142" s="49"/>
      <x:c r="Z142" s="49"/>
      <x:c r="AA142" s="49"/>
      <x:c r="AB142" s="49"/>
      <x:c r="AC142" s="49"/>
      <x:c r="AD142" s="49"/>
      <x:c r="AE142" s="49"/>
      <x:c r="AF142" s="49"/>
      <x:c r="AG142" s="49"/>
      <x:c r="AH142" s="49"/>
      <x:c r="AI142" s="49"/>
      <x:c r="AJ142" s="49"/>
      <x:c r="AK142" s="49"/>
      <x:c r="AL142" s="49"/>
      <x:c r="AM142" s="49"/>
      <x:c r="AN142" s="49"/>
      <x:c r="AO142" s="49"/>
      <x:c r="AP142" s="49"/>
      <x:c r="AQ142" s="49"/>
      <x:c r="AR142" s="49"/>
      <x:c r="AS142" s="49"/>
      <x:c r="AT142" s="49"/>
      <x:c r="AU142" s="49"/>
      <x:c r="AV142" s="49"/>
      <x:c r="AW142" s="49"/>
      <x:c r="AX142" s="49"/>
      <x:c r="AY142" s="49"/>
      <x:c r="AZ142" s="49"/>
    </x:row>
    <x:row r="143">
      <x:c r="A143" s="49"/>
      <x:c r="B143" s="49"/>
      <x:c r="C143" s="49"/>
      <x:c r="D143" s="49"/>
      <x:c r="E143" s="49"/>
      <x:c r="F143" s="49"/>
      <x:c r="G143" s="49"/>
      <x:c r="H143" s="49"/>
      <x:c r="I143" s="49"/>
      <x:c r="J143" s="49"/>
      <x:c r="K143" s="49"/>
      <x:c r="L143" s="49"/>
      <x:c r="M143" s="49"/>
      <x:c r="N143" s="49"/>
      <x:c r="O143" s="49"/>
      <x:c r="P143" s="49"/>
      <x:c r="Q143" s="49"/>
      <x:c r="R143" s="49"/>
      <x:c r="S143" s="49"/>
      <x:c r="T143" s="49"/>
      <x:c r="U143" s="49"/>
      <x:c r="V143" s="49"/>
      <x:c r="W143" s="49"/>
      <x:c r="X143" s="49"/>
      <x:c r="Y143" s="49"/>
      <x:c r="Z143" s="49"/>
      <x:c r="AA143" s="49"/>
      <x:c r="AB143" s="49"/>
      <x:c r="AC143" s="49"/>
      <x:c r="AD143" s="49"/>
      <x:c r="AE143" s="49"/>
      <x:c r="AF143" s="49"/>
      <x:c r="AG143" s="49"/>
      <x:c r="AH143" s="49"/>
      <x:c r="AI143" s="49"/>
      <x:c r="AJ143" s="49"/>
      <x:c r="AK143" s="49"/>
      <x:c r="AL143" s="49"/>
      <x:c r="AM143" s="49"/>
      <x:c r="AN143" s="49"/>
      <x:c r="AO143" s="49"/>
      <x:c r="AP143" s="49"/>
      <x:c r="AQ143" s="49"/>
      <x:c r="AR143" s="49"/>
      <x:c r="AS143" s="49"/>
      <x:c r="AT143" s="49"/>
      <x:c r="AU143" s="49"/>
      <x:c r="AV143" s="49"/>
      <x:c r="AW143" s="49"/>
      <x:c r="AX143" s="49"/>
      <x:c r="AY143" s="49"/>
      <x:c r="AZ143" s="49"/>
    </x:row>
    <x:row r="144">
      <x:c r="A144" s="49"/>
      <x:c r="B144" s="49"/>
      <x:c r="C144" s="49"/>
      <x:c r="D144" s="49"/>
      <x:c r="E144" s="49"/>
      <x:c r="F144" s="49"/>
      <x:c r="G144" s="49"/>
      <x:c r="H144" s="49"/>
      <x:c r="I144" s="49"/>
      <x:c r="J144" s="49"/>
      <x:c r="K144" s="49"/>
      <x:c r="L144" s="49"/>
      <x:c r="M144" s="49"/>
      <x:c r="N144" s="49"/>
      <x:c r="O144" s="49"/>
      <x:c r="P144" s="49"/>
      <x:c r="Q144" s="49"/>
      <x:c r="R144" s="49"/>
      <x:c r="S144" s="49"/>
      <x:c r="T144" s="49"/>
      <x:c r="U144" s="49"/>
      <x:c r="V144" s="49"/>
      <x:c r="W144" s="49"/>
      <x:c r="X144" s="49"/>
      <x:c r="Y144" s="49"/>
      <x:c r="Z144" s="49"/>
      <x:c r="AA144" s="49"/>
      <x:c r="AB144" s="49"/>
      <x:c r="AC144" s="49"/>
      <x:c r="AD144" s="49"/>
      <x:c r="AE144" s="49"/>
      <x:c r="AF144" s="49"/>
      <x:c r="AG144" s="49"/>
      <x:c r="AH144" s="49"/>
      <x:c r="AI144" s="49"/>
      <x:c r="AJ144" s="49"/>
      <x:c r="AK144" s="49"/>
      <x:c r="AL144" s="49"/>
      <x:c r="AM144" s="49"/>
      <x:c r="AN144" s="49"/>
      <x:c r="AO144" s="49"/>
      <x:c r="AP144" s="49"/>
      <x:c r="AQ144" s="49"/>
      <x:c r="AR144" s="49"/>
      <x:c r="AS144" s="49"/>
      <x:c r="AT144" s="49"/>
      <x:c r="AU144" s="49"/>
      <x:c r="AV144" s="49"/>
      <x:c r="AW144" s="49"/>
      <x:c r="AX144" s="49"/>
      <x:c r="AY144" s="49"/>
      <x:c r="AZ144" s="49"/>
    </x:row>
    <x:row r="145">
      <x:c r="A145" s="49"/>
      <x:c r="B145" s="49"/>
      <x:c r="C145" s="49"/>
      <x:c r="D145" s="49"/>
      <x:c r="E145" s="49"/>
      <x:c r="F145" s="49"/>
      <x:c r="G145" s="49"/>
      <x:c r="H145" s="49"/>
      <x:c r="I145" s="49"/>
      <x:c r="J145" s="49"/>
      <x:c r="K145" s="49"/>
      <x:c r="L145" s="49"/>
      <x:c r="M145" s="49"/>
      <x:c r="N145" s="49"/>
      <x:c r="O145" s="49"/>
      <x:c r="P145" s="49"/>
      <x:c r="Q145" s="49"/>
      <x:c r="R145" s="49"/>
      <x:c r="S145" s="49"/>
      <x:c r="T145" s="49"/>
      <x:c r="U145" s="49"/>
      <x:c r="V145" s="49"/>
      <x:c r="W145" s="49"/>
      <x:c r="X145" s="49"/>
      <x:c r="Y145" s="49"/>
      <x:c r="Z145" s="49"/>
      <x:c r="AA145" s="49"/>
      <x:c r="AB145" s="49"/>
      <x:c r="AC145" s="49"/>
      <x:c r="AD145" s="49"/>
      <x:c r="AE145" s="49"/>
      <x:c r="AF145" s="49"/>
      <x:c r="AG145" s="49"/>
      <x:c r="AH145" s="49"/>
      <x:c r="AI145" s="49"/>
      <x:c r="AJ145" s="49"/>
      <x:c r="AK145" s="49"/>
      <x:c r="AL145" s="49"/>
      <x:c r="AM145" s="49"/>
      <x:c r="AN145" s="49"/>
      <x:c r="AO145" s="49"/>
      <x:c r="AP145" s="49"/>
      <x:c r="AQ145" s="49"/>
      <x:c r="AR145" s="49"/>
      <x:c r="AS145" s="49"/>
      <x:c r="AT145" s="49"/>
      <x:c r="AU145" s="49"/>
      <x:c r="AV145" s="49"/>
      <x:c r="AW145" s="49"/>
      <x:c r="AX145" s="49"/>
      <x:c r="AY145" s="49"/>
      <x:c r="AZ145" s="49"/>
    </x:row>
    <x:row r="146">
      <x:c r="A146" s="49"/>
      <x:c r="B146" s="49"/>
      <x:c r="C146" s="49"/>
      <x:c r="D146" s="49"/>
      <x:c r="E146" s="49"/>
      <x:c r="F146" s="49"/>
      <x:c r="G146" s="49"/>
      <x:c r="H146" s="49"/>
      <x:c r="I146" s="49"/>
      <x:c r="J146" s="49"/>
      <x:c r="K146" s="49"/>
      <x:c r="L146" s="49"/>
      <x:c r="M146" s="49"/>
      <x:c r="N146" s="49"/>
      <x:c r="O146" s="49"/>
      <x:c r="P146" s="49"/>
      <x:c r="Q146" s="49"/>
      <x:c r="R146" s="49"/>
      <x:c r="S146" s="49"/>
      <x:c r="T146" s="49"/>
      <x:c r="U146" s="49"/>
      <x:c r="V146" s="49"/>
      <x:c r="W146" s="49"/>
      <x:c r="X146" s="49"/>
      <x:c r="Y146" s="49"/>
      <x:c r="Z146" s="49"/>
      <x:c r="AA146" s="49"/>
      <x:c r="AB146" s="49"/>
      <x:c r="AC146" s="49"/>
      <x:c r="AD146" s="49"/>
      <x:c r="AE146" s="49"/>
      <x:c r="AF146" s="49"/>
      <x:c r="AG146" s="49"/>
      <x:c r="AH146" s="49"/>
      <x:c r="AI146" s="49"/>
      <x:c r="AJ146" s="49"/>
      <x:c r="AK146" s="49"/>
      <x:c r="AL146" s="49"/>
      <x:c r="AM146" s="49"/>
      <x:c r="AN146" s="49"/>
      <x:c r="AO146" s="49"/>
      <x:c r="AP146" s="49"/>
      <x:c r="AQ146" s="49"/>
      <x:c r="AR146" s="49"/>
      <x:c r="AS146" s="49"/>
      <x:c r="AT146" s="49"/>
      <x:c r="AU146" s="49"/>
      <x:c r="AV146" s="49"/>
      <x:c r="AW146" s="49"/>
      <x:c r="AX146" s="49"/>
      <x:c r="AY146" s="49"/>
      <x:c r="AZ146" s="49"/>
    </x:row>
    <x:row r="147">
      <x:c r="A147" s="49"/>
      <x:c r="B147" s="49"/>
      <x:c r="C147" s="49"/>
      <x:c r="D147" s="49"/>
      <x:c r="E147" s="49"/>
      <x:c r="F147" s="49"/>
      <x:c r="G147" s="49"/>
      <x:c r="H147" s="49"/>
      <x:c r="I147" s="49"/>
      <x:c r="J147" s="49"/>
      <x:c r="K147" s="49"/>
      <x:c r="L147" s="49"/>
      <x:c r="M147" s="49"/>
      <x:c r="N147" s="49"/>
      <x:c r="O147" s="49"/>
      <x:c r="P147" s="49"/>
      <x:c r="Q147" s="49"/>
      <x:c r="R147" s="49"/>
      <x:c r="S147" s="49"/>
      <x:c r="T147" s="49"/>
      <x:c r="U147" s="49"/>
      <x:c r="V147" s="49"/>
      <x:c r="W147" s="49"/>
      <x:c r="X147" s="49"/>
      <x:c r="Y147" s="49"/>
      <x:c r="Z147" s="49"/>
      <x:c r="AA147" s="49"/>
      <x:c r="AB147" s="49"/>
      <x:c r="AC147" s="49"/>
      <x:c r="AD147" s="49"/>
      <x:c r="AE147" s="49"/>
      <x:c r="AF147" s="49"/>
      <x:c r="AG147" s="49"/>
      <x:c r="AH147" s="49"/>
      <x:c r="AI147" s="49"/>
      <x:c r="AJ147" s="49"/>
      <x:c r="AK147" s="49"/>
      <x:c r="AL147" s="49"/>
      <x:c r="AM147" s="49"/>
      <x:c r="AN147" s="49"/>
      <x:c r="AO147" s="49"/>
      <x:c r="AP147" s="49"/>
      <x:c r="AQ147" s="49"/>
      <x:c r="AR147" s="49"/>
      <x:c r="AS147" s="49"/>
      <x:c r="AT147" s="49"/>
      <x:c r="AU147" s="49"/>
      <x:c r="AV147" s="49"/>
      <x:c r="AW147" s="49"/>
      <x:c r="AX147" s="49"/>
      <x:c r="AY147" s="49"/>
      <x:c r="AZ147" s="49"/>
    </x:row>
    <x:row r="148">
      <x:c r="A148" s="49"/>
      <x:c r="B148" s="49"/>
      <x:c r="C148" s="49"/>
      <x:c r="D148" s="49"/>
      <x:c r="E148" s="49"/>
      <x:c r="F148" s="49"/>
      <x:c r="G148" s="49"/>
      <x:c r="H148" s="49"/>
      <x:c r="I148" s="49"/>
      <x:c r="J148" s="49"/>
      <x:c r="K148" s="49"/>
      <x:c r="L148" s="49"/>
      <x:c r="M148" s="49"/>
      <x:c r="N148" s="49"/>
      <x:c r="O148" s="49"/>
      <x:c r="P148" s="49"/>
      <x:c r="Q148" s="49"/>
      <x:c r="R148" s="49"/>
      <x:c r="S148" s="49"/>
      <x:c r="T148" s="49"/>
      <x:c r="U148" s="49"/>
      <x:c r="V148" s="49"/>
      <x:c r="W148" s="49"/>
      <x:c r="X148" s="49"/>
      <x:c r="Y148" s="49"/>
      <x:c r="Z148" s="49"/>
      <x:c r="AA148" s="49"/>
      <x:c r="AB148" s="49"/>
      <x:c r="AC148" s="49"/>
      <x:c r="AD148" s="49"/>
      <x:c r="AE148" s="49"/>
      <x:c r="AF148" s="49"/>
      <x:c r="AG148" s="49"/>
      <x:c r="AH148" s="49"/>
      <x:c r="AI148" s="49"/>
      <x:c r="AJ148" s="49"/>
      <x:c r="AK148" s="49"/>
      <x:c r="AL148" s="49"/>
      <x:c r="AM148" s="49"/>
      <x:c r="AN148" s="49"/>
      <x:c r="AO148" s="49"/>
      <x:c r="AP148" s="49"/>
      <x:c r="AQ148" s="49"/>
      <x:c r="AR148" s="49"/>
      <x:c r="AS148" s="49"/>
      <x:c r="AT148" s="49"/>
      <x:c r="AU148" s="49"/>
      <x:c r="AV148" s="49"/>
      <x:c r="AW148" s="49"/>
      <x:c r="AX148" s="49"/>
      <x:c r="AY148" s="49"/>
      <x:c r="AZ148" s="49"/>
    </x:row>
    <x:row r="149">
      <x:c r="A149" s="49"/>
      <x:c r="B149" s="49"/>
      <x:c r="C149" s="49"/>
      <x:c r="D149" s="49"/>
      <x:c r="E149" s="49"/>
      <x:c r="F149" s="49"/>
      <x:c r="G149" s="49"/>
      <x:c r="H149" s="49"/>
      <x:c r="I149" s="49"/>
      <x:c r="J149" s="49"/>
      <x:c r="K149" s="49"/>
      <x:c r="L149" s="49"/>
      <x:c r="M149" s="49"/>
      <x:c r="N149" s="49"/>
      <x:c r="O149" s="49"/>
      <x:c r="P149" s="49"/>
      <x:c r="Q149" s="49"/>
      <x:c r="R149" s="49"/>
      <x:c r="S149" s="49"/>
      <x:c r="T149" s="49"/>
      <x:c r="U149" s="49"/>
      <x:c r="V149" s="49"/>
      <x:c r="W149" s="49"/>
      <x:c r="X149" s="49"/>
      <x:c r="Y149" s="49"/>
      <x:c r="Z149" s="49"/>
      <x:c r="AA149" s="49"/>
      <x:c r="AB149" s="49"/>
      <x:c r="AC149" s="49"/>
      <x:c r="AD149" s="49"/>
      <x:c r="AE149" s="49"/>
      <x:c r="AF149" s="49"/>
      <x:c r="AG149" s="49"/>
      <x:c r="AH149" s="49"/>
      <x:c r="AI149" s="49"/>
      <x:c r="AJ149" s="49"/>
      <x:c r="AK149" s="49"/>
      <x:c r="AL149" s="49"/>
      <x:c r="AM149" s="49"/>
      <x:c r="AN149" s="49"/>
      <x:c r="AO149" s="49"/>
      <x:c r="AP149" s="49"/>
      <x:c r="AQ149" s="49"/>
      <x:c r="AR149" s="49"/>
      <x:c r="AS149" s="49"/>
      <x:c r="AT149" s="49"/>
      <x:c r="AU149" s="49"/>
      <x:c r="AV149" s="49"/>
      <x:c r="AW149" s="49"/>
      <x:c r="AX149" s="49"/>
      <x:c r="AY149" s="49"/>
      <x:c r="AZ149" s="49"/>
    </x:row>
    <x:row r="150">
      <x:c r="A150" s="49"/>
      <x:c r="B150" s="49"/>
      <x:c r="C150" s="49"/>
      <x:c r="D150" s="49"/>
      <x:c r="E150" s="49"/>
      <x:c r="F150" s="49"/>
      <x:c r="G150" s="49"/>
      <x:c r="H150" s="49"/>
      <x:c r="I150" s="49"/>
      <x:c r="J150" s="49"/>
      <x:c r="K150" s="49"/>
      <x:c r="L150" s="49"/>
      <x:c r="M150" s="49"/>
      <x:c r="N150" s="49"/>
      <x:c r="O150" s="49"/>
      <x:c r="P150" s="49"/>
      <x:c r="Q150" s="49"/>
      <x:c r="R150" s="49"/>
      <x:c r="S150" s="49"/>
      <x:c r="T150" s="49"/>
      <x:c r="U150" s="49"/>
      <x:c r="V150" s="49"/>
      <x:c r="W150" s="49"/>
      <x:c r="X150" s="49"/>
      <x:c r="Y150" s="49"/>
      <x:c r="Z150" s="49"/>
      <x:c r="AA150" s="49"/>
      <x:c r="AB150" s="49"/>
      <x:c r="AC150" s="49"/>
      <x:c r="AD150" s="49"/>
      <x:c r="AE150" s="49"/>
      <x:c r="AF150" s="49"/>
      <x:c r="AG150" s="49"/>
      <x:c r="AH150" s="49"/>
      <x:c r="AI150" s="49"/>
      <x:c r="AJ150" s="49"/>
      <x:c r="AK150" s="49"/>
      <x:c r="AL150" s="49"/>
      <x:c r="AM150" s="49"/>
      <x:c r="AN150" s="49"/>
      <x:c r="AO150" s="49"/>
      <x:c r="AP150" s="49"/>
      <x:c r="AQ150" s="49"/>
      <x:c r="AR150" s="49"/>
      <x:c r="AS150" s="49"/>
      <x:c r="AT150" s="49"/>
      <x:c r="AU150" s="49"/>
      <x:c r="AV150" s="49"/>
      <x:c r="AW150" s="49"/>
      <x:c r="AX150" s="49"/>
      <x:c r="AY150" s="49"/>
      <x:c r="AZ150" s="49"/>
    </x:row>
    <x:row r="151">
      <x:c r="A151" s="49"/>
      <x:c r="B151" s="49"/>
      <x:c r="C151" s="49"/>
      <x:c r="D151" s="49"/>
      <x:c r="E151" s="49"/>
      <x:c r="F151" s="49"/>
      <x:c r="G151" s="49"/>
      <x:c r="H151" s="49"/>
      <x:c r="I151" s="49"/>
      <x:c r="J151" s="49"/>
      <x:c r="K151" s="49"/>
      <x:c r="L151" s="49"/>
      <x:c r="M151" s="49"/>
      <x:c r="N151" s="49"/>
      <x:c r="O151" s="49"/>
      <x:c r="P151" s="49"/>
      <x:c r="Q151" s="49"/>
      <x:c r="R151" s="49"/>
      <x:c r="S151" s="49"/>
      <x:c r="T151" s="49"/>
      <x:c r="U151" s="49"/>
      <x:c r="V151" s="49"/>
      <x:c r="W151" s="49"/>
      <x:c r="X151" s="49"/>
      <x:c r="Y151" s="49"/>
      <x:c r="Z151" s="49"/>
      <x:c r="AA151" s="49"/>
      <x:c r="AB151" s="49"/>
      <x:c r="AC151" s="49"/>
      <x:c r="AD151" s="49"/>
      <x:c r="AE151" s="49"/>
      <x:c r="AF151" s="49"/>
      <x:c r="AG151" s="49"/>
      <x:c r="AH151" s="49"/>
      <x:c r="AI151" s="49"/>
      <x:c r="AJ151" s="49"/>
      <x:c r="AK151" s="49"/>
      <x:c r="AL151" s="49"/>
      <x:c r="AM151" s="49"/>
      <x:c r="AN151" s="49"/>
      <x:c r="AO151" s="49"/>
      <x:c r="AP151" s="49"/>
      <x:c r="AQ151" s="49"/>
      <x:c r="AR151" s="49"/>
      <x:c r="AS151" s="49"/>
      <x:c r="AT151" s="49"/>
      <x:c r="AU151" s="49"/>
      <x:c r="AV151" s="49"/>
      <x:c r="AW151" s="49"/>
      <x:c r="AX151" s="49"/>
      <x:c r="AY151" s="49"/>
      <x:c r="AZ151" s="49"/>
    </x:row>
    <x:row r="152">
      <x:c r="A152" s="49"/>
      <x:c r="B152" s="49"/>
      <x:c r="C152" s="49"/>
      <x:c r="D152" s="49"/>
      <x:c r="E152" s="49"/>
      <x:c r="F152" s="49"/>
      <x:c r="G152" s="49"/>
      <x:c r="H152" s="49"/>
      <x:c r="I152" s="49"/>
      <x:c r="J152" s="49"/>
      <x:c r="K152" s="49"/>
      <x:c r="L152" s="49"/>
      <x:c r="M152" s="49"/>
      <x:c r="N152" s="49"/>
      <x:c r="O152" s="49"/>
      <x:c r="P152" s="49"/>
      <x:c r="Q152" s="49"/>
      <x:c r="R152" s="49"/>
      <x:c r="S152" s="49"/>
      <x:c r="T152" s="49"/>
      <x:c r="U152" s="49"/>
      <x:c r="V152" s="49"/>
      <x:c r="W152" s="49"/>
      <x:c r="X152" s="49"/>
      <x:c r="Y152" s="49"/>
      <x:c r="Z152" s="49"/>
      <x:c r="AA152" s="49"/>
      <x:c r="AB152" s="49"/>
      <x:c r="AC152" s="49"/>
      <x:c r="AD152" s="49"/>
      <x:c r="AE152" s="49"/>
      <x:c r="AF152" s="49"/>
      <x:c r="AG152" s="49"/>
      <x:c r="AH152" s="49"/>
      <x:c r="AI152" s="49"/>
      <x:c r="AJ152" s="49"/>
      <x:c r="AK152" s="49"/>
      <x:c r="AL152" s="49"/>
      <x:c r="AM152" s="49"/>
      <x:c r="AN152" s="49"/>
      <x:c r="AO152" s="49"/>
      <x:c r="AP152" s="49"/>
      <x:c r="AQ152" s="49"/>
      <x:c r="AR152" s="49"/>
      <x:c r="AS152" s="49"/>
      <x:c r="AT152" s="49"/>
      <x:c r="AU152" s="49"/>
      <x:c r="AV152" s="49"/>
      <x:c r="AW152" s="49"/>
      <x:c r="AX152" s="49"/>
      <x:c r="AY152" s="49"/>
      <x:c r="AZ152" s="49"/>
    </x:row>
    <x:row r="153">
      <x:c r="A153" s="49"/>
      <x:c r="B153" s="49"/>
      <x:c r="C153" s="49"/>
      <x:c r="D153" s="49"/>
      <x:c r="E153" s="49"/>
      <x:c r="F153" s="49"/>
      <x:c r="G153" s="49"/>
      <x:c r="H153" s="49"/>
      <x:c r="I153" s="49"/>
      <x:c r="J153" s="49"/>
      <x:c r="K153" s="49"/>
      <x:c r="L153" s="49"/>
      <x:c r="M153" s="49"/>
      <x:c r="N153" s="49"/>
      <x:c r="O153" s="49"/>
      <x:c r="P153" s="49"/>
      <x:c r="Q153" s="49"/>
      <x:c r="R153" s="49"/>
      <x:c r="S153" s="49"/>
      <x:c r="T153" s="49"/>
      <x:c r="U153" s="49"/>
      <x:c r="V153" s="49"/>
      <x:c r="W153" s="49"/>
      <x:c r="X153" s="49"/>
      <x:c r="Y153" s="49"/>
      <x:c r="Z153" s="49"/>
      <x:c r="AA153" s="49"/>
      <x:c r="AB153" s="49"/>
      <x:c r="AC153" s="49"/>
      <x:c r="AD153" s="49"/>
      <x:c r="AE153" s="49"/>
      <x:c r="AF153" s="49"/>
      <x:c r="AG153" s="49"/>
      <x:c r="AH153" s="49"/>
      <x:c r="AI153" s="49"/>
      <x:c r="AJ153" s="49"/>
      <x:c r="AK153" s="49"/>
      <x:c r="AL153" s="49"/>
      <x:c r="AM153" s="49"/>
      <x:c r="AN153" s="49"/>
      <x:c r="AO153" s="49"/>
      <x:c r="AP153" s="49"/>
      <x:c r="AQ153" s="49"/>
      <x:c r="AR153" s="49"/>
      <x:c r="AS153" s="49"/>
      <x:c r="AT153" s="49"/>
      <x:c r="AU153" s="49"/>
      <x:c r="AV153" s="49"/>
      <x:c r="AW153" s="49"/>
      <x:c r="AX153" s="49"/>
      <x:c r="AY153" s="49"/>
      <x:c r="AZ153" s="49"/>
    </x:row>
    <x:row r="154">
      <x:c r="A154" s="49"/>
      <x:c r="B154" s="49"/>
      <x:c r="C154" s="49"/>
      <x:c r="D154" s="49"/>
      <x:c r="E154" s="49"/>
      <x:c r="F154" s="49"/>
      <x:c r="G154" s="49"/>
      <x:c r="H154" s="49"/>
      <x:c r="I154" s="49"/>
      <x:c r="J154" s="49"/>
      <x:c r="K154" s="49"/>
      <x:c r="L154" s="49"/>
      <x:c r="M154" s="49"/>
      <x:c r="N154" s="49"/>
      <x:c r="O154" s="49"/>
      <x:c r="P154" s="49"/>
      <x:c r="Q154" s="49"/>
      <x:c r="R154" s="49"/>
      <x:c r="S154" s="49"/>
      <x:c r="T154" s="49"/>
      <x:c r="U154" s="49"/>
      <x:c r="V154" s="49"/>
      <x:c r="W154" s="49"/>
      <x:c r="X154" s="49"/>
      <x:c r="Y154" s="49"/>
      <x:c r="Z154" s="49"/>
      <x:c r="AA154" s="49"/>
      <x:c r="AB154" s="49"/>
      <x:c r="AC154" s="49"/>
      <x:c r="AD154" s="49"/>
      <x:c r="AE154" s="49"/>
      <x:c r="AF154" s="49"/>
      <x:c r="AG154" s="49"/>
      <x:c r="AH154" s="49"/>
      <x:c r="AI154" s="49"/>
      <x:c r="AJ154" s="49"/>
      <x:c r="AK154" s="49"/>
      <x:c r="AL154" s="49"/>
      <x:c r="AM154" s="49"/>
      <x:c r="AN154" s="49"/>
      <x:c r="AO154" s="49"/>
      <x:c r="AP154" s="49"/>
      <x:c r="AQ154" s="49"/>
      <x:c r="AR154" s="49"/>
      <x:c r="AS154" s="49"/>
      <x:c r="AT154" s="49"/>
      <x:c r="AU154" s="49"/>
      <x:c r="AV154" s="49"/>
      <x:c r="AW154" s="49"/>
      <x:c r="AX154" s="49"/>
      <x:c r="AY154" s="49"/>
      <x:c r="AZ154" s="49"/>
    </x:row>
    <x:row r="155">
      <x:c r="A155" s="49"/>
      <x:c r="B155" s="49"/>
      <x:c r="C155" s="49"/>
      <x:c r="D155" s="49"/>
      <x:c r="E155" s="49"/>
      <x:c r="F155" s="49"/>
      <x:c r="G155" s="49"/>
      <x:c r="H155" s="49"/>
      <x:c r="I155" s="49"/>
      <x:c r="J155" s="49"/>
      <x:c r="K155" s="49"/>
      <x:c r="L155" s="49"/>
      <x:c r="M155" s="49"/>
      <x:c r="N155" s="49"/>
      <x:c r="O155" s="49"/>
      <x:c r="P155" s="49"/>
      <x:c r="Q155" s="49"/>
      <x:c r="R155" s="49"/>
      <x:c r="S155" s="49"/>
      <x:c r="T155" s="49"/>
      <x:c r="U155" s="49"/>
      <x:c r="V155" s="49"/>
      <x:c r="W155" s="49"/>
      <x:c r="X155" s="49"/>
      <x:c r="Y155" s="49"/>
      <x:c r="Z155" s="49"/>
      <x:c r="AA155" s="49"/>
      <x:c r="AB155" s="49"/>
      <x:c r="AC155" s="49"/>
      <x:c r="AD155" s="49"/>
      <x:c r="AE155" s="49"/>
      <x:c r="AF155" s="49"/>
      <x:c r="AG155" s="49"/>
      <x:c r="AH155" s="49"/>
      <x:c r="AI155" s="49"/>
      <x:c r="AJ155" s="49"/>
      <x:c r="AK155" s="49"/>
      <x:c r="AL155" s="49"/>
      <x:c r="AM155" s="49"/>
      <x:c r="AN155" s="49"/>
      <x:c r="AO155" s="49"/>
      <x:c r="AP155" s="49"/>
      <x:c r="AQ155" s="49"/>
      <x:c r="AR155" s="49"/>
      <x:c r="AS155" s="49"/>
      <x:c r="AT155" s="49"/>
      <x:c r="AU155" s="49"/>
      <x:c r="AV155" s="49"/>
      <x:c r="AW155" s="49"/>
      <x:c r="AX155" s="49"/>
      <x:c r="AY155" s="49"/>
      <x:c r="AZ155" s="49"/>
    </x:row>
    <x:row r="156">
      <x:c r="A156" s="49"/>
      <x:c r="B156" s="49"/>
      <x:c r="C156" s="49"/>
      <x:c r="D156" s="49"/>
      <x:c r="E156" s="49"/>
      <x:c r="F156" s="49"/>
      <x:c r="G156" s="49"/>
      <x:c r="H156" s="49"/>
      <x:c r="I156" s="49"/>
      <x:c r="J156" s="49"/>
      <x:c r="K156" s="49"/>
      <x:c r="L156" s="49"/>
      <x:c r="M156" s="49"/>
      <x:c r="N156" s="49"/>
      <x:c r="O156" s="49"/>
      <x:c r="P156" s="49"/>
      <x:c r="Q156" s="49"/>
      <x:c r="R156" s="49"/>
      <x:c r="S156" s="49"/>
      <x:c r="T156" s="49"/>
      <x:c r="U156" s="49"/>
      <x:c r="V156" s="49"/>
      <x:c r="W156" s="49"/>
      <x:c r="X156" s="49"/>
      <x:c r="Y156" s="49"/>
      <x:c r="Z156" s="49"/>
      <x:c r="AA156" s="49"/>
      <x:c r="AB156" s="49"/>
      <x:c r="AC156" s="49"/>
      <x:c r="AD156" s="49"/>
      <x:c r="AE156" s="49"/>
      <x:c r="AF156" s="49"/>
      <x:c r="AG156" s="49"/>
      <x:c r="AH156" s="49"/>
      <x:c r="AI156" s="49"/>
      <x:c r="AJ156" s="49"/>
      <x:c r="AK156" s="49"/>
      <x:c r="AL156" s="49"/>
      <x:c r="AM156" s="49"/>
      <x:c r="AN156" s="49"/>
      <x:c r="AO156" s="49"/>
      <x:c r="AP156" s="49"/>
      <x:c r="AQ156" s="49"/>
      <x:c r="AR156" s="49"/>
      <x:c r="AS156" s="49"/>
      <x:c r="AT156" s="49"/>
      <x:c r="AU156" s="49"/>
      <x:c r="AV156" s="49"/>
      <x:c r="AW156" s="49"/>
      <x:c r="AX156" s="49"/>
      <x:c r="AY156" s="49"/>
      <x:c r="AZ156" s="49"/>
    </x:row>
    <x:row r="157">
      <x:c r="A157" s="49"/>
      <x:c r="B157" s="49"/>
      <x:c r="C157" s="49"/>
      <x:c r="D157" s="49"/>
      <x:c r="E157" s="49"/>
      <x:c r="F157" s="49"/>
      <x:c r="G157" s="49"/>
      <x:c r="H157" s="49"/>
      <x:c r="I157" s="49"/>
      <x:c r="J157" s="49"/>
      <x:c r="K157" s="49"/>
      <x:c r="L157" s="49"/>
      <x:c r="M157" s="49"/>
      <x:c r="N157" s="49"/>
      <x:c r="O157" s="49"/>
      <x:c r="P157" s="49"/>
      <x:c r="Q157" s="49"/>
      <x:c r="R157" s="49"/>
      <x:c r="S157" s="49"/>
      <x:c r="T157" s="49"/>
      <x:c r="U157" s="49"/>
      <x:c r="V157" s="49"/>
      <x:c r="W157" s="49"/>
      <x:c r="X157" s="49"/>
      <x:c r="Y157" s="49"/>
      <x:c r="Z157" s="49"/>
      <x:c r="AA157" s="49"/>
      <x:c r="AB157" s="49"/>
      <x:c r="AC157" s="49"/>
      <x:c r="AD157" s="49"/>
      <x:c r="AE157" s="49"/>
      <x:c r="AF157" s="49"/>
      <x:c r="AG157" s="49"/>
      <x:c r="AH157" s="49"/>
      <x:c r="AI157" s="49"/>
      <x:c r="AJ157" s="49"/>
      <x:c r="AK157" s="49"/>
      <x:c r="AL157" s="49"/>
      <x:c r="AM157" s="49"/>
      <x:c r="AN157" s="49"/>
      <x:c r="AO157" s="49"/>
      <x:c r="AP157" s="49"/>
      <x:c r="AQ157" s="49"/>
      <x:c r="AR157" s="49"/>
      <x:c r="AS157" s="49"/>
      <x:c r="AT157" s="49"/>
      <x:c r="AU157" s="49"/>
      <x:c r="AV157" s="49"/>
      <x:c r="AW157" s="49"/>
      <x:c r="AX157" s="49"/>
      <x:c r="AY157" s="49"/>
      <x:c r="AZ157" s="49"/>
    </x:row>
    <x:row r="158">
      <x:c r="A158" s="49"/>
      <x:c r="B158" s="49"/>
      <x:c r="C158" s="49"/>
      <x:c r="D158" s="49"/>
      <x:c r="E158" s="49"/>
      <x:c r="F158" s="49"/>
      <x:c r="G158" s="49"/>
      <x:c r="H158" s="49"/>
      <x:c r="I158" s="49"/>
      <x:c r="J158" s="49"/>
      <x:c r="K158" s="49"/>
      <x:c r="L158" s="49"/>
      <x:c r="M158" s="49"/>
      <x:c r="N158" s="49"/>
      <x:c r="O158" s="49"/>
      <x:c r="P158" s="49"/>
      <x:c r="Q158" s="49"/>
      <x:c r="R158" s="49"/>
      <x:c r="S158" s="49"/>
      <x:c r="T158" s="49"/>
      <x:c r="U158" s="49"/>
      <x:c r="V158" s="49"/>
      <x:c r="W158" s="49"/>
      <x:c r="X158" s="49"/>
      <x:c r="Y158" s="49"/>
      <x:c r="Z158" s="49"/>
      <x:c r="AA158" s="49"/>
      <x:c r="AB158" s="49"/>
      <x:c r="AC158" s="49"/>
      <x:c r="AD158" s="49"/>
      <x:c r="AE158" s="49"/>
      <x:c r="AF158" s="49"/>
      <x:c r="AG158" s="49"/>
      <x:c r="AH158" s="49"/>
      <x:c r="AI158" s="49"/>
      <x:c r="AJ158" s="49"/>
      <x:c r="AK158" s="49"/>
      <x:c r="AL158" s="49"/>
      <x:c r="AM158" s="49"/>
      <x:c r="AN158" s="49"/>
      <x:c r="AO158" s="49"/>
      <x:c r="AP158" s="49"/>
      <x:c r="AQ158" s="49"/>
      <x:c r="AR158" s="49"/>
      <x:c r="AS158" s="49"/>
      <x:c r="AT158" s="49"/>
      <x:c r="AU158" s="49"/>
      <x:c r="AV158" s="49"/>
      <x:c r="AW158" s="49"/>
      <x:c r="AX158" s="49"/>
      <x:c r="AY158" s="49"/>
      <x:c r="AZ158" s="49"/>
    </x:row>
    <x:row r="159">
      <x:c r="A159" s="49"/>
      <x:c r="B159" s="49"/>
      <x:c r="C159" s="49"/>
      <x:c r="D159" s="49"/>
      <x:c r="E159" s="49"/>
      <x:c r="F159" s="49"/>
      <x:c r="G159" s="49"/>
      <x:c r="H159" s="49"/>
      <x:c r="I159" s="49"/>
      <x:c r="J159" s="49"/>
      <x:c r="K159" s="49"/>
      <x:c r="L159" s="49"/>
      <x:c r="M159" s="49"/>
      <x:c r="N159" s="49"/>
      <x:c r="O159" s="49"/>
      <x:c r="P159" s="49"/>
      <x:c r="Q159" s="49"/>
      <x:c r="R159" s="49"/>
      <x:c r="S159" s="49"/>
      <x:c r="T159" s="49"/>
      <x:c r="U159" s="49"/>
      <x:c r="V159" s="49"/>
      <x:c r="W159" s="49"/>
      <x:c r="X159" s="49"/>
      <x:c r="Y159" s="49"/>
      <x:c r="Z159" s="49"/>
      <x:c r="AA159" s="49"/>
      <x:c r="AB159" s="49"/>
      <x:c r="AC159" s="49"/>
      <x:c r="AD159" s="49"/>
      <x:c r="AE159" s="49"/>
      <x:c r="AF159" s="49"/>
      <x:c r="AG159" s="49"/>
      <x:c r="AH159" s="49"/>
      <x:c r="AI159" s="49"/>
      <x:c r="AJ159" s="49"/>
      <x:c r="AK159" s="49"/>
      <x:c r="AL159" s="49"/>
      <x:c r="AM159" s="49"/>
      <x:c r="AN159" s="49"/>
      <x:c r="AO159" s="49"/>
      <x:c r="AP159" s="49"/>
      <x:c r="AQ159" s="49"/>
      <x:c r="AR159" s="49"/>
      <x:c r="AS159" s="49"/>
      <x:c r="AT159" s="49"/>
      <x:c r="AU159" s="49"/>
      <x:c r="AV159" s="49"/>
      <x:c r="AW159" s="49"/>
      <x:c r="AX159" s="49"/>
      <x:c r="AY159" s="49"/>
      <x:c r="AZ159" s="49"/>
    </x:row>
    <x:row r="160">
      <x:c r="A160" s="49"/>
      <x:c r="B160" s="49"/>
      <x:c r="C160" s="49"/>
      <x:c r="D160" s="49"/>
      <x:c r="E160" s="49"/>
      <x:c r="F160" s="49"/>
      <x:c r="G160" s="49"/>
      <x:c r="H160" s="49"/>
      <x:c r="I160" s="49"/>
      <x:c r="J160" s="49"/>
      <x:c r="K160" s="49"/>
      <x:c r="L160" s="49"/>
      <x:c r="M160" s="49"/>
      <x:c r="N160" s="49"/>
      <x:c r="O160" s="49"/>
      <x:c r="P160" s="49"/>
      <x:c r="Q160" s="49"/>
      <x:c r="R160" s="49"/>
      <x:c r="S160" s="49"/>
      <x:c r="T160" s="49"/>
      <x:c r="U160" s="49"/>
      <x:c r="V160" s="49"/>
      <x:c r="W160" s="49"/>
      <x:c r="X160" s="49"/>
      <x:c r="Y160" s="49"/>
      <x:c r="Z160" s="49"/>
      <x:c r="AA160" s="49"/>
      <x:c r="AB160" s="49"/>
      <x:c r="AC160" s="49"/>
      <x:c r="AD160" s="49"/>
      <x:c r="AE160" s="49"/>
      <x:c r="AF160" s="49"/>
      <x:c r="AG160" s="49"/>
      <x:c r="AH160" s="49"/>
      <x:c r="AI160" s="49"/>
      <x:c r="AJ160" s="49"/>
      <x:c r="AK160" s="49"/>
      <x:c r="AL160" s="49"/>
      <x:c r="AM160" s="49"/>
      <x:c r="AN160" s="49"/>
      <x:c r="AO160" s="49"/>
      <x:c r="AP160" s="49"/>
      <x:c r="AQ160" s="49"/>
      <x:c r="AR160" s="49"/>
      <x:c r="AS160" s="49"/>
      <x:c r="AT160" s="49"/>
      <x:c r="AU160" s="49"/>
      <x:c r="AV160" s="49"/>
      <x:c r="AW160" s="49"/>
      <x:c r="AX160" s="49"/>
      <x:c r="AY160" s="49"/>
      <x:c r="AZ160" s="49"/>
    </x:row>
    <x:row r="161">
      <x:c r="A161" s="49"/>
      <x:c r="B161" s="49"/>
      <x:c r="C161" s="49"/>
      <x:c r="D161" s="49"/>
      <x:c r="E161" s="49"/>
      <x:c r="F161" s="49"/>
      <x:c r="G161" s="49"/>
      <x:c r="H161" s="49"/>
      <x:c r="I161" s="49"/>
      <x:c r="J161" s="49"/>
      <x:c r="K161" s="49"/>
      <x:c r="L161" s="49"/>
      <x:c r="M161" s="49"/>
      <x:c r="N161" s="49"/>
      <x:c r="O161" s="49"/>
      <x:c r="P161" s="49"/>
      <x:c r="Q161" s="49"/>
      <x:c r="R161" s="49"/>
      <x:c r="S161" s="49"/>
      <x:c r="T161" s="49"/>
      <x:c r="U161" s="49"/>
      <x:c r="V161" s="49"/>
      <x:c r="W161" s="49"/>
      <x:c r="X161" s="49"/>
      <x:c r="Y161" s="49"/>
      <x:c r="Z161" s="49"/>
      <x:c r="AA161" s="49"/>
      <x:c r="AB161" s="49"/>
      <x:c r="AC161" s="49"/>
      <x:c r="AD161" s="49"/>
      <x:c r="AE161" s="49"/>
      <x:c r="AF161" s="49"/>
      <x:c r="AG161" s="49"/>
      <x:c r="AH161" s="49"/>
      <x:c r="AI161" s="49"/>
      <x:c r="AJ161" s="49"/>
      <x:c r="AK161" s="49"/>
      <x:c r="AL161" s="49"/>
      <x:c r="AM161" s="49"/>
      <x:c r="AN161" s="49"/>
      <x:c r="AO161" s="49"/>
      <x:c r="AP161" s="49"/>
      <x:c r="AQ161" s="49"/>
      <x:c r="AR161" s="49"/>
      <x:c r="AS161" s="49"/>
      <x:c r="AT161" s="49"/>
      <x:c r="AU161" s="49"/>
      <x:c r="AV161" s="49"/>
      <x:c r="AW161" s="49"/>
      <x:c r="AX161" s="49"/>
      <x:c r="AY161" s="49"/>
      <x:c r="AZ161" s="49"/>
    </x:row>
    <x:row r="162">
      <x:c r="A162" s="49"/>
      <x:c r="B162" s="49"/>
      <x:c r="C162" s="49"/>
      <x:c r="D162" s="49"/>
      <x:c r="E162" s="49"/>
      <x:c r="F162" s="49"/>
      <x:c r="G162" s="49"/>
      <x:c r="H162" s="49"/>
      <x:c r="I162" s="49"/>
      <x:c r="J162" s="49"/>
      <x:c r="K162" s="49"/>
      <x:c r="L162" s="49"/>
      <x:c r="M162" s="49"/>
      <x:c r="N162" s="49"/>
      <x:c r="O162" s="49"/>
      <x:c r="P162" s="49"/>
      <x:c r="Q162" s="49"/>
      <x:c r="R162" s="49"/>
      <x:c r="S162" s="49"/>
      <x:c r="T162" s="49"/>
      <x:c r="U162" s="49"/>
      <x:c r="V162" s="49"/>
      <x:c r="W162" s="49"/>
      <x:c r="X162" s="49"/>
      <x:c r="Y162" s="49"/>
      <x:c r="Z162" s="49"/>
      <x:c r="AA162" s="49"/>
      <x:c r="AB162" s="49"/>
      <x:c r="AC162" s="49"/>
      <x:c r="AD162" s="49"/>
      <x:c r="AE162" s="49"/>
      <x:c r="AF162" s="49"/>
      <x:c r="AG162" s="49"/>
      <x:c r="AH162" s="49"/>
      <x:c r="AI162" s="49"/>
      <x:c r="AJ162" s="49"/>
      <x:c r="AK162" s="49"/>
      <x:c r="AL162" s="49"/>
      <x:c r="AM162" s="49"/>
      <x:c r="AN162" s="49"/>
      <x:c r="AO162" s="49"/>
      <x:c r="AP162" s="49"/>
      <x:c r="AQ162" s="49"/>
      <x:c r="AR162" s="49"/>
      <x:c r="AS162" s="49"/>
      <x:c r="AT162" s="49"/>
      <x:c r="AU162" s="49"/>
      <x:c r="AV162" s="49"/>
      <x:c r="AW162" s="49"/>
      <x:c r="AX162" s="49"/>
      <x:c r="AY162" s="49"/>
      <x:c r="AZ162" s="49"/>
    </x:row>
    <x:row r="163">
      <x:c r="A163" s="49"/>
      <x:c r="B163" s="49"/>
      <x:c r="C163" s="49"/>
      <x:c r="D163" s="49"/>
      <x:c r="E163" s="49"/>
      <x:c r="F163" s="49"/>
      <x:c r="G163" s="49"/>
      <x:c r="H163" s="49"/>
      <x:c r="I163" s="49"/>
      <x:c r="J163" s="49"/>
      <x:c r="K163" s="49"/>
      <x:c r="L163" s="49"/>
      <x:c r="M163" s="49"/>
      <x:c r="N163" s="49"/>
      <x:c r="O163" s="49"/>
      <x:c r="P163" s="49"/>
      <x:c r="Q163" s="49"/>
      <x:c r="R163" s="49"/>
      <x:c r="S163" s="49"/>
      <x:c r="T163" s="49"/>
      <x:c r="U163" s="49"/>
      <x:c r="V163" s="49"/>
      <x:c r="W163" s="49"/>
      <x:c r="X163" s="49"/>
      <x:c r="Y163" s="49"/>
      <x:c r="Z163" s="49"/>
      <x:c r="AA163" s="49"/>
      <x:c r="AB163" s="49"/>
      <x:c r="AC163" s="49"/>
      <x:c r="AD163" s="49"/>
      <x:c r="AE163" s="49"/>
      <x:c r="AF163" s="49"/>
      <x:c r="AG163" s="49"/>
      <x:c r="AH163" s="49"/>
      <x:c r="AI163" s="49"/>
      <x:c r="AJ163" s="49"/>
      <x:c r="AK163" s="49"/>
      <x:c r="AL163" s="49"/>
      <x:c r="AM163" s="49"/>
      <x:c r="AN163" s="49"/>
      <x:c r="AO163" s="49"/>
      <x:c r="AP163" s="49"/>
      <x:c r="AQ163" s="49"/>
      <x:c r="AR163" s="49"/>
      <x:c r="AS163" s="49"/>
      <x:c r="AT163" s="49"/>
      <x:c r="AU163" s="49"/>
      <x:c r="AV163" s="49"/>
      <x:c r="AW163" s="49"/>
      <x:c r="AX163" s="49"/>
      <x:c r="AY163" s="49"/>
      <x:c r="AZ163" s="49"/>
    </x:row>
    <x:row r="164">
      <x:c r="A164" s="49"/>
      <x:c r="B164" s="49"/>
      <x:c r="C164" s="49"/>
      <x:c r="D164" s="49"/>
      <x:c r="E164" s="49"/>
      <x:c r="F164" s="49"/>
      <x:c r="G164" s="49"/>
      <x:c r="H164" s="49"/>
      <x:c r="I164" s="49"/>
      <x:c r="J164" s="49"/>
      <x:c r="K164" s="49"/>
      <x:c r="L164" s="49"/>
      <x:c r="M164" s="49"/>
      <x:c r="N164" s="49"/>
      <x:c r="O164" s="49"/>
      <x:c r="P164" s="49"/>
      <x:c r="Q164" s="49"/>
      <x:c r="R164" s="49"/>
      <x:c r="S164" s="49"/>
      <x:c r="T164" s="49"/>
      <x:c r="U164" s="49"/>
      <x:c r="V164" s="49"/>
      <x:c r="W164" s="49"/>
      <x:c r="X164" s="49"/>
      <x:c r="Y164" s="49"/>
      <x:c r="Z164" s="49"/>
      <x:c r="AA164" s="49"/>
      <x:c r="AB164" s="49"/>
      <x:c r="AC164" s="49"/>
      <x:c r="AD164" s="49"/>
      <x:c r="AE164" s="49"/>
      <x:c r="AF164" s="49"/>
      <x:c r="AG164" s="49"/>
      <x:c r="AH164" s="49"/>
      <x:c r="AI164" s="49"/>
      <x:c r="AJ164" s="49"/>
      <x:c r="AK164" s="49"/>
      <x:c r="AL164" s="49"/>
      <x:c r="AM164" s="49"/>
      <x:c r="AN164" s="49"/>
      <x:c r="AO164" s="49"/>
      <x:c r="AP164" s="49"/>
      <x:c r="AQ164" s="49"/>
      <x:c r="AR164" s="49"/>
      <x:c r="AS164" s="49"/>
      <x:c r="AT164" s="49"/>
      <x:c r="AU164" s="49"/>
      <x:c r="AV164" s="49"/>
      <x:c r="AW164" s="49"/>
      <x:c r="AX164" s="49"/>
      <x:c r="AY164" s="49"/>
      <x:c r="AZ164" s="49"/>
    </x:row>
    <x:row r="165">
      <x:c r="A165" s="49"/>
      <x:c r="B165" s="49"/>
      <x:c r="C165" s="49"/>
      <x:c r="D165" s="49"/>
      <x:c r="E165" s="49"/>
      <x:c r="F165" s="49"/>
      <x:c r="G165" s="49"/>
      <x:c r="H165" s="49"/>
      <x:c r="I165" s="49"/>
      <x:c r="J165" s="49"/>
      <x:c r="K165" s="49"/>
      <x:c r="L165" s="49"/>
      <x:c r="M165" s="49"/>
      <x:c r="N165" s="49"/>
      <x:c r="O165" s="49"/>
      <x:c r="P165" s="49"/>
      <x:c r="Q165" s="49"/>
      <x:c r="R165" s="49"/>
      <x:c r="S165" s="49"/>
      <x:c r="T165" s="49"/>
      <x:c r="U165" s="49"/>
      <x:c r="V165" s="49"/>
      <x:c r="W165" s="49"/>
      <x:c r="X165" s="49"/>
      <x:c r="Y165" s="49"/>
      <x:c r="Z165" s="49"/>
      <x:c r="AA165" s="49"/>
      <x:c r="AB165" s="49"/>
      <x:c r="AC165" s="49"/>
      <x:c r="AD165" s="49"/>
      <x:c r="AE165" s="49"/>
      <x:c r="AF165" s="49"/>
      <x:c r="AG165" s="49"/>
      <x:c r="AH165" s="49"/>
      <x:c r="AI165" s="49"/>
      <x:c r="AJ165" s="49"/>
      <x:c r="AK165" s="49"/>
      <x:c r="AL165" s="49"/>
      <x:c r="AM165" s="49"/>
      <x:c r="AN165" s="49"/>
      <x:c r="AO165" s="49"/>
      <x:c r="AP165" s="49"/>
      <x:c r="AQ165" s="49"/>
      <x:c r="AR165" s="49"/>
      <x:c r="AS165" s="49"/>
      <x:c r="AT165" s="49"/>
      <x:c r="AU165" s="49"/>
      <x:c r="AV165" s="49"/>
      <x:c r="AW165" s="49"/>
      <x:c r="AX165" s="49"/>
      <x:c r="AY165" s="49"/>
      <x:c r="AZ165" s="49"/>
    </x:row>
    <x:row r="166">
      <x:c r="A166" s="49"/>
      <x:c r="B166" s="49"/>
      <x:c r="C166" s="49"/>
      <x:c r="D166" s="49"/>
      <x:c r="E166" s="49"/>
      <x:c r="F166" s="49"/>
      <x:c r="G166" s="49"/>
      <x:c r="H166" s="49"/>
      <x:c r="I166" s="49"/>
      <x:c r="J166" s="49"/>
      <x:c r="K166" s="49"/>
      <x:c r="L166" s="49"/>
      <x:c r="M166" s="49"/>
      <x:c r="N166" s="49"/>
      <x:c r="O166" s="49"/>
      <x:c r="P166" s="49"/>
      <x:c r="Q166" s="49"/>
      <x:c r="R166" s="49"/>
      <x:c r="S166" s="49"/>
      <x:c r="T166" s="49"/>
      <x:c r="U166" s="49"/>
      <x:c r="V166" s="49"/>
      <x:c r="W166" s="49"/>
      <x:c r="X166" s="49"/>
      <x:c r="Y166" s="49"/>
      <x:c r="Z166" s="49"/>
      <x:c r="AA166" s="49"/>
      <x:c r="AB166" s="49"/>
      <x:c r="AC166" s="49"/>
      <x:c r="AD166" s="49"/>
      <x:c r="AE166" s="49"/>
      <x:c r="AF166" s="49"/>
      <x:c r="AG166" s="49"/>
      <x:c r="AH166" s="49"/>
      <x:c r="AI166" s="49"/>
      <x:c r="AJ166" s="49"/>
      <x:c r="AK166" s="49"/>
      <x:c r="AL166" s="49"/>
      <x:c r="AM166" s="49"/>
      <x:c r="AN166" s="49"/>
      <x:c r="AO166" s="49"/>
      <x:c r="AP166" s="49"/>
      <x:c r="AQ166" s="49"/>
      <x:c r="AR166" s="49"/>
      <x:c r="AS166" s="49"/>
      <x:c r="AT166" s="49"/>
      <x:c r="AU166" s="49"/>
      <x:c r="AV166" s="49"/>
      <x:c r="AW166" s="49"/>
      <x:c r="AX166" s="49"/>
      <x:c r="AY166" s="49"/>
      <x:c r="AZ166" s="49"/>
    </x:row>
    <x:row r="167">
      <x:c r="A167" s="49"/>
      <x:c r="B167" s="49"/>
      <x:c r="C167" s="49"/>
      <x:c r="D167" s="49"/>
      <x:c r="E167" s="49"/>
      <x:c r="F167" s="49"/>
      <x:c r="G167" s="49"/>
      <x:c r="H167" s="49"/>
      <x:c r="I167" s="49"/>
      <x:c r="J167" s="49"/>
      <x:c r="K167" s="49"/>
      <x:c r="L167" s="49"/>
      <x:c r="M167" s="49"/>
      <x:c r="N167" s="49"/>
      <x:c r="O167" s="49"/>
      <x:c r="P167" s="49"/>
      <x:c r="Q167" s="49"/>
      <x:c r="R167" s="49"/>
      <x:c r="S167" s="49"/>
      <x:c r="T167" s="49"/>
      <x:c r="U167" s="49"/>
      <x:c r="V167" s="49"/>
      <x:c r="W167" s="49"/>
      <x:c r="X167" s="49"/>
      <x:c r="Y167" s="49"/>
      <x:c r="Z167" s="49"/>
      <x:c r="AA167" s="49"/>
      <x:c r="AB167" s="49"/>
      <x:c r="AC167" s="49"/>
      <x:c r="AD167" s="49"/>
      <x:c r="AE167" s="49"/>
      <x:c r="AF167" s="49"/>
      <x:c r="AG167" s="49"/>
      <x:c r="AH167" s="49"/>
      <x:c r="AI167" s="49"/>
      <x:c r="AJ167" s="49"/>
      <x:c r="AK167" s="49"/>
      <x:c r="AL167" s="49"/>
      <x:c r="AM167" s="49"/>
      <x:c r="AN167" s="49"/>
      <x:c r="AO167" s="49"/>
      <x:c r="AP167" s="49"/>
      <x:c r="AQ167" s="49"/>
      <x:c r="AR167" s="49"/>
      <x:c r="AS167" s="49"/>
      <x:c r="AT167" s="49"/>
      <x:c r="AU167" s="49"/>
      <x:c r="AV167" s="49"/>
      <x:c r="AW167" s="49"/>
      <x:c r="AX167" s="49"/>
      <x:c r="AY167" s="49"/>
      <x:c r="AZ167" s="49"/>
    </x:row>
    <x:row r="168">
      <x:c r="A168" s="49"/>
      <x:c r="B168" s="49"/>
      <x:c r="C168" s="49"/>
      <x:c r="D168" s="49"/>
      <x:c r="E168" s="49"/>
      <x:c r="F168" s="49"/>
      <x:c r="G168" s="49"/>
      <x:c r="H168" s="49"/>
      <x:c r="I168" s="49"/>
      <x:c r="J168" s="49"/>
      <x:c r="K168" s="49"/>
      <x:c r="L168" s="49"/>
      <x:c r="M168" s="49"/>
      <x:c r="N168" s="49"/>
      <x:c r="O168" s="49"/>
      <x:c r="P168" s="49"/>
      <x:c r="Q168" s="49"/>
      <x:c r="R168" s="49"/>
      <x:c r="S168" s="49"/>
      <x:c r="T168" s="49"/>
      <x:c r="U168" s="49"/>
      <x:c r="V168" s="49"/>
      <x:c r="W168" s="49"/>
      <x:c r="X168" s="49"/>
      <x:c r="Y168" s="49"/>
      <x:c r="Z168" s="49"/>
      <x:c r="AA168" s="49"/>
      <x:c r="AB168" s="49"/>
      <x:c r="AC168" s="49"/>
      <x:c r="AD168" s="49"/>
      <x:c r="AE168" s="49"/>
      <x:c r="AF168" s="49"/>
      <x:c r="AG168" s="49"/>
      <x:c r="AH168" s="49"/>
      <x:c r="AI168" s="49"/>
      <x:c r="AJ168" s="49"/>
      <x:c r="AK168" s="49"/>
      <x:c r="AL168" s="49"/>
      <x:c r="AM168" s="49"/>
      <x:c r="AN168" s="49"/>
      <x:c r="AO168" s="49"/>
      <x:c r="AP168" s="49"/>
      <x:c r="AQ168" s="49"/>
      <x:c r="AR168" s="49"/>
      <x:c r="AS168" s="49"/>
      <x:c r="AT168" s="49"/>
      <x:c r="AU168" s="49"/>
      <x:c r="AV168" s="49"/>
      <x:c r="AW168" s="49"/>
      <x:c r="AX168" s="49"/>
      <x:c r="AY168" s="49"/>
      <x:c r="AZ168" s="49"/>
    </x:row>
    <x:row r="169">
      <x:c r="A169" s="49"/>
      <x:c r="B169" s="49"/>
      <x:c r="C169" s="49"/>
      <x:c r="D169" s="49"/>
      <x:c r="E169" s="49"/>
      <x:c r="F169" s="49"/>
      <x:c r="G169" s="49"/>
      <x:c r="H169" s="49"/>
      <x:c r="I169" s="49"/>
      <x:c r="J169" s="49"/>
      <x:c r="K169" s="49"/>
      <x:c r="L169" s="49"/>
      <x:c r="M169" s="49"/>
      <x:c r="N169" s="49"/>
      <x:c r="O169" s="49"/>
      <x:c r="P169" s="49"/>
      <x:c r="Q169" s="49"/>
      <x:c r="R169" s="49"/>
      <x:c r="S169" s="49"/>
      <x:c r="T169" s="49"/>
      <x:c r="U169" s="49"/>
      <x:c r="V169" s="49"/>
      <x:c r="W169" s="49"/>
      <x:c r="X169" s="49"/>
      <x:c r="Y169" s="49"/>
      <x:c r="Z169" s="49"/>
      <x:c r="AA169" s="49"/>
      <x:c r="AB169" s="49"/>
      <x:c r="AC169" s="49"/>
      <x:c r="AD169" s="49"/>
      <x:c r="AE169" s="49"/>
      <x:c r="AF169" s="49"/>
      <x:c r="AG169" s="49"/>
      <x:c r="AH169" s="49"/>
      <x:c r="AI169" s="49"/>
      <x:c r="AJ169" s="49"/>
      <x:c r="AK169" s="49"/>
      <x:c r="AL169" s="49"/>
      <x:c r="AM169" s="49"/>
      <x:c r="AN169" s="49"/>
      <x:c r="AO169" s="49"/>
      <x:c r="AP169" s="49"/>
      <x:c r="AQ169" s="49"/>
      <x:c r="AR169" s="49"/>
      <x:c r="AS169" s="49"/>
      <x:c r="AT169" s="49"/>
      <x:c r="AU169" s="49"/>
      <x:c r="AV169" s="49"/>
      <x:c r="AW169" s="49"/>
      <x:c r="AX169" s="49"/>
      <x:c r="AY169" s="49"/>
      <x:c r="AZ169" s="49"/>
    </x:row>
    <x:row r="170">
      <x:c r="A170" s="49"/>
      <x:c r="B170" s="49"/>
      <x:c r="C170" s="49"/>
      <x:c r="D170" s="49"/>
      <x:c r="E170" s="49"/>
      <x:c r="F170" s="49"/>
      <x:c r="G170" s="49"/>
      <x:c r="H170" s="49"/>
      <x:c r="I170" s="49"/>
      <x:c r="J170" s="49"/>
      <x:c r="K170" s="49"/>
      <x:c r="L170" s="49"/>
      <x:c r="M170" s="49"/>
      <x:c r="N170" s="49"/>
      <x:c r="O170" s="49"/>
      <x:c r="P170" s="49"/>
      <x:c r="Q170" s="49"/>
      <x:c r="R170" s="49"/>
      <x:c r="S170" s="49"/>
      <x:c r="T170" s="49"/>
      <x:c r="U170" s="49"/>
      <x:c r="V170" s="49"/>
      <x:c r="W170" s="49"/>
      <x:c r="X170" s="49"/>
      <x:c r="Y170" s="49"/>
      <x:c r="Z170" s="49"/>
      <x:c r="AA170" s="49"/>
      <x:c r="AB170" s="49"/>
      <x:c r="AC170" s="49"/>
      <x:c r="AD170" s="49"/>
      <x:c r="AE170" s="49"/>
      <x:c r="AF170" s="49"/>
      <x:c r="AG170" s="49"/>
      <x:c r="AH170" s="49"/>
      <x:c r="AI170" s="49"/>
      <x:c r="AJ170" s="49"/>
      <x:c r="AK170" s="49"/>
      <x:c r="AL170" s="49"/>
      <x:c r="AM170" s="49"/>
      <x:c r="AN170" s="49"/>
      <x:c r="AO170" s="49"/>
      <x:c r="AP170" s="49"/>
      <x:c r="AQ170" s="49"/>
      <x:c r="AR170" s="49"/>
      <x:c r="AS170" s="49"/>
      <x:c r="AT170" s="49"/>
      <x:c r="AU170" s="49"/>
      <x:c r="AV170" s="49"/>
      <x:c r="AW170" s="49"/>
      <x:c r="AX170" s="49"/>
      <x:c r="AY170" s="49"/>
      <x:c r="AZ170" s="49"/>
    </x:row>
    <x:row r="171">
      <x:c r="A171" s="49"/>
      <x:c r="B171" s="49"/>
      <x:c r="C171" s="49"/>
      <x:c r="D171" s="49"/>
      <x:c r="E171" s="49"/>
      <x:c r="F171" s="49"/>
      <x:c r="G171" s="49"/>
      <x:c r="H171" s="49"/>
      <x:c r="I171" s="49"/>
      <x:c r="J171" s="49"/>
      <x:c r="K171" s="49"/>
      <x:c r="L171" s="49"/>
      <x:c r="M171" s="49"/>
      <x:c r="N171" s="49"/>
      <x:c r="O171" s="49"/>
      <x:c r="P171" s="49"/>
      <x:c r="Q171" s="49"/>
      <x:c r="R171" s="49"/>
      <x:c r="S171" s="49"/>
      <x:c r="T171" s="49"/>
      <x:c r="U171" s="49"/>
      <x:c r="V171" s="49"/>
      <x:c r="W171" s="49"/>
      <x:c r="X171" s="49"/>
      <x:c r="Y171" s="49"/>
      <x:c r="Z171" s="49"/>
      <x:c r="AA171" s="49"/>
      <x:c r="AB171" s="49"/>
      <x:c r="AC171" s="49"/>
      <x:c r="AD171" s="49"/>
      <x:c r="AE171" s="49"/>
      <x:c r="AF171" s="49"/>
      <x:c r="AG171" s="49"/>
      <x:c r="AH171" s="49"/>
      <x:c r="AI171" s="49"/>
      <x:c r="AJ171" s="49"/>
      <x:c r="AK171" s="49"/>
      <x:c r="AL171" s="49"/>
      <x:c r="AM171" s="49"/>
      <x:c r="AN171" s="49"/>
      <x:c r="AO171" s="49"/>
      <x:c r="AP171" s="49"/>
      <x:c r="AQ171" s="49"/>
      <x:c r="AR171" s="49"/>
      <x:c r="AS171" s="49"/>
      <x:c r="AT171" s="49"/>
      <x:c r="AU171" s="49"/>
      <x:c r="AV171" s="49"/>
      <x:c r="AW171" s="49"/>
      <x:c r="AX171" s="49"/>
      <x:c r="AY171" s="49"/>
      <x:c r="AZ171" s="49"/>
    </x:row>
    <x:row r="172">
      <x:c r="A172" s="49"/>
      <x:c r="B172" s="49"/>
      <x:c r="C172" s="49"/>
      <x:c r="D172" s="49"/>
      <x:c r="E172" s="49"/>
      <x:c r="F172" s="49"/>
      <x:c r="G172" s="49"/>
      <x:c r="H172" s="49"/>
      <x:c r="I172" s="49"/>
      <x:c r="J172" s="49"/>
      <x:c r="K172" s="49"/>
      <x:c r="L172" s="49"/>
      <x:c r="M172" s="49"/>
      <x:c r="N172" s="49"/>
      <x:c r="O172" s="49"/>
      <x:c r="P172" s="49"/>
      <x:c r="Q172" s="49"/>
      <x:c r="R172" s="49"/>
      <x:c r="S172" s="49"/>
      <x:c r="T172" s="49"/>
      <x:c r="U172" s="49"/>
      <x:c r="V172" s="49"/>
      <x:c r="W172" s="49"/>
      <x:c r="X172" s="49"/>
      <x:c r="Y172" s="49"/>
      <x:c r="Z172" s="49"/>
      <x:c r="AA172" s="49"/>
      <x:c r="AB172" s="49"/>
      <x:c r="AC172" s="49"/>
      <x:c r="AD172" s="49"/>
      <x:c r="AE172" s="49"/>
      <x:c r="AF172" s="49"/>
      <x:c r="AG172" s="49"/>
      <x:c r="AH172" s="49"/>
      <x:c r="AI172" s="49"/>
      <x:c r="AJ172" s="49"/>
      <x:c r="AK172" s="49"/>
      <x:c r="AL172" s="49"/>
      <x:c r="AM172" s="49"/>
      <x:c r="AN172" s="49"/>
      <x:c r="AO172" s="49"/>
      <x:c r="AP172" s="49"/>
      <x:c r="AQ172" s="49"/>
      <x:c r="AR172" s="49"/>
      <x:c r="AS172" s="49"/>
      <x:c r="AT172" s="49"/>
      <x:c r="AU172" s="49"/>
      <x:c r="AV172" s="49"/>
      <x:c r="AW172" s="49"/>
      <x:c r="AX172" s="49"/>
      <x:c r="AY172" s="49"/>
      <x:c r="AZ172" s="49"/>
    </x:row>
    <x:row r="173">
      <x:c r="A173" s="49"/>
      <x:c r="B173" s="49"/>
      <x:c r="C173" s="49"/>
      <x:c r="D173" s="49"/>
      <x:c r="E173" s="49"/>
      <x:c r="F173" s="49"/>
      <x:c r="G173" s="49"/>
      <x:c r="H173" s="49"/>
      <x:c r="I173" s="49"/>
      <x:c r="J173" s="49"/>
      <x:c r="K173" s="49"/>
      <x:c r="L173" s="49"/>
      <x:c r="M173" s="49"/>
      <x:c r="N173" s="49"/>
      <x:c r="O173" s="49"/>
      <x:c r="P173" s="49"/>
      <x:c r="Q173" s="49"/>
      <x:c r="R173" s="49"/>
      <x:c r="S173" s="49"/>
      <x:c r="T173" s="49"/>
      <x:c r="U173" s="49"/>
      <x:c r="V173" s="49"/>
      <x:c r="W173" s="49"/>
      <x:c r="X173" s="49"/>
      <x:c r="Y173" s="49"/>
      <x:c r="Z173" s="49"/>
      <x:c r="AA173" s="49"/>
      <x:c r="AB173" s="49"/>
      <x:c r="AC173" s="49"/>
      <x:c r="AD173" s="49"/>
      <x:c r="AE173" s="49"/>
      <x:c r="AF173" s="49"/>
      <x:c r="AG173" s="49"/>
      <x:c r="AH173" s="49"/>
      <x:c r="AI173" s="49"/>
      <x:c r="AJ173" s="49"/>
      <x:c r="AK173" s="49"/>
      <x:c r="AL173" s="49"/>
      <x:c r="AM173" s="49"/>
      <x:c r="AN173" s="49"/>
      <x:c r="AO173" s="49"/>
      <x:c r="AP173" s="49"/>
      <x:c r="AQ173" s="49"/>
      <x:c r="AR173" s="49"/>
      <x:c r="AS173" s="49"/>
      <x:c r="AT173" s="49"/>
      <x:c r="AU173" s="49"/>
      <x:c r="AV173" s="49"/>
      <x:c r="AW173" s="49"/>
      <x:c r="AX173" s="49"/>
      <x:c r="AY173" s="49"/>
      <x:c r="AZ173" s="49"/>
    </x:row>
    <x:row r="174">
      <x:c r="A174" s="49"/>
      <x:c r="B174" s="49"/>
      <x:c r="C174" s="49"/>
      <x:c r="D174" s="49"/>
      <x:c r="E174" s="49"/>
      <x:c r="F174" s="49"/>
      <x:c r="G174" s="49"/>
      <x:c r="H174" s="49"/>
      <x:c r="I174" s="49"/>
      <x:c r="J174" s="49"/>
      <x:c r="K174" s="49"/>
      <x:c r="L174" s="49"/>
      <x:c r="M174" s="49"/>
      <x:c r="N174" s="49"/>
      <x:c r="O174" s="49"/>
      <x:c r="P174" s="49"/>
      <x:c r="Q174" s="49"/>
      <x:c r="R174" s="49"/>
      <x:c r="S174" s="49"/>
      <x:c r="T174" s="49"/>
      <x:c r="U174" s="49"/>
      <x:c r="V174" s="49"/>
      <x:c r="W174" s="49"/>
      <x:c r="X174" s="49"/>
      <x:c r="Y174" s="49"/>
      <x:c r="Z174" s="49"/>
      <x:c r="AA174" s="49"/>
      <x:c r="AB174" s="49"/>
      <x:c r="AC174" s="49"/>
      <x:c r="AD174" s="49"/>
      <x:c r="AE174" s="49"/>
      <x:c r="AF174" s="49"/>
      <x:c r="AG174" s="49"/>
      <x:c r="AH174" s="49"/>
      <x:c r="AI174" s="49"/>
      <x:c r="AJ174" s="49"/>
      <x:c r="AK174" s="49"/>
      <x:c r="AL174" s="49"/>
      <x:c r="AM174" s="49"/>
      <x:c r="AN174" s="49"/>
      <x:c r="AO174" s="49"/>
      <x:c r="AP174" s="49"/>
      <x:c r="AQ174" s="49"/>
      <x:c r="AR174" s="49"/>
      <x:c r="AS174" s="49"/>
      <x:c r="AT174" s="49"/>
      <x:c r="AU174" s="49"/>
      <x:c r="AV174" s="49"/>
      <x:c r="AW174" s="49"/>
      <x:c r="AX174" s="49"/>
      <x:c r="AY174" s="49"/>
      <x:c r="AZ174" s="49"/>
    </x:row>
    <x:row r="175">
      <x:c r="A175" s="49"/>
      <x:c r="B175" s="49"/>
      <x:c r="C175" s="49"/>
      <x:c r="D175" s="49"/>
      <x:c r="E175" s="49"/>
      <x:c r="F175" s="49"/>
      <x:c r="G175" s="49"/>
      <x:c r="H175" s="49"/>
      <x:c r="I175" s="49"/>
      <x:c r="J175" s="49"/>
      <x:c r="K175" s="49"/>
      <x:c r="L175" s="49"/>
      <x:c r="M175" s="49"/>
      <x:c r="N175" s="49"/>
      <x:c r="O175" s="49"/>
      <x:c r="P175" s="49"/>
      <x:c r="Q175" s="49"/>
      <x:c r="R175" s="49"/>
      <x:c r="S175" s="49"/>
      <x:c r="T175" s="49"/>
      <x:c r="U175" s="49"/>
      <x:c r="V175" s="49"/>
      <x:c r="W175" s="49"/>
      <x:c r="X175" s="49"/>
      <x:c r="Y175" s="49"/>
      <x:c r="Z175" s="49"/>
      <x:c r="AA175" s="49"/>
      <x:c r="AB175" s="49"/>
      <x:c r="AC175" s="49"/>
      <x:c r="AD175" s="49"/>
      <x:c r="AE175" s="49"/>
      <x:c r="AF175" s="49"/>
      <x:c r="AG175" s="49"/>
      <x:c r="AH175" s="49"/>
      <x:c r="AI175" s="49"/>
      <x:c r="AJ175" s="49"/>
      <x:c r="AK175" s="49"/>
      <x:c r="AL175" s="49"/>
      <x:c r="AM175" s="49"/>
      <x:c r="AN175" s="49"/>
      <x:c r="AO175" s="49"/>
      <x:c r="AP175" s="49"/>
      <x:c r="AQ175" s="49"/>
      <x:c r="AR175" s="49"/>
      <x:c r="AS175" s="49"/>
      <x:c r="AT175" s="49"/>
      <x:c r="AU175" s="49"/>
      <x:c r="AV175" s="49"/>
      <x:c r="AW175" s="49"/>
      <x:c r="AX175" s="49"/>
      <x:c r="AY175" s="49"/>
      <x:c r="AZ175" s="49"/>
    </x:row>
    <x:row r="176">
      <x:c r="A176" s="49"/>
      <x:c r="B176" s="49"/>
      <x:c r="C176" s="49"/>
      <x:c r="D176" s="49"/>
      <x:c r="E176" s="49"/>
      <x:c r="F176" s="49"/>
      <x:c r="G176" s="49"/>
      <x:c r="H176" s="49"/>
      <x:c r="I176" s="49"/>
      <x:c r="J176" s="49"/>
      <x:c r="K176" s="49"/>
      <x:c r="L176" s="49"/>
      <x:c r="M176" s="49"/>
      <x:c r="N176" s="49"/>
      <x:c r="O176" s="49"/>
      <x:c r="P176" s="49"/>
      <x:c r="Q176" s="49"/>
      <x:c r="R176" s="49"/>
      <x:c r="S176" s="49"/>
      <x:c r="T176" s="49"/>
      <x:c r="U176" s="49"/>
      <x:c r="V176" s="49"/>
      <x:c r="W176" s="49"/>
      <x:c r="X176" s="49"/>
      <x:c r="Y176" s="49"/>
      <x:c r="Z176" s="49"/>
      <x:c r="AA176" s="49"/>
      <x:c r="AB176" s="49"/>
      <x:c r="AC176" s="49"/>
      <x:c r="AD176" s="49"/>
      <x:c r="AE176" s="49"/>
      <x:c r="AF176" s="49"/>
      <x:c r="AG176" s="49"/>
      <x:c r="AH176" s="49"/>
      <x:c r="AI176" s="49"/>
      <x:c r="AJ176" s="49"/>
      <x:c r="AK176" s="49"/>
      <x:c r="AL176" s="49"/>
      <x:c r="AM176" s="49"/>
      <x:c r="AN176" s="49"/>
      <x:c r="AO176" s="49"/>
      <x:c r="AP176" s="49"/>
      <x:c r="AQ176" s="49"/>
      <x:c r="AR176" s="49"/>
      <x:c r="AS176" s="49"/>
      <x:c r="AT176" s="49"/>
      <x:c r="AU176" s="49"/>
      <x:c r="AV176" s="49"/>
      <x:c r="AW176" s="49"/>
      <x:c r="AX176" s="49"/>
      <x:c r="AY176" s="49"/>
      <x:c r="AZ176" s="49"/>
    </x:row>
    <x:row r="177">
      <x:c r="A177" s="49"/>
      <x:c r="B177" s="49"/>
      <x:c r="C177" s="49"/>
      <x:c r="D177" s="49"/>
      <x:c r="E177" s="49"/>
      <x:c r="F177" s="49"/>
      <x:c r="G177" s="49"/>
      <x:c r="H177" s="49"/>
      <x:c r="I177" s="49"/>
      <x:c r="J177" s="49"/>
      <x:c r="K177" s="49"/>
      <x:c r="L177" s="49"/>
      <x:c r="M177" s="49"/>
      <x:c r="N177" s="49"/>
      <x:c r="O177" s="49"/>
      <x:c r="P177" s="49"/>
      <x:c r="Q177" s="49"/>
      <x:c r="R177" s="49"/>
      <x:c r="S177" s="49"/>
      <x:c r="T177" s="49"/>
      <x:c r="U177" s="49"/>
      <x:c r="V177" s="49"/>
      <x:c r="W177" s="49"/>
      <x:c r="X177" s="49"/>
      <x:c r="Y177" s="49"/>
      <x:c r="Z177" s="49"/>
      <x:c r="AA177" s="49"/>
      <x:c r="AB177" s="49"/>
      <x:c r="AC177" s="49"/>
      <x:c r="AD177" s="49"/>
      <x:c r="AE177" s="49"/>
      <x:c r="AF177" s="49"/>
      <x:c r="AG177" s="49"/>
      <x:c r="AH177" s="49"/>
      <x:c r="AI177" s="49"/>
      <x:c r="AJ177" s="49"/>
      <x:c r="AK177" s="49"/>
      <x:c r="AL177" s="49"/>
      <x:c r="AM177" s="49"/>
      <x:c r="AN177" s="49"/>
      <x:c r="AO177" s="49"/>
      <x:c r="AP177" s="49"/>
      <x:c r="AQ177" s="49"/>
      <x:c r="AR177" s="49"/>
      <x:c r="AS177" s="49"/>
      <x:c r="AT177" s="49"/>
      <x:c r="AU177" s="49"/>
      <x:c r="AV177" s="49"/>
      <x:c r="AW177" s="49"/>
      <x:c r="AX177" s="49"/>
      <x:c r="AY177" s="49"/>
      <x:c r="AZ177" s="49"/>
    </x:row>
    <x:row r="178">
      <x:c r="A178" s="49"/>
      <x:c r="B178" s="49"/>
      <x:c r="C178" s="49"/>
      <x:c r="D178" s="49"/>
      <x:c r="E178" s="49"/>
      <x:c r="F178" s="49"/>
      <x:c r="G178" s="49"/>
      <x:c r="H178" s="49"/>
      <x:c r="I178" s="49"/>
      <x:c r="J178" s="49"/>
      <x:c r="K178" s="49"/>
      <x:c r="L178" s="49"/>
      <x:c r="M178" s="49"/>
      <x:c r="N178" s="49"/>
      <x:c r="O178" s="49"/>
      <x:c r="P178" s="49"/>
      <x:c r="Q178" s="49"/>
      <x:c r="R178" s="49"/>
      <x:c r="S178" s="49"/>
      <x:c r="T178" s="49"/>
      <x:c r="U178" s="49"/>
      <x:c r="V178" s="49"/>
      <x:c r="W178" s="49"/>
      <x:c r="X178" s="49"/>
      <x:c r="Y178" s="49"/>
      <x:c r="Z178" s="49"/>
      <x:c r="AA178" s="49"/>
      <x:c r="AB178" s="49"/>
      <x:c r="AC178" s="49"/>
      <x:c r="AD178" s="49"/>
      <x:c r="AE178" s="49"/>
      <x:c r="AF178" s="49"/>
      <x:c r="AG178" s="49"/>
      <x:c r="AH178" s="49"/>
      <x:c r="AI178" s="49"/>
      <x:c r="AJ178" s="49"/>
      <x:c r="AK178" s="49"/>
      <x:c r="AL178" s="49"/>
      <x:c r="AM178" s="49"/>
      <x:c r="AN178" s="49"/>
      <x:c r="AO178" s="49"/>
      <x:c r="AP178" s="49"/>
      <x:c r="AQ178" s="49"/>
      <x:c r="AR178" s="49"/>
      <x:c r="AS178" s="49"/>
      <x:c r="AT178" s="49"/>
      <x:c r="AU178" s="49"/>
      <x:c r="AV178" s="49"/>
      <x:c r="AW178" s="49"/>
      <x:c r="AX178" s="49"/>
      <x:c r="AY178" s="49"/>
      <x:c r="AZ178" s="49"/>
    </x:row>
    <x:row r="179">
      <x:c r="A179" s="49"/>
      <x:c r="B179" s="49"/>
      <x:c r="C179" s="49"/>
      <x:c r="D179" s="49"/>
      <x:c r="E179" s="49"/>
      <x:c r="F179" s="49"/>
      <x:c r="G179" s="49"/>
      <x:c r="H179" s="49"/>
      <x:c r="I179" s="49"/>
      <x:c r="J179" s="49"/>
      <x:c r="K179" s="49"/>
      <x:c r="L179" s="49"/>
      <x:c r="M179" s="49"/>
      <x:c r="N179" s="49"/>
      <x:c r="O179" s="49"/>
      <x:c r="P179" s="49"/>
      <x:c r="Q179" s="49"/>
      <x:c r="R179" s="49"/>
      <x:c r="S179" s="49"/>
      <x:c r="T179" s="49"/>
      <x:c r="U179" s="49"/>
      <x:c r="V179" s="49"/>
      <x:c r="W179" s="49"/>
      <x:c r="X179" s="49"/>
      <x:c r="Y179" s="49"/>
      <x:c r="Z179" s="49"/>
      <x:c r="AA179" s="49"/>
      <x:c r="AB179" s="49"/>
      <x:c r="AC179" s="49"/>
      <x:c r="AD179" s="49"/>
      <x:c r="AE179" s="49"/>
      <x:c r="AF179" s="49"/>
      <x:c r="AG179" s="49"/>
      <x:c r="AH179" s="49"/>
      <x:c r="AI179" s="49"/>
      <x:c r="AJ179" s="49"/>
      <x:c r="AK179" s="49"/>
      <x:c r="AL179" s="49"/>
      <x:c r="AM179" s="49"/>
      <x:c r="AN179" s="49"/>
      <x:c r="AO179" s="49"/>
      <x:c r="AP179" s="49"/>
      <x:c r="AQ179" s="49"/>
      <x:c r="AR179" s="49"/>
      <x:c r="AS179" s="49"/>
      <x:c r="AT179" s="49"/>
      <x:c r="AU179" s="49"/>
      <x:c r="AV179" s="49"/>
      <x:c r="AW179" s="49"/>
      <x:c r="AX179" s="49"/>
      <x:c r="AY179" s="49"/>
      <x:c r="AZ179" s="49"/>
    </x:row>
    <x:row r="180">
      <x:c r="A180" s="49"/>
      <x:c r="B180" s="49"/>
      <x:c r="C180" s="49"/>
      <x:c r="D180" s="49"/>
      <x:c r="E180" s="49"/>
      <x:c r="F180" s="49"/>
      <x:c r="G180" s="49"/>
      <x:c r="H180" s="49"/>
      <x:c r="I180" s="49"/>
      <x:c r="J180" s="49"/>
      <x:c r="K180" s="49"/>
      <x:c r="L180" s="49"/>
      <x:c r="M180" s="49"/>
      <x:c r="N180" s="49"/>
      <x:c r="O180" s="49"/>
      <x:c r="P180" s="49"/>
      <x:c r="Q180" s="49"/>
      <x:c r="R180" s="49"/>
      <x:c r="S180" s="49"/>
      <x:c r="T180" s="49"/>
      <x:c r="U180" s="49"/>
      <x:c r="V180" s="49"/>
      <x:c r="W180" s="49"/>
      <x:c r="X180" s="49"/>
      <x:c r="Y180" s="49"/>
      <x:c r="Z180" s="49"/>
      <x:c r="AA180" s="49"/>
      <x:c r="AB180" s="49"/>
      <x:c r="AC180" s="49"/>
      <x:c r="AD180" s="49"/>
      <x:c r="AE180" s="49"/>
      <x:c r="AF180" s="49"/>
      <x:c r="AG180" s="49"/>
      <x:c r="AH180" s="49"/>
      <x:c r="AI180" s="49"/>
      <x:c r="AJ180" s="49"/>
      <x:c r="AK180" s="49"/>
      <x:c r="AL180" s="49"/>
      <x:c r="AM180" s="49"/>
      <x:c r="AN180" s="49"/>
      <x:c r="AO180" s="49"/>
      <x:c r="AP180" s="49"/>
      <x:c r="AQ180" s="49"/>
      <x:c r="AR180" s="49"/>
      <x:c r="AS180" s="49"/>
      <x:c r="AT180" s="49"/>
      <x:c r="AU180" s="49"/>
      <x:c r="AV180" s="49"/>
      <x:c r="AW180" s="49"/>
      <x:c r="AX180" s="49"/>
      <x:c r="AY180" s="49"/>
      <x:c r="AZ180" s="49"/>
    </x:row>
    <x:row r="181">
      <x:c r="A181" s="49"/>
      <x:c r="B181" s="49"/>
      <x:c r="C181" s="49"/>
      <x:c r="D181" s="49"/>
      <x:c r="E181" s="49"/>
      <x:c r="F181" s="49"/>
      <x:c r="G181" s="49"/>
      <x:c r="H181" s="49"/>
      <x:c r="I181" s="49"/>
      <x:c r="J181" s="49"/>
      <x:c r="K181" s="49"/>
      <x:c r="L181" s="49"/>
      <x:c r="M181" s="49"/>
      <x:c r="N181" s="49"/>
      <x:c r="O181" s="49"/>
      <x:c r="P181" s="49"/>
      <x:c r="Q181" s="49"/>
      <x:c r="R181" s="49"/>
      <x:c r="S181" s="49"/>
      <x:c r="T181" s="49"/>
      <x:c r="U181" s="49"/>
      <x:c r="V181" s="49"/>
      <x:c r="W181" s="49"/>
      <x:c r="X181" s="49"/>
      <x:c r="Y181" s="49"/>
      <x:c r="Z181" s="49"/>
      <x:c r="AA181" s="49"/>
      <x:c r="AB181" s="49"/>
      <x:c r="AC181" s="49"/>
      <x:c r="AD181" s="49"/>
      <x:c r="AE181" s="49"/>
      <x:c r="AF181" s="49"/>
      <x:c r="AG181" s="49"/>
      <x:c r="AH181" s="49"/>
      <x:c r="AI181" s="49"/>
      <x:c r="AJ181" s="49"/>
      <x:c r="AK181" s="49"/>
      <x:c r="AL181" s="49"/>
      <x:c r="AM181" s="49"/>
      <x:c r="AN181" s="49"/>
      <x:c r="AO181" s="49"/>
      <x:c r="AP181" s="49"/>
      <x:c r="AQ181" s="49"/>
      <x:c r="AR181" s="49"/>
      <x:c r="AS181" s="49"/>
      <x:c r="AT181" s="49"/>
      <x:c r="AU181" s="49"/>
      <x:c r="AV181" s="49"/>
      <x:c r="AW181" s="49"/>
      <x:c r="AX181" s="49"/>
      <x:c r="AY181" s="49"/>
      <x:c r="AZ181" s="49"/>
    </x:row>
    <x:row r="182">
      <x:c r="A182" s="49"/>
      <x:c r="B182" s="49"/>
      <x:c r="C182" s="49"/>
      <x:c r="D182" s="49"/>
      <x:c r="E182" s="49"/>
      <x:c r="F182" s="49"/>
      <x:c r="G182" s="49"/>
      <x:c r="H182" s="49"/>
      <x:c r="I182" s="49"/>
      <x:c r="J182" s="49"/>
      <x:c r="K182" s="49"/>
      <x:c r="L182" s="49"/>
      <x:c r="M182" s="49"/>
      <x:c r="N182" s="49"/>
      <x:c r="O182" s="49"/>
      <x:c r="P182" s="49"/>
      <x:c r="Q182" s="49"/>
      <x:c r="R182" s="49"/>
      <x:c r="S182" s="49"/>
      <x:c r="T182" s="49"/>
      <x:c r="U182" s="49"/>
      <x:c r="V182" s="49"/>
      <x:c r="W182" s="49"/>
      <x:c r="X182" s="49"/>
      <x:c r="Y182" s="49"/>
      <x:c r="Z182" s="49"/>
      <x:c r="AA182" s="49"/>
      <x:c r="AB182" s="49"/>
      <x:c r="AC182" s="49"/>
      <x:c r="AD182" s="49"/>
      <x:c r="AE182" s="49"/>
      <x:c r="AF182" s="49"/>
      <x:c r="AG182" s="49"/>
      <x:c r="AH182" s="49"/>
      <x:c r="AI182" s="49"/>
      <x:c r="AJ182" s="49"/>
      <x:c r="AK182" s="49"/>
      <x:c r="AL182" s="49"/>
      <x:c r="AM182" s="49"/>
      <x:c r="AN182" s="49"/>
      <x:c r="AO182" s="49"/>
      <x:c r="AP182" s="49"/>
      <x:c r="AQ182" s="49"/>
      <x:c r="AR182" s="49"/>
      <x:c r="AS182" s="49"/>
      <x:c r="AT182" s="49"/>
      <x:c r="AU182" s="49"/>
      <x:c r="AV182" s="49"/>
      <x:c r="AW182" s="49"/>
      <x:c r="AX182" s="49"/>
      <x:c r="AY182" s="49"/>
      <x:c r="AZ182" s="49"/>
    </x:row>
    <x:row r="183">
      <x:c r="A183" s="49"/>
      <x:c r="B183" s="49"/>
      <x:c r="C183" s="49"/>
      <x:c r="D183" s="49"/>
      <x:c r="E183" s="49"/>
      <x:c r="F183" s="49"/>
      <x:c r="G183" s="49"/>
      <x:c r="H183" s="49"/>
      <x:c r="I183" s="49"/>
      <x:c r="J183" s="49"/>
      <x:c r="K183" s="49"/>
      <x:c r="L183" s="49"/>
      <x:c r="M183" s="49"/>
      <x:c r="N183" s="49"/>
      <x:c r="O183" s="49"/>
      <x:c r="P183" s="49"/>
      <x:c r="Q183" s="49"/>
      <x:c r="R183" s="49"/>
      <x:c r="S183" s="49"/>
      <x:c r="T183" s="49"/>
      <x:c r="U183" s="49"/>
      <x:c r="V183" s="49"/>
      <x:c r="W183" s="49"/>
      <x:c r="X183" s="49"/>
      <x:c r="Y183" s="49"/>
      <x:c r="Z183" s="49"/>
      <x:c r="AA183" s="49"/>
      <x:c r="AB183" s="49"/>
      <x:c r="AC183" s="49"/>
      <x:c r="AD183" s="49"/>
      <x:c r="AE183" s="49"/>
      <x:c r="AF183" s="49"/>
      <x:c r="AG183" s="49"/>
      <x:c r="AH183" s="49"/>
      <x:c r="AI183" s="49"/>
      <x:c r="AJ183" s="49"/>
      <x:c r="AK183" s="49"/>
      <x:c r="AL183" s="49"/>
      <x:c r="AM183" s="49"/>
      <x:c r="AN183" s="49"/>
      <x:c r="AO183" s="49"/>
      <x:c r="AP183" s="49"/>
      <x:c r="AQ183" s="49"/>
      <x:c r="AR183" s="49"/>
      <x:c r="AS183" s="49"/>
      <x:c r="AT183" s="49"/>
      <x:c r="AU183" s="49"/>
      <x:c r="AV183" s="49"/>
      <x:c r="AW183" s="49"/>
      <x:c r="AX183" s="49"/>
      <x:c r="AY183" s="49"/>
      <x:c r="AZ183" s="49"/>
    </x:row>
    <x:row r="184">
      <x:c r="A184" s="49"/>
      <x:c r="B184" s="49"/>
      <x:c r="C184" s="49"/>
      <x:c r="D184" s="49"/>
      <x:c r="E184" s="49"/>
      <x:c r="F184" s="49"/>
      <x:c r="G184" s="49"/>
      <x:c r="H184" s="49"/>
      <x:c r="I184" s="49"/>
      <x:c r="J184" s="49"/>
      <x:c r="K184" s="49"/>
      <x:c r="L184" s="49"/>
      <x:c r="M184" s="49"/>
      <x:c r="N184" s="49"/>
      <x:c r="O184" s="49"/>
      <x:c r="P184" s="49"/>
      <x:c r="Q184" s="49"/>
      <x:c r="R184" s="49"/>
      <x:c r="S184" s="49"/>
      <x:c r="T184" s="49"/>
      <x:c r="U184" s="49"/>
      <x:c r="V184" s="49"/>
      <x:c r="W184" s="49"/>
      <x:c r="X184" s="49"/>
      <x:c r="Y184" s="49"/>
      <x:c r="Z184" s="49"/>
      <x:c r="AA184" s="49"/>
      <x:c r="AB184" s="49"/>
      <x:c r="AC184" s="49"/>
      <x:c r="AD184" s="49"/>
      <x:c r="AE184" s="49"/>
      <x:c r="AF184" s="49"/>
      <x:c r="AG184" s="49"/>
      <x:c r="AH184" s="49"/>
      <x:c r="AI184" s="49"/>
      <x:c r="AJ184" s="49"/>
      <x:c r="AK184" s="49"/>
      <x:c r="AL184" s="49"/>
      <x:c r="AM184" s="49"/>
      <x:c r="AN184" s="49"/>
      <x:c r="AO184" s="49"/>
      <x:c r="AP184" s="49"/>
      <x:c r="AQ184" s="49"/>
      <x:c r="AR184" s="49"/>
      <x:c r="AS184" s="49"/>
      <x:c r="AT184" s="49"/>
      <x:c r="AU184" s="49"/>
      <x:c r="AV184" s="49"/>
      <x:c r="AW184" s="49"/>
      <x:c r="AX184" s="49"/>
      <x:c r="AY184" s="49"/>
      <x:c r="AZ184" s="49"/>
    </x:row>
    <x:row r="185">
      <x:c r="A185" s="49"/>
      <x:c r="B185" s="49"/>
      <x:c r="C185" s="49"/>
      <x:c r="D185" s="49"/>
      <x:c r="E185" s="49"/>
      <x:c r="F185" s="49"/>
      <x:c r="G185" s="49"/>
      <x:c r="H185" s="49"/>
      <x:c r="I185" s="49"/>
      <x:c r="J185" s="49"/>
      <x:c r="K185" s="49"/>
      <x:c r="L185" s="49"/>
      <x:c r="M185" s="49"/>
      <x:c r="N185" s="49"/>
      <x:c r="O185" s="49"/>
      <x:c r="P185" s="49"/>
      <x:c r="Q185" s="49"/>
      <x:c r="R185" s="49"/>
      <x:c r="S185" s="49"/>
      <x:c r="T185" s="49"/>
      <x:c r="U185" s="49"/>
      <x:c r="V185" s="49"/>
      <x:c r="W185" s="49"/>
      <x:c r="X185" s="49"/>
      <x:c r="Y185" s="49"/>
      <x:c r="Z185" s="49"/>
      <x:c r="AA185" s="49"/>
      <x:c r="AB185" s="49"/>
      <x:c r="AC185" s="49"/>
      <x:c r="AD185" s="49"/>
      <x:c r="AE185" s="49"/>
      <x:c r="AF185" s="49"/>
      <x:c r="AG185" s="49"/>
      <x:c r="AH185" s="49"/>
      <x:c r="AI185" s="49"/>
      <x:c r="AJ185" s="49"/>
      <x:c r="AK185" s="49"/>
      <x:c r="AL185" s="49"/>
      <x:c r="AM185" s="49"/>
      <x:c r="AN185" s="49"/>
      <x:c r="AO185" s="49"/>
      <x:c r="AP185" s="49"/>
      <x:c r="AQ185" s="49"/>
      <x:c r="AR185" s="49"/>
      <x:c r="AS185" s="49"/>
      <x:c r="AT185" s="49"/>
      <x:c r="AU185" s="49"/>
      <x:c r="AV185" s="49"/>
      <x:c r="AW185" s="49"/>
      <x:c r="AX185" s="49"/>
      <x:c r="AY185" s="49"/>
      <x:c r="AZ185" s="49"/>
    </x:row>
    <x:row r="186">
      <x:c r="A186" s="49"/>
      <x:c r="B186" s="49"/>
      <x:c r="C186" s="49"/>
      <x:c r="D186" s="49"/>
      <x:c r="E186" s="49"/>
      <x:c r="F186" s="49"/>
      <x:c r="G186" s="49"/>
      <x:c r="H186" s="49"/>
      <x:c r="I186" s="49"/>
      <x:c r="J186" s="49"/>
      <x:c r="K186" s="49"/>
      <x:c r="L186" s="49"/>
      <x:c r="M186" s="49"/>
      <x:c r="N186" s="49"/>
      <x:c r="O186" s="49"/>
      <x:c r="P186" s="49"/>
      <x:c r="Q186" s="49"/>
      <x:c r="R186" s="49"/>
      <x:c r="S186" s="49"/>
      <x:c r="T186" s="49"/>
      <x:c r="U186" s="49"/>
      <x:c r="V186" s="49"/>
      <x:c r="W186" s="49"/>
      <x:c r="X186" s="49"/>
      <x:c r="Y186" s="49"/>
      <x:c r="Z186" s="49"/>
      <x:c r="AA186" s="49"/>
      <x:c r="AB186" s="49"/>
      <x:c r="AC186" s="49"/>
      <x:c r="AD186" s="49"/>
      <x:c r="AE186" s="49"/>
      <x:c r="AF186" s="49"/>
      <x:c r="AG186" s="49"/>
      <x:c r="AH186" s="49"/>
      <x:c r="AI186" s="49"/>
      <x:c r="AJ186" s="49"/>
      <x:c r="AK186" s="49"/>
      <x:c r="AL186" s="49"/>
      <x:c r="AM186" s="49"/>
      <x:c r="AN186" s="49"/>
      <x:c r="AO186" s="49"/>
      <x:c r="AP186" s="49"/>
      <x:c r="AQ186" s="49"/>
      <x:c r="AR186" s="49"/>
      <x:c r="AS186" s="49"/>
      <x:c r="AT186" s="49"/>
      <x:c r="AU186" s="49"/>
      <x:c r="AV186" s="49"/>
      <x:c r="AW186" s="49"/>
      <x:c r="AX186" s="49"/>
      <x:c r="AY186" s="49"/>
      <x:c r="AZ186" s="49"/>
    </x:row>
    <x:row r="187">
      <x:c r="A187" s="49"/>
      <x:c r="B187" s="49"/>
      <x:c r="C187" s="49"/>
      <x:c r="D187" s="49"/>
      <x:c r="E187" s="49"/>
      <x:c r="F187" s="49"/>
      <x:c r="G187" s="49"/>
      <x:c r="H187" s="49"/>
      <x:c r="I187" s="49"/>
      <x:c r="J187" s="49"/>
      <x:c r="K187" s="49"/>
      <x:c r="L187" s="49"/>
      <x:c r="M187" s="49"/>
      <x:c r="N187" s="49"/>
      <x:c r="O187" s="49"/>
      <x:c r="P187" s="49"/>
      <x:c r="Q187" s="49"/>
      <x:c r="R187" s="49"/>
      <x:c r="S187" s="49"/>
      <x:c r="T187" s="49"/>
      <x:c r="U187" s="49"/>
      <x:c r="V187" s="49"/>
      <x:c r="W187" s="49"/>
      <x:c r="X187" s="49"/>
      <x:c r="Y187" s="49"/>
      <x:c r="Z187" s="49"/>
      <x:c r="AA187" s="49"/>
      <x:c r="AB187" s="49"/>
      <x:c r="AC187" s="49"/>
      <x:c r="AD187" s="49"/>
      <x:c r="AE187" s="49"/>
      <x:c r="AF187" s="49"/>
      <x:c r="AG187" s="49"/>
      <x:c r="AH187" s="49"/>
      <x:c r="AI187" s="49"/>
      <x:c r="AJ187" s="49"/>
      <x:c r="AK187" s="49"/>
      <x:c r="AL187" s="49"/>
      <x:c r="AM187" s="49"/>
      <x:c r="AN187" s="49"/>
      <x:c r="AO187" s="49"/>
      <x:c r="AP187" s="49"/>
      <x:c r="AQ187" s="49"/>
      <x:c r="AR187" s="49"/>
      <x:c r="AS187" s="49"/>
      <x:c r="AT187" s="49"/>
      <x:c r="AU187" s="49"/>
      <x:c r="AV187" s="49"/>
      <x:c r="AW187" s="49"/>
      <x:c r="AX187" s="49"/>
      <x:c r="AY187" s="49"/>
      <x:c r="AZ187" s="49"/>
    </x:row>
    <x:row r="188">
      <x:c r="A188" s="49"/>
      <x:c r="B188" s="49"/>
      <x:c r="C188" s="49"/>
      <x:c r="D188" s="49"/>
      <x:c r="E188" s="49"/>
      <x:c r="F188" s="49"/>
      <x:c r="G188" s="49"/>
      <x:c r="H188" s="49"/>
      <x:c r="I188" s="49"/>
      <x:c r="J188" s="49"/>
      <x:c r="K188" s="49"/>
      <x:c r="L188" s="49"/>
      <x:c r="M188" s="49"/>
      <x:c r="N188" s="49"/>
      <x:c r="O188" s="49"/>
      <x:c r="P188" s="49"/>
      <x:c r="Q188" s="49"/>
      <x:c r="R188" s="49"/>
      <x:c r="S188" s="49"/>
      <x:c r="T188" s="49"/>
      <x:c r="U188" s="49"/>
      <x:c r="V188" s="49"/>
      <x:c r="W188" s="49"/>
      <x:c r="X188" s="49"/>
      <x:c r="Y188" s="49"/>
      <x:c r="Z188" s="49"/>
      <x:c r="AA188" s="49"/>
      <x:c r="AB188" s="49"/>
      <x:c r="AC188" s="49"/>
      <x:c r="AD188" s="49"/>
      <x:c r="AE188" s="49"/>
      <x:c r="AF188" s="49"/>
      <x:c r="AG188" s="49"/>
      <x:c r="AH188" s="49"/>
      <x:c r="AI188" s="49"/>
      <x:c r="AJ188" s="49"/>
      <x:c r="AK188" s="49"/>
      <x:c r="AL188" s="49"/>
      <x:c r="AM188" s="49"/>
      <x:c r="AN188" s="49"/>
      <x:c r="AO188" s="49"/>
      <x:c r="AP188" s="49"/>
      <x:c r="AQ188" s="49"/>
      <x:c r="AR188" s="49"/>
      <x:c r="AS188" s="49"/>
      <x:c r="AT188" s="49"/>
      <x:c r="AU188" s="49"/>
      <x:c r="AV188" s="49"/>
      <x:c r="AW188" s="49"/>
      <x:c r="AX188" s="49"/>
      <x:c r="AY188" s="49"/>
      <x:c r="AZ188" s="49"/>
    </x:row>
    <x:row r="189">
      <x:c r="A189" s="49"/>
      <x:c r="B189" s="49"/>
      <x:c r="C189" s="49"/>
      <x:c r="D189" s="49"/>
      <x:c r="E189" s="49"/>
      <x:c r="F189" s="49"/>
      <x:c r="G189" s="49"/>
      <x:c r="H189" s="49"/>
      <x:c r="I189" s="49"/>
      <x:c r="J189" s="49"/>
      <x:c r="K189" s="49"/>
      <x:c r="L189" s="49"/>
      <x:c r="M189" s="49"/>
      <x:c r="N189" s="49"/>
      <x:c r="O189" s="49"/>
      <x:c r="P189" s="49"/>
      <x:c r="Q189" s="49"/>
      <x:c r="R189" s="49"/>
      <x:c r="S189" s="49"/>
      <x:c r="T189" s="49"/>
      <x:c r="U189" s="49"/>
      <x:c r="V189" s="49"/>
      <x:c r="W189" s="49"/>
      <x:c r="X189" s="49"/>
      <x:c r="Y189" s="49"/>
      <x:c r="Z189" s="49"/>
      <x:c r="AA189" s="49"/>
      <x:c r="AB189" s="49"/>
      <x:c r="AC189" s="49"/>
      <x:c r="AD189" s="49"/>
      <x:c r="AE189" s="49"/>
      <x:c r="AF189" s="49"/>
      <x:c r="AG189" s="49"/>
      <x:c r="AH189" s="49"/>
      <x:c r="AI189" s="49"/>
      <x:c r="AJ189" s="49"/>
      <x:c r="AK189" s="49"/>
      <x:c r="AL189" s="49"/>
      <x:c r="AM189" s="49"/>
      <x:c r="AN189" s="49"/>
      <x:c r="AO189" s="49"/>
      <x:c r="AP189" s="49"/>
      <x:c r="AQ189" s="49"/>
      <x:c r="AR189" s="49"/>
      <x:c r="AS189" s="49"/>
      <x:c r="AT189" s="49"/>
      <x:c r="AU189" s="49"/>
      <x:c r="AV189" s="49"/>
      <x:c r="AW189" s="49"/>
      <x:c r="AX189" s="49"/>
      <x:c r="AY189" s="49"/>
      <x:c r="AZ189" s="49"/>
    </x:row>
    <x:row r="190">
      <x:c r="A190" s="49"/>
      <x:c r="B190" s="49"/>
      <x:c r="C190" s="49"/>
      <x:c r="D190" s="49"/>
      <x:c r="E190" s="49"/>
      <x:c r="F190" s="49"/>
      <x:c r="G190" s="49"/>
      <x:c r="H190" s="49"/>
      <x:c r="I190" s="49"/>
      <x:c r="J190" s="49"/>
      <x:c r="K190" s="49"/>
      <x:c r="L190" s="49"/>
      <x:c r="M190" s="49"/>
      <x:c r="N190" s="49"/>
      <x:c r="O190" s="49"/>
      <x:c r="P190" s="49"/>
      <x:c r="Q190" s="49"/>
      <x:c r="R190" s="49"/>
      <x:c r="S190" s="49"/>
      <x:c r="T190" s="49"/>
      <x:c r="U190" s="49"/>
      <x:c r="V190" s="49"/>
      <x:c r="W190" s="49"/>
      <x:c r="X190" s="49"/>
      <x:c r="Y190" s="49"/>
      <x:c r="Z190" s="49"/>
      <x:c r="AA190" s="49"/>
      <x:c r="AB190" s="49"/>
      <x:c r="AC190" s="49"/>
      <x:c r="AD190" s="49"/>
      <x:c r="AE190" s="49"/>
      <x:c r="AF190" s="49"/>
      <x:c r="AG190" s="49"/>
      <x:c r="AH190" s="49"/>
      <x:c r="AI190" s="49"/>
      <x:c r="AJ190" s="49"/>
      <x:c r="AK190" s="49"/>
      <x:c r="AL190" s="49"/>
      <x:c r="AM190" s="49"/>
      <x:c r="AN190" s="49"/>
      <x:c r="AO190" s="49"/>
      <x:c r="AP190" s="49"/>
      <x:c r="AQ190" s="49"/>
      <x:c r="AR190" s="49"/>
      <x:c r="AS190" s="49"/>
      <x:c r="AT190" s="49"/>
      <x:c r="AU190" s="49"/>
      <x:c r="AV190" s="49"/>
      <x:c r="AW190" s="49"/>
      <x:c r="AX190" s="49"/>
      <x:c r="AY190" s="49"/>
      <x:c r="AZ190" s="49"/>
    </x:row>
    <x:row r="191">
      <x:c r="A191" s="49"/>
      <x:c r="B191" s="49"/>
      <x:c r="C191" s="49"/>
      <x:c r="D191" s="49"/>
      <x:c r="E191" s="49"/>
      <x:c r="F191" s="49"/>
      <x:c r="G191" s="49"/>
      <x:c r="H191" s="49"/>
      <x:c r="I191" s="49"/>
      <x:c r="J191" s="49"/>
      <x:c r="K191" s="49"/>
      <x:c r="L191" s="49"/>
      <x:c r="M191" s="49"/>
      <x:c r="N191" s="49"/>
      <x:c r="O191" s="49"/>
      <x:c r="P191" s="49"/>
      <x:c r="Q191" s="49"/>
      <x:c r="R191" s="49"/>
      <x:c r="S191" s="49"/>
      <x:c r="T191" s="49"/>
      <x:c r="U191" s="49"/>
      <x:c r="V191" s="49"/>
      <x:c r="W191" s="49"/>
      <x:c r="X191" s="49"/>
      <x:c r="Y191" s="49"/>
      <x:c r="Z191" s="49"/>
      <x:c r="AA191" s="49"/>
      <x:c r="AB191" s="49"/>
      <x:c r="AC191" s="49"/>
      <x:c r="AD191" s="49"/>
      <x:c r="AE191" s="49"/>
      <x:c r="AF191" s="49"/>
      <x:c r="AG191" s="49"/>
      <x:c r="AH191" s="49"/>
      <x:c r="AI191" s="49"/>
      <x:c r="AJ191" s="49"/>
      <x:c r="AK191" s="49"/>
      <x:c r="AL191" s="49"/>
      <x:c r="AM191" s="49"/>
      <x:c r="AN191" s="49"/>
      <x:c r="AO191" s="49"/>
      <x:c r="AP191" s="49"/>
      <x:c r="AQ191" s="49"/>
      <x:c r="AR191" s="49"/>
      <x:c r="AS191" s="49"/>
      <x:c r="AT191" s="49"/>
      <x:c r="AU191" s="49"/>
      <x:c r="AV191" s="49"/>
      <x:c r="AW191" s="49"/>
      <x:c r="AX191" s="49"/>
      <x:c r="AY191" s="49"/>
      <x:c r="AZ191" s="49"/>
    </x:row>
    <x:row r="192">
      <x:c r="A192" s="49"/>
      <x:c r="B192" s="49"/>
      <x:c r="C192" s="49"/>
      <x:c r="D192" s="49"/>
      <x:c r="E192" s="49"/>
      <x:c r="F192" s="49"/>
      <x:c r="G192" s="49"/>
      <x:c r="H192" s="49"/>
      <x:c r="I192" s="49"/>
      <x:c r="J192" s="49"/>
      <x:c r="K192" s="49"/>
      <x:c r="L192" s="49"/>
      <x:c r="M192" s="49"/>
      <x:c r="N192" s="49"/>
      <x:c r="O192" s="49"/>
      <x:c r="P192" s="49"/>
      <x:c r="Q192" s="49"/>
      <x:c r="R192" s="49"/>
      <x:c r="S192" s="49"/>
      <x:c r="T192" s="49"/>
      <x:c r="U192" s="49"/>
      <x:c r="V192" s="49"/>
      <x:c r="W192" s="49"/>
      <x:c r="X192" s="49"/>
      <x:c r="Y192" s="49"/>
      <x:c r="Z192" s="49"/>
      <x:c r="AA192" s="49"/>
      <x:c r="AB192" s="49"/>
      <x:c r="AC192" s="49"/>
      <x:c r="AD192" s="49"/>
      <x:c r="AE192" s="49"/>
      <x:c r="AF192" s="49"/>
      <x:c r="AG192" s="49"/>
      <x:c r="AH192" s="49"/>
      <x:c r="AI192" s="49"/>
      <x:c r="AJ192" s="49"/>
      <x:c r="AK192" s="49"/>
      <x:c r="AL192" s="49"/>
      <x:c r="AM192" s="49"/>
      <x:c r="AN192" s="49"/>
      <x:c r="AO192" s="49"/>
      <x:c r="AP192" s="49"/>
      <x:c r="AQ192" s="49"/>
      <x:c r="AR192" s="49"/>
      <x:c r="AS192" s="49"/>
      <x:c r="AT192" s="49"/>
      <x:c r="AU192" s="49"/>
      <x:c r="AV192" s="49"/>
      <x:c r="AW192" s="49"/>
      <x:c r="AX192" s="49"/>
      <x:c r="AY192" s="49"/>
      <x:c r="AZ192" s="49"/>
    </x:row>
    <x:row r="193">
      <x:c r="A193" s="49"/>
      <x:c r="B193" s="49"/>
      <x:c r="C193" s="49"/>
      <x:c r="D193" s="49"/>
      <x:c r="E193" s="49"/>
      <x:c r="F193" s="49"/>
      <x:c r="G193" s="49"/>
      <x:c r="H193" s="49"/>
      <x:c r="I193" s="49"/>
      <x:c r="J193" s="49"/>
      <x:c r="K193" s="49"/>
      <x:c r="L193" s="49"/>
      <x:c r="M193" s="49"/>
      <x:c r="N193" s="49"/>
      <x:c r="O193" s="49"/>
      <x:c r="P193" s="49"/>
      <x:c r="Q193" s="49"/>
      <x:c r="R193" s="49"/>
      <x:c r="S193" s="49"/>
      <x:c r="T193" s="49"/>
      <x:c r="U193" s="49"/>
      <x:c r="V193" s="49"/>
      <x:c r="W193" s="49"/>
      <x:c r="X193" s="49"/>
      <x:c r="Y193" s="49"/>
      <x:c r="Z193" s="49"/>
      <x:c r="AA193" s="49"/>
      <x:c r="AB193" s="49"/>
      <x:c r="AC193" s="49"/>
      <x:c r="AD193" s="49"/>
      <x:c r="AE193" s="49"/>
      <x:c r="AF193" s="49"/>
      <x:c r="AG193" s="49"/>
      <x:c r="AH193" s="49"/>
      <x:c r="AI193" s="49"/>
      <x:c r="AJ193" s="49"/>
      <x:c r="AK193" s="49"/>
      <x:c r="AL193" s="49"/>
      <x:c r="AM193" s="49"/>
      <x:c r="AN193" s="49"/>
      <x:c r="AO193" s="49"/>
      <x:c r="AP193" s="49"/>
      <x:c r="AQ193" s="49"/>
      <x:c r="AR193" s="49"/>
      <x:c r="AS193" s="49"/>
      <x:c r="AT193" s="49"/>
      <x:c r="AU193" s="49"/>
      <x:c r="AV193" s="49"/>
      <x:c r="AW193" s="49"/>
      <x:c r="AX193" s="49"/>
      <x:c r="AY193" s="49"/>
      <x:c r="AZ193" s="49"/>
    </x:row>
    <x:row r="194">
      <x:c r="A194" s="49"/>
      <x:c r="B194" s="49"/>
      <x:c r="C194" s="49"/>
      <x:c r="D194" s="49"/>
      <x:c r="E194" s="49"/>
      <x:c r="F194" s="49"/>
      <x:c r="G194" s="49"/>
      <x:c r="H194" s="49"/>
      <x:c r="I194" s="49"/>
      <x:c r="J194" s="49"/>
      <x:c r="K194" s="49"/>
      <x:c r="L194" s="49"/>
      <x:c r="M194" s="49"/>
      <x:c r="N194" s="49"/>
      <x:c r="O194" s="49"/>
      <x:c r="P194" s="49"/>
      <x:c r="Q194" s="49"/>
      <x:c r="R194" s="49"/>
      <x:c r="S194" s="49"/>
      <x:c r="T194" s="49"/>
      <x:c r="U194" s="49"/>
      <x:c r="V194" s="49"/>
      <x:c r="W194" s="49"/>
      <x:c r="X194" s="49"/>
      <x:c r="Y194" s="49"/>
      <x:c r="Z194" s="49"/>
      <x:c r="AA194" s="49"/>
      <x:c r="AB194" s="49"/>
      <x:c r="AC194" s="49"/>
      <x:c r="AD194" s="49"/>
      <x:c r="AE194" s="49"/>
      <x:c r="AF194" s="49"/>
      <x:c r="AG194" s="49"/>
      <x:c r="AH194" s="49"/>
      <x:c r="AI194" s="49"/>
      <x:c r="AJ194" s="49"/>
      <x:c r="AK194" s="49"/>
      <x:c r="AL194" s="49"/>
      <x:c r="AM194" s="49"/>
      <x:c r="AN194" s="49"/>
      <x:c r="AO194" s="49"/>
      <x:c r="AP194" s="49"/>
      <x:c r="AQ194" s="49"/>
      <x:c r="AR194" s="49"/>
      <x:c r="AS194" s="49"/>
      <x:c r="AT194" s="49"/>
      <x:c r="AU194" s="49"/>
      <x:c r="AV194" s="49"/>
      <x:c r="AW194" s="49"/>
      <x:c r="AX194" s="49"/>
      <x:c r="AY194" s="49"/>
      <x:c r="AZ194" s="49"/>
    </x:row>
    <x:row r="195">
      <x:c r="A195" s="49"/>
      <x:c r="B195" s="49"/>
      <x:c r="C195" s="49"/>
      <x:c r="D195" s="49"/>
      <x:c r="E195" s="49"/>
      <x:c r="F195" s="49"/>
      <x:c r="G195" s="49"/>
      <x:c r="H195" s="49"/>
      <x:c r="I195" s="49"/>
      <x:c r="J195" s="49"/>
      <x:c r="K195" s="49"/>
      <x:c r="L195" s="49"/>
      <x:c r="M195" s="49"/>
      <x:c r="N195" s="49"/>
      <x:c r="O195" s="49"/>
      <x:c r="P195" s="49"/>
      <x:c r="Q195" s="49"/>
      <x:c r="R195" s="49"/>
      <x:c r="S195" s="49"/>
      <x:c r="T195" s="49"/>
      <x:c r="U195" s="49"/>
      <x:c r="V195" s="49"/>
      <x:c r="W195" s="49"/>
      <x:c r="X195" s="49"/>
      <x:c r="Y195" s="49"/>
      <x:c r="Z195" s="49"/>
      <x:c r="AA195" s="49"/>
      <x:c r="AB195" s="49"/>
      <x:c r="AC195" s="49"/>
      <x:c r="AD195" s="49"/>
      <x:c r="AE195" s="49"/>
      <x:c r="AF195" s="49"/>
      <x:c r="AG195" s="49"/>
      <x:c r="AH195" s="49"/>
      <x:c r="AI195" s="49"/>
      <x:c r="AJ195" s="49"/>
      <x:c r="AK195" s="49"/>
      <x:c r="AL195" s="49"/>
      <x:c r="AM195" s="49"/>
      <x:c r="AN195" s="49"/>
      <x:c r="AO195" s="49"/>
      <x:c r="AP195" s="49"/>
      <x:c r="AQ195" s="49"/>
      <x:c r="AR195" s="49"/>
      <x:c r="AS195" s="49"/>
      <x:c r="AT195" s="49"/>
      <x:c r="AU195" s="49"/>
      <x:c r="AV195" s="49"/>
      <x:c r="AW195" s="49"/>
      <x:c r="AX195" s="49"/>
      <x:c r="AY195" s="49"/>
      <x:c r="AZ195" s="49"/>
    </x:row>
    <x:row r="196">
      <x:c r="A196" s="49"/>
      <x:c r="B196" s="49"/>
      <x:c r="C196" s="49"/>
      <x:c r="D196" s="49"/>
      <x:c r="E196" s="49"/>
      <x:c r="F196" s="49"/>
      <x:c r="G196" s="49"/>
      <x:c r="H196" s="49"/>
      <x:c r="I196" s="49"/>
      <x:c r="J196" s="49"/>
      <x:c r="K196" s="49"/>
      <x:c r="L196" s="49"/>
      <x:c r="M196" s="49"/>
      <x:c r="N196" s="49"/>
      <x:c r="O196" s="49"/>
      <x:c r="P196" s="49"/>
      <x:c r="Q196" s="49"/>
      <x:c r="R196" s="49"/>
      <x:c r="S196" s="49"/>
      <x:c r="T196" s="49"/>
      <x:c r="U196" s="49"/>
      <x:c r="V196" s="49"/>
      <x:c r="W196" s="49"/>
      <x:c r="X196" s="49"/>
      <x:c r="Y196" s="49"/>
      <x:c r="Z196" s="49"/>
      <x:c r="AA196" s="49"/>
      <x:c r="AB196" s="49"/>
      <x:c r="AC196" s="49"/>
      <x:c r="AD196" s="49"/>
      <x:c r="AE196" s="49"/>
      <x:c r="AF196" s="49"/>
      <x:c r="AG196" s="49"/>
      <x:c r="AH196" s="49"/>
      <x:c r="AI196" s="49"/>
      <x:c r="AJ196" s="49"/>
      <x:c r="AK196" s="49"/>
      <x:c r="AL196" s="49"/>
      <x:c r="AM196" s="49"/>
      <x:c r="AN196" s="49"/>
      <x:c r="AO196" s="49"/>
      <x:c r="AP196" s="49"/>
      <x:c r="AQ196" s="49"/>
      <x:c r="AR196" s="49"/>
      <x:c r="AS196" s="49"/>
      <x:c r="AT196" s="49"/>
      <x:c r="AU196" s="49"/>
      <x:c r="AV196" s="49"/>
      <x:c r="AW196" s="49"/>
      <x:c r="AX196" s="49"/>
      <x:c r="AY196" s="49"/>
      <x:c r="AZ196" s="49"/>
    </x:row>
    <x:row r="197">
      <x:c r="A197" s="49"/>
      <x:c r="B197" s="49"/>
      <x:c r="C197" s="49"/>
      <x:c r="D197" s="49"/>
      <x:c r="E197" s="49"/>
      <x:c r="F197" s="49"/>
      <x:c r="G197" s="49"/>
      <x:c r="H197" s="49"/>
      <x:c r="I197" s="49"/>
      <x:c r="J197" s="49"/>
      <x:c r="K197" s="49"/>
      <x:c r="L197" s="49"/>
      <x:c r="M197" s="49"/>
      <x:c r="N197" s="49"/>
      <x:c r="O197" s="49"/>
      <x:c r="P197" s="49"/>
      <x:c r="Q197" s="49"/>
      <x:c r="R197" s="49"/>
      <x:c r="S197" s="49"/>
      <x:c r="T197" s="49"/>
      <x:c r="U197" s="49"/>
      <x:c r="V197" s="49"/>
      <x:c r="W197" s="49"/>
      <x:c r="X197" s="49"/>
      <x:c r="Y197" s="49"/>
      <x:c r="Z197" s="49"/>
      <x:c r="AA197" s="49"/>
      <x:c r="AB197" s="49"/>
      <x:c r="AC197" s="49"/>
      <x:c r="AD197" s="49"/>
      <x:c r="AE197" s="49"/>
      <x:c r="AF197" s="49"/>
      <x:c r="AG197" s="49"/>
      <x:c r="AH197" s="49"/>
      <x:c r="AI197" s="49"/>
      <x:c r="AJ197" s="49"/>
      <x:c r="AK197" s="49"/>
      <x:c r="AL197" s="49"/>
      <x:c r="AM197" s="49"/>
      <x:c r="AN197" s="49"/>
      <x:c r="AO197" s="49"/>
      <x:c r="AP197" s="49"/>
      <x:c r="AQ197" s="49"/>
      <x:c r="AR197" s="49"/>
      <x:c r="AS197" s="49"/>
      <x:c r="AT197" s="49"/>
      <x:c r="AU197" s="49"/>
      <x:c r="AV197" s="49"/>
      <x:c r="AW197" s="49"/>
      <x:c r="AX197" s="49"/>
      <x:c r="AY197" s="49"/>
      <x:c r="AZ197" s="49"/>
    </x:row>
    <x:row r="198">
      <x:c r="A198" s="49"/>
      <x:c r="B198" s="49"/>
      <x:c r="C198" s="49"/>
      <x:c r="D198" s="49"/>
      <x:c r="E198" s="49"/>
      <x:c r="F198" s="49"/>
      <x:c r="G198" s="49"/>
      <x:c r="H198" s="49"/>
      <x:c r="I198" s="49"/>
      <x:c r="J198" s="49"/>
      <x:c r="K198" s="49"/>
      <x:c r="L198" s="49"/>
      <x:c r="M198" s="49"/>
      <x:c r="N198" s="49"/>
      <x:c r="O198" s="49"/>
      <x:c r="P198" s="49"/>
      <x:c r="Q198" s="49"/>
      <x:c r="R198" s="49"/>
      <x:c r="S198" s="49"/>
      <x:c r="T198" s="49"/>
      <x:c r="U198" s="49"/>
      <x:c r="V198" s="49"/>
      <x:c r="W198" s="49"/>
      <x:c r="X198" s="49"/>
      <x:c r="Y198" s="49"/>
      <x:c r="Z198" s="49"/>
      <x:c r="AA198" s="49"/>
      <x:c r="AB198" s="49"/>
      <x:c r="AC198" s="49"/>
      <x:c r="AD198" s="49"/>
      <x:c r="AE198" s="49"/>
      <x:c r="AF198" s="49"/>
      <x:c r="AG198" s="49"/>
      <x:c r="AH198" s="49"/>
      <x:c r="AI198" s="49"/>
      <x:c r="AJ198" s="49"/>
      <x:c r="AK198" s="49"/>
      <x:c r="AL198" s="49"/>
      <x:c r="AM198" s="49"/>
      <x:c r="AN198" s="49"/>
      <x:c r="AO198" s="49"/>
      <x:c r="AP198" s="49"/>
      <x:c r="AQ198" s="49"/>
      <x:c r="AR198" s="49"/>
      <x:c r="AS198" s="49"/>
      <x:c r="AT198" s="49"/>
      <x:c r="AU198" s="49"/>
      <x:c r="AV198" s="49"/>
      <x:c r="AW198" s="49"/>
      <x:c r="AX198" s="49"/>
      <x:c r="AY198" s="49"/>
      <x:c r="AZ198" s="49"/>
    </x:row>
    <x:row r="199">
      <x:c r="A199" s="49"/>
      <x:c r="B199" s="49"/>
      <x:c r="C199" s="49"/>
      <x:c r="D199" s="49"/>
      <x:c r="E199" s="49"/>
      <x:c r="F199" s="49"/>
      <x:c r="G199" s="49"/>
      <x:c r="H199" s="49"/>
      <x:c r="I199" s="49"/>
      <x:c r="J199" s="49"/>
      <x:c r="K199" s="49"/>
      <x:c r="L199" s="49"/>
      <x:c r="M199" s="49"/>
      <x:c r="N199" s="49"/>
      <x:c r="O199" s="49"/>
      <x:c r="P199" s="49"/>
      <x:c r="Q199" s="49"/>
      <x:c r="R199" s="49"/>
      <x:c r="S199" s="49"/>
      <x:c r="T199" s="49"/>
      <x:c r="U199" s="49"/>
      <x:c r="V199" s="49"/>
      <x:c r="W199" s="49"/>
      <x:c r="X199" s="49"/>
      <x:c r="Y199" s="49"/>
      <x:c r="Z199" s="49"/>
      <x:c r="AA199" s="49"/>
      <x:c r="AB199" s="49"/>
      <x:c r="AC199" s="49"/>
      <x:c r="AD199" s="49"/>
      <x:c r="AE199" s="49"/>
      <x:c r="AF199" s="49"/>
      <x:c r="AG199" s="49"/>
      <x:c r="AH199" s="49"/>
      <x:c r="AI199" s="49"/>
      <x:c r="AJ199" s="49"/>
      <x:c r="AK199" s="49"/>
      <x:c r="AL199" s="49"/>
      <x:c r="AM199" s="49"/>
      <x:c r="AN199" s="49"/>
      <x:c r="AO199" s="49"/>
      <x:c r="AP199" s="49"/>
      <x:c r="AQ199" s="49"/>
      <x:c r="AR199" s="49"/>
      <x:c r="AS199" s="49"/>
      <x:c r="AT199" s="49"/>
      <x:c r="AU199" s="49"/>
      <x:c r="AV199" s="49"/>
      <x:c r="AW199" s="49"/>
      <x:c r="AX199" s="49"/>
      <x:c r="AY199" s="49"/>
      <x:c r="AZ199" s="49"/>
    </x:row>
    <x:row r="200">
      <x:c r="A200" s="49"/>
      <x:c r="B200" s="49"/>
      <x:c r="C200" s="49"/>
      <x:c r="D200" s="49"/>
      <x:c r="E200" s="49"/>
      <x:c r="F200" s="49"/>
      <x:c r="G200" s="49"/>
      <x:c r="H200" s="49"/>
      <x:c r="I200" s="49"/>
      <x:c r="J200" s="49"/>
      <x:c r="K200" s="49"/>
      <x:c r="L200" s="49"/>
      <x:c r="M200" s="49"/>
      <x:c r="N200" s="49"/>
      <x:c r="O200" s="49"/>
      <x:c r="P200" s="49"/>
      <x:c r="Q200" s="49"/>
      <x:c r="R200" s="49"/>
      <x:c r="S200" s="49"/>
      <x:c r="T200" s="49"/>
      <x:c r="U200" s="49"/>
      <x:c r="V200" s="49"/>
      <x:c r="W200" s="49"/>
      <x:c r="X200" s="49"/>
      <x:c r="Y200" s="49"/>
      <x:c r="Z200" s="49"/>
      <x:c r="AA200" s="49"/>
      <x:c r="AB200" s="49"/>
      <x:c r="AC200" s="49"/>
      <x:c r="AD200" s="49"/>
      <x:c r="AE200" s="49"/>
      <x:c r="AF200" s="49"/>
      <x:c r="AG200" s="49"/>
      <x:c r="AH200" s="49"/>
      <x:c r="AI200" s="49"/>
      <x:c r="AJ200" s="49"/>
      <x:c r="AK200" s="49"/>
      <x:c r="AL200" s="49"/>
      <x:c r="AM200" s="49"/>
      <x:c r="AN200" s="49"/>
      <x:c r="AO200" s="49"/>
      <x:c r="AP200" s="49"/>
      <x:c r="AQ200" s="49"/>
      <x:c r="AR200" s="49"/>
      <x:c r="AS200" s="49"/>
      <x:c r="AT200" s="49"/>
      <x:c r="AU200" s="49"/>
      <x:c r="AV200" s="49"/>
      <x:c r="AW200" s="49"/>
      <x:c r="AX200" s="49"/>
      <x:c r="AY200" s="49"/>
      <x:c r="AZ200" s="49"/>
    </x:row>
  </x:sheetData>
  <x:mergeCells>
    <x:mergeCell ref="A1:O1"/>
    <x:mergeCell ref="A2:O3"/>
  </x:mergeCells>
  <x:conditionalFormatting sqref="K6:K13">
    <x:cfRule type="colorScale" priority="2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conditionalFormatting sqref="G6:G13">
    <x:cfRule type="cellIs" dxfId="0" priority="3" operator="lessThan">
      <x:formula>0.999999</x:formula>
    </x:cfRule>
    <x:cfRule type="cellIs" dxfId="1" priority="4" operator="greaterThanOrEqual">
      <x:formula>0.999999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5" hidden="0" customWidth="1"/>
    <x:col min="3" max="3" width="20" hidden="0" customWidth="1"/>
    <x:col min="4" max="4" width="18" hidden="0" customWidth="1"/>
    <x:col min="5" max="5" width="20" hidden="0" customWidth="1"/>
    <x:col min="6" max="6" width="20" hidden="0" customWidth="1"/>
    <x:col min="7" max="7" width="20" hidden="0" customWidth="1"/>
    <x:col min="8" max="8" width="24" hidden="0" customWidth="1"/>
    <x:col min="9" max="9" width="22" hidden="0" customWidth="1"/>
    <x:col min="11" max="11" width="20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28" customHeight="1">
      <x:c r="A1" s="226" t="str">
        <x:v>Python 基准情景分析</x:v>
      </x:c>
      <x:c r="B1" s="132"/>
      <x:c r="C1" s="132"/>
      <x:c r="D1" s="132"/>
      <x:c r="E1" s="132"/>
      <x:c r="F1" s="132"/>
      <x:c r="G1" s="132"/>
      <x:c r="H1" s="132"/>
      <x:c r="I1" s="132"/>
      <x:c r="J1" s="132"/>
      <x:c r="K1" s="132"/>
      <x:c r="L1" s="49"/>
      <x:c r="M1" s="49"/>
      <x:c r="N1" s="49"/>
      <x:c r="O1" s="49"/>
      <x:c r="P1" s="49"/>
      <x:c r="Q1" s="49"/>
      <x:c r="R1" s="49"/>
      <x:c r="S1" s="49"/>
      <x:c r="T1" s="49"/>
      <x:c r="U1" s="49"/>
      <x:c r="V1" s="49"/>
      <x:c r="W1" s="49"/>
      <x:c r="X1" s="49"/>
      <x:c r="Y1" s="49"/>
      <x:c r="Z1" s="49"/>
      <x:c r="AA1" s="49"/>
      <x:c r="AB1" s="49"/>
      <x:c r="AC1" s="49"/>
      <x:c r="AD1" s="49"/>
      <x:c r="AE1" s="49"/>
      <x:c r="AF1" s="49"/>
      <x:c r="AG1" s="49"/>
      <x:c r="AH1" s="49"/>
      <x:c r="AI1" s="49"/>
      <x:c r="AJ1" s="49"/>
      <x:c r="AK1" s="49"/>
      <x:c r="AL1" s="49"/>
      <x:c r="AM1" s="49"/>
      <x:c r="AN1" s="49"/>
      <x:c r="AO1" s="49"/>
      <x:c r="AP1" s="49"/>
      <x:c r="AQ1" s="49"/>
      <x:c r="AR1" s="49"/>
      <x:c r="AS1" s="49"/>
      <x:c r="AT1" s="49"/>
      <x:c r="AU1" s="49"/>
      <x:c r="AV1" s="49"/>
      <x:c r="AW1" s="49"/>
      <x:c r="AX1" s="49"/>
      <x:c r="AY1" s="49"/>
      <x:c r="AZ1" s="49"/>
    </x:row>
    <x:row r="2" ht="22" customHeight="1">
      <x:c r="A2" s="45" t="str">
        <x:v>由 Python 分析流水线生成的参考结果；本页不随 Excel 动态选择器变化。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9"/>
      <x:c r="M2" s="49"/>
      <x:c r="N2" s="49"/>
      <x:c r="O2" s="49"/>
      <x:c r="P2" s="49"/>
      <x:c r="Q2" s="49"/>
      <x:c r="R2" s="49"/>
      <x:c r="S2" s="49"/>
      <x:c r="T2" s="49"/>
      <x:c r="U2" s="49"/>
      <x:c r="V2" s="49"/>
      <x:c r="W2" s="49"/>
      <x:c r="X2" s="49"/>
      <x:c r="Y2" s="49"/>
      <x:c r="Z2" s="49"/>
      <x:c r="AA2" s="49"/>
      <x:c r="AB2" s="49"/>
      <x:c r="AC2" s="49"/>
      <x:c r="AD2" s="49"/>
      <x:c r="AE2" s="49"/>
      <x:c r="AF2" s="49"/>
      <x:c r="AG2" s="49"/>
      <x:c r="AH2" s="49"/>
      <x:c r="AI2" s="49"/>
      <x:c r="AJ2" s="49"/>
      <x:c r="AK2" s="49"/>
      <x:c r="AL2" s="49"/>
      <x:c r="AM2" s="49"/>
      <x:c r="AN2" s="49"/>
      <x:c r="AO2" s="49"/>
      <x:c r="AP2" s="49"/>
      <x:c r="AQ2" s="49"/>
      <x:c r="AR2" s="49"/>
      <x:c r="AS2" s="49"/>
      <x:c r="AT2" s="49"/>
      <x:c r="AU2" s="49"/>
      <x:c r="AV2" s="49"/>
      <x:c r="AW2" s="49"/>
      <x:c r="AX2" s="49"/>
      <x:c r="AY2" s="49"/>
      <x:c r="AZ2" s="49"/>
    </x:row>
    <x:row r="3" ht="22" customHeight="1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9"/>
      <x:c r="M3" s="49"/>
      <x:c r="N3" s="49"/>
      <x:c r="O3" s="49"/>
      <x:c r="P3" s="49"/>
      <x:c r="Q3" s="49"/>
      <x:c r="R3" s="49"/>
      <x:c r="S3" s="49"/>
      <x:c r="T3" s="49"/>
      <x:c r="U3" s="49"/>
      <x:c r="V3" s="49"/>
      <x:c r="W3" s="49"/>
      <x:c r="X3" s="49"/>
      <x:c r="Y3" s="49"/>
      <x:c r="Z3" s="49"/>
      <x:c r="AA3" s="49"/>
      <x:c r="AB3" s="49"/>
      <x:c r="AC3" s="49"/>
      <x:c r="AD3" s="49"/>
      <x:c r="AE3" s="49"/>
      <x:c r="AF3" s="49"/>
      <x:c r="AG3" s="49"/>
      <x:c r="AH3" s="49"/>
      <x:c r="AI3" s="49"/>
      <x:c r="AJ3" s="49"/>
      <x:c r="AK3" s="49"/>
      <x:c r="AL3" s="49"/>
      <x:c r="AM3" s="49"/>
      <x:c r="AN3" s="49"/>
      <x:c r="AO3" s="49"/>
      <x:c r="AP3" s="49"/>
      <x:c r="AQ3" s="49"/>
      <x:c r="AR3" s="49"/>
      <x:c r="AS3" s="49"/>
      <x:c r="AT3" s="49"/>
      <x:c r="AU3" s="49"/>
      <x:c r="AV3" s="49"/>
      <x:c r="AW3" s="49"/>
      <x:c r="AX3" s="49"/>
      <x:c r="AY3" s="49"/>
      <x:c r="AZ3" s="49"/>
    </x:row>
    <x:row r="4">
      <x:c r="A4" s="49"/>
      <x:c r="B4" s="49"/>
      <x:c r="C4" s="49"/>
      <x:c r="D4" s="49"/>
      <x:c r="E4" s="49"/>
      <x:c r="F4" s="49"/>
      <x:c r="G4" s="49"/>
      <x:c r="H4" s="49"/>
      <x:c r="I4" s="49"/>
      <x:c r="J4" s="49"/>
      <x:c r="K4" s="49"/>
      <x:c r="L4" s="49"/>
      <x:c r="M4" s="49"/>
      <x:c r="N4" s="49"/>
      <x:c r="O4" s="49"/>
      <x:c r="P4" s="49"/>
      <x:c r="Q4" s="49"/>
      <x:c r="R4" s="49"/>
      <x:c r="S4" s="49"/>
      <x:c r="T4" s="49"/>
      <x:c r="U4" s="49"/>
      <x:c r="V4" s="49"/>
      <x:c r="W4" s="49"/>
      <x:c r="X4" s="49"/>
      <x:c r="Y4" s="49"/>
      <x:c r="Z4" s="49"/>
      <x:c r="AA4" s="49"/>
      <x:c r="AB4" s="49"/>
      <x:c r="AC4" s="49"/>
      <x:c r="AD4" s="49"/>
      <x:c r="AE4" s="49"/>
      <x:c r="AF4" s="49"/>
      <x:c r="AG4" s="49"/>
      <x:c r="AH4" s="49"/>
      <x:c r="AI4" s="49"/>
      <x:c r="AJ4" s="49"/>
      <x:c r="AK4" s="49"/>
      <x:c r="AL4" s="49"/>
      <x:c r="AM4" s="49"/>
      <x:c r="AN4" s="49"/>
      <x:c r="AO4" s="49"/>
      <x:c r="AP4" s="49"/>
      <x:c r="AQ4" s="49"/>
      <x:c r="AR4" s="49"/>
      <x:c r="AS4" s="49"/>
      <x:c r="AT4" s="49"/>
      <x:c r="AU4" s="49"/>
      <x:c r="AV4" s="49"/>
      <x:c r="AW4" s="49"/>
      <x:c r="AX4" s="49"/>
      <x:c r="AY4" s="49"/>
      <x:c r="AZ4" s="49"/>
    </x:row>
    <x:row r="5">
      <x:c r="A5" s="144" t="str">
        <x:v>情景</x:v>
      </x:c>
      <x:c r="B5" s="144" t="str">
        <x:v>策略</x:v>
      </x:c>
      <x:c r="C5" s="144" t="str">
        <x:v>年度采购成本(CNY)</x:v>
      </x:c>
      <x:c r="D5" s="144" t="str">
        <x:v>平均物料覆盖率</x:v>
      </x:c>
      <x:c r="E5" s="144" t="str">
        <x:v>平均物料缺口率</x:v>
      </x:c>
      <x:c r="F5" s="144" t="str">
        <x:v>缺货物料数</x:v>
      </x:c>
      <x:c r="G5" s="144" t="str">
        <x:v>最大物料缺口率</x:v>
      </x:c>
      <x:c r="H5" s="144" t="str">
        <x:v>成本加权供应风险(0-100)</x:v>
      </x:c>
      <x:c r="I5" s="144" t="str">
        <x:v>平均供应商集中度 HHI</x:v>
      </x:c>
      <x:c r="J5" s="49"/>
      <x:c r="K5" s="144" t="str">
        <x:v>情景</x:v>
      </x:c>
      <x:c r="L5" s="144" t="str">
        <x:v>最低成本</x:v>
      </x:c>
      <x:c r="M5" s="144" t="str">
        <x:v>均衡</x:v>
      </x:c>
      <x:c r="N5" s="144" t="str">
        <x:v>韧性优先</x:v>
      </x:c>
      <x:c r="O5" s="49"/>
      <x:c r="P5" s="49"/>
      <x:c r="Q5" s="49"/>
      <x:c r="R5" s="49"/>
      <x:c r="S5" s="49"/>
      <x:c r="T5" s="49"/>
      <x:c r="U5" s="49"/>
      <x:c r="V5" s="49"/>
      <x:c r="W5" s="49"/>
      <x:c r="X5" s="49"/>
      <x:c r="Y5" s="49"/>
      <x:c r="Z5" s="49"/>
      <x:c r="AA5" s="49"/>
      <x:c r="AB5" s="49"/>
      <x:c r="AC5" s="49"/>
      <x:c r="AD5" s="49"/>
      <x:c r="AE5" s="49"/>
      <x:c r="AF5" s="49"/>
      <x:c r="AG5" s="49"/>
      <x:c r="AH5" s="49"/>
      <x:c r="AI5" s="49"/>
      <x:c r="AJ5" s="49"/>
      <x:c r="AK5" s="49"/>
      <x:c r="AL5" s="49"/>
      <x:c r="AM5" s="49"/>
      <x:c r="AN5" s="49"/>
      <x:c r="AO5" s="49"/>
      <x:c r="AP5" s="49"/>
      <x:c r="AQ5" s="49"/>
      <x:c r="AR5" s="49"/>
      <x:c r="AS5" s="49"/>
      <x:c r="AT5" s="49"/>
      <x:c r="AU5" s="49"/>
      <x:c r="AV5" s="49"/>
      <x:c r="AW5" s="49"/>
      <x:c r="AX5" s="49"/>
      <x:c r="AY5" s="49"/>
      <x:c r="AZ5" s="49"/>
    </x:row>
    <x:row r="6">
      <x:c r="A6" s="49" t="str">
        <x:v>基准</x:v>
      </x:c>
      <x:c r="B6" s="49" t="str">
        <x:v>最低成本</x:v>
      </x:c>
      <x:c r="C6" s="175" t="n">
        <x:v>168632392.0287443</x:v>
      </x:c>
      <x:c r="D6" s="214" t="n">
        <x:v>1</x:v>
      </x:c>
      <x:c r="E6" s="214" t="n">
        <x:v>0</x:v>
      </x:c>
      <x:c r="F6" s="49" t="n">
        <x:v>0</x:v>
      </x:c>
      <x:c r="G6" s="214" t="n">
        <x:v>0</x:v>
      </x:c>
      <x:c r="H6" s="216" t="n">
        <x:v>39.09624563374628</x:v>
      </x:c>
      <x:c r="I6" s="217" t="n">
        <x:v>0.8029217776104862</x:v>
      </x:c>
      <x:c r="J6" s="49"/>
      <x:c r="K6" s="49" t="str">
        <x:v>基准</x:v>
      </x:c>
      <x:c r="L6" s="216" t="n">
        <x:v>168.6323920287443</x:v>
      </x:c>
      <x:c r="M6" s="216" t="n">
        <x:v>171.5282066714528</x:v>
      </x:c>
      <x:c r="N6" s="216" t="n">
        <x:v>175.35069190903437</x:v>
      </x:c>
      <x:c r="O6" s="49"/>
      <x:c r="P6" s="49"/>
      <x:c r="Q6" s="49"/>
      <x:c r="R6" s="49"/>
      <x:c r="S6" s="49"/>
      <x:c r="T6" s="49"/>
      <x:c r="U6" s="49"/>
      <x:c r="V6" s="49"/>
      <x:c r="W6" s="49"/>
      <x:c r="X6" s="49"/>
      <x:c r="Y6" s="49"/>
      <x:c r="Z6" s="49"/>
      <x:c r="AA6" s="49"/>
      <x:c r="AB6" s="49"/>
      <x:c r="AC6" s="49"/>
      <x:c r="AD6" s="49"/>
      <x:c r="AE6" s="49"/>
      <x:c r="AF6" s="49"/>
      <x:c r="AG6" s="49"/>
      <x:c r="AH6" s="49"/>
      <x:c r="AI6" s="49"/>
      <x:c r="AJ6" s="49"/>
      <x:c r="AK6" s="49"/>
      <x:c r="AL6" s="49"/>
      <x:c r="AM6" s="49"/>
      <x:c r="AN6" s="49"/>
      <x:c r="AO6" s="49"/>
      <x:c r="AP6" s="49"/>
      <x:c r="AQ6" s="49"/>
      <x:c r="AR6" s="49"/>
      <x:c r="AS6" s="49"/>
      <x:c r="AT6" s="49"/>
      <x:c r="AU6" s="49"/>
      <x:c r="AV6" s="49"/>
      <x:c r="AW6" s="49"/>
      <x:c r="AX6" s="49"/>
      <x:c r="AY6" s="49"/>
      <x:c r="AZ6" s="49"/>
    </x:row>
    <x:row r="7">
      <x:c r="A7" s="49" t="str">
        <x:v>基准</x:v>
      </x:c>
      <x:c r="B7" s="49" t="str">
        <x:v>均衡</x:v>
      </x:c>
      <x:c r="C7" s="175" t="n">
        <x:v>171528206.67145282</x:v>
      </x:c>
      <x:c r="D7" s="214" t="n">
        <x:v>1</x:v>
      </x:c>
      <x:c r="E7" s="214" t="n">
        <x:v>0</x:v>
      </x:c>
      <x:c r="F7" s="49" t="n">
        <x:v>0</x:v>
      </x:c>
      <x:c r="G7" s="214" t="n">
        <x:v>0</x:v>
      </x:c>
      <x:c r="H7" s="216" t="n">
        <x:v>33.84806625309004</x:v>
      </x:c>
      <x:c r="I7" s="217" t="n">
        <x:v>0.6198281678438408</x:v>
      </x:c>
      <x:c r="J7" s="49"/>
      <x:c r="K7" s="49" t="str">
        <x:v>需求上升</x:v>
      </x:c>
      <x:c r="L7" s="216" t="n">
        <x:v>203.429293712068</x:v>
      </x:c>
      <x:c r="M7" s="216" t="n">
        <x:v>205.39914876032927</x:v>
      </x:c>
      <x:c r="N7" s="216" t="n">
        <x:v>210.42083029084122</x:v>
      </x:c>
      <x:c r="O7" s="49"/>
      <x:c r="P7" s="49"/>
      <x:c r="Q7" s="49"/>
      <x:c r="R7" s="49"/>
      <x:c r="S7" s="49"/>
      <x:c r="T7" s="49"/>
      <x:c r="U7" s="49"/>
      <x:c r="V7" s="49"/>
      <x:c r="W7" s="49"/>
      <x:c r="X7" s="49"/>
      <x:c r="Y7" s="49"/>
      <x:c r="Z7" s="49"/>
      <x:c r="AA7" s="49"/>
      <x:c r="AB7" s="49"/>
      <x:c r="AC7" s="49"/>
      <x:c r="AD7" s="49"/>
      <x:c r="AE7" s="49"/>
      <x:c r="AF7" s="49"/>
      <x:c r="AG7" s="49"/>
      <x:c r="AH7" s="49"/>
      <x:c r="AI7" s="49"/>
      <x:c r="AJ7" s="49"/>
      <x:c r="AK7" s="49"/>
      <x:c r="AL7" s="49"/>
      <x:c r="AM7" s="49"/>
      <x:c r="AN7" s="49"/>
      <x:c r="AO7" s="49"/>
      <x:c r="AP7" s="49"/>
      <x:c r="AQ7" s="49"/>
      <x:c r="AR7" s="49"/>
      <x:c r="AS7" s="49"/>
      <x:c r="AT7" s="49"/>
      <x:c r="AU7" s="49"/>
      <x:c r="AV7" s="49"/>
      <x:c r="AW7" s="49"/>
      <x:c r="AX7" s="49"/>
      <x:c r="AY7" s="49"/>
      <x:c r="AZ7" s="49"/>
    </x:row>
    <x:row r="8">
      <x:c r="A8" s="49" t="str">
        <x:v>基准</x:v>
      </x:c>
      <x:c r="B8" s="49" t="str">
        <x:v>韧性优先</x:v>
      </x:c>
      <x:c r="C8" s="175" t="n">
        <x:v>175350691.90903437</x:v>
      </x:c>
      <x:c r="D8" s="214" t="n">
        <x:v>1</x:v>
      </x:c>
      <x:c r="E8" s="214" t="n">
        <x:v>0</x:v>
      </x:c>
      <x:c r="F8" s="49" t="n">
        <x:v>0</x:v>
      </x:c>
      <x:c r="G8" s="214" t="n">
        <x:v>0</x:v>
      </x:c>
      <x:c r="H8" s="216" t="n">
        <x:v>30.6813044957338</x:v>
      </x:c>
      <x:c r="I8" s="217" t="n">
        <x:v>0.52</x:v>
      </x:c>
      <x:c r="J8" s="49"/>
      <x:c r="K8" s="49" t="str">
        <x:v>成本压力</x:v>
      </x:c>
      <x:c r="L8" s="216" t="n">
        <x:v>185.49563123161877</x:v>
      </x:c>
      <x:c r="M8" s="216" t="n">
        <x:v>188.6810273385981</x:v>
      </x:c>
      <x:c r="N8" s="216" t="n">
        <x:v>192.88576109993787</x:v>
      </x:c>
      <x:c r="O8" s="49"/>
      <x:c r="P8" s="49"/>
      <x:c r="Q8" s="49"/>
      <x:c r="R8" s="49"/>
      <x:c r="S8" s="49"/>
      <x:c r="T8" s="49"/>
      <x:c r="U8" s="49"/>
      <x:c r="V8" s="49"/>
      <x:c r="W8" s="49"/>
      <x:c r="X8" s="49"/>
      <x:c r="Y8" s="49"/>
      <x:c r="Z8" s="49"/>
      <x:c r="AA8" s="49"/>
      <x:c r="AB8" s="49"/>
      <x:c r="AC8" s="49"/>
      <x:c r="AD8" s="49"/>
      <x:c r="AE8" s="49"/>
      <x:c r="AF8" s="49"/>
      <x:c r="AG8" s="49"/>
      <x:c r="AH8" s="49"/>
      <x:c r="AI8" s="49"/>
      <x:c r="AJ8" s="49"/>
      <x:c r="AK8" s="49"/>
      <x:c r="AL8" s="49"/>
      <x:c r="AM8" s="49"/>
      <x:c r="AN8" s="49"/>
      <x:c r="AO8" s="49"/>
      <x:c r="AP8" s="49"/>
      <x:c r="AQ8" s="49"/>
      <x:c r="AR8" s="49"/>
      <x:c r="AS8" s="49"/>
      <x:c r="AT8" s="49"/>
      <x:c r="AU8" s="49"/>
      <x:c r="AV8" s="49"/>
      <x:c r="AW8" s="49"/>
      <x:c r="AX8" s="49"/>
      <x:c r="AY8" s="49"/>
      <x:c r="AZ8" s="49"/>
    </x:row>
    <x:row r="9">
      <x:c r="A9" s="49" t="str">
        <x:v>需求上升</x:v>
      </x:c>
      <x:c r="B9" s="49" t="str">
        <x:v>最低成本</x:v>
      </x:c>
      <x:c r="C9" s="175" t="n">
        <x:v>203429293.712068</x:v>
      </x:c>
      <x:c r="D9" s="214" t="n">
        <x:v>1</x:v>
      </x:c>
      <x:c r="E9" s="214" t="n">
        <x:v>0</x:v>
      </x:c>
      <x:c r="F9" s="49" t="n">
        <x:v>0</x:v>
      </x:c>
      <x:c r="G9" s="214" t="n">
        <x:v>0</x:v>
      </x:c>
      <x:c r="H9" s="216" t="n">
        <x:v>37.96600660338611</x:v>
      </x:c>
      <x:c r="I9" s="217" t="n">
        <x:v>0.6245148441416434</x:v>
      </x:c>
      <x:c r="J9" s="49"/>
      <x:c r="K9" s="49" t="str">
        <x:v>供应中断</x:v>
      </x:c>
      <x:c r="L9" s="216" t="n">
        <x:v>170.27405102185304</x:v>
      </x:c>
      <x:c r="M9" s="216" t="n">
        <x:v>171.070363346</x:v>
      </x:c>
      <x:c r="N9" s="216" t="n">
        <x:v>175.1004216776521</x:v>
      </x:c>
      <x:c r="O9" s="49"/>
      <x:c r="P9" s="49"/>
      <x:c r="Q9" s="49"/>
      <x:c r="R9" s="49"/>
      <x:c r="S9" s="49"/>
      <x:c r="T9" s="49"/>
      <x:c r="U9" s="49"/>
      <x:c r="V9" s="49"/>
      <x:c r="W9" s="49"/>
      <x:c r="X9" s="49"/>
      <x:c r="Y9" s="49"/>
      <x:c r="Z9" s="49"/>
      <x:c r="AA9" s="49"/>
      <x:c r="AB9" s="49"/>
      <x:c r="AC9" s="49"/>
      <x:c r="AD9" s="49"/>
      <x:c r="AE9" s="49"/>
      <x:c r="AF9" s="49"/>
      <x:c r="AG9" s="49"/>
      <x:c r="AH9" s="49"/>
      <x:c r="AI9" s="49"/>
      <x:c r="AJ9" s="49"/>
      <x:c r="AK9" s="49"/>
      <x:c r="AL9" s="49"/>
      <x:c r="AM9" s="49"/>
      <x:c r="AN9" s="49"/>
      <x:c r="AO9" s="49"/>
      <x:c r="AP9" s="49"/>
      <x:c r="AQ9" s="49"/>
      <x:c r="AR9" s="49"/>
      <x:c r="AS9" s="49"/>
      <x:c r="AT9" s="49"/>
      <x:c r="AU9" s="49"/>
      <x:c r="AV9" s="49"/>
      <x:c r="AW9" s="49"/>
      <x:c r="AX9" s="49"/>
      <x:c r="AY9" s="49"/>
      <x:c r="AZ9" s="49"/>
    </x:row>
    <x:row r="10">
      <x:c r="A10" s="49" t="str">
        <x:v>需求上升</x:v>
      </x:c>
      <x:c r="B10" s="49" t="str">
        <x:v>均衡</x:v>
      </x:c>
      <x:c r="C10" s="175" t="n">
        <x:v>205399148.76032928</x:v>
      </x:c>
      <x:c r="D10" s="214" t="n">
        <x:v>1</x:v>
      </x:c>
      <x:c r="E10" s="214" t="n">
        <x:v>0</x:v>
      </x:c>
      <x:c r="F10" s="49" t="n">
        <x:v>0</x:v>
      </x:c>
      <x:c r="G10" s="214" t="n">
        <x:v>0</x:v>
      </x:c>
      <x:c r="H10" s="216" t="n">
        <x:v>34.690574556262035</x:v>
      </x:c>
      <x:c r="I10" s="217" t="n">
        <x:v>0.5931226261487018</x:v>
      </x:c>
      <x:c r="J10" s="49"/>
      <x:c r="K10" s="49" t="str">
        <x:v>汇率冲击</x:v>
      </x:c>
      <x:c r="L10" s="216" t="n">
        <x:v>177.6549806484996</x:v>
      </x:c>
      <x:c r="M10" s="216" t="n">
        <x:v>180.09618707302337</x:v>
      </x:c>
      <x:c r="N10" s="216" t="n">
        <x:v>188.4122654516601</x:v>
      </x:c>
      <x:c r="O10" s="49"/>
      <x:c r="P10" s="49"/>
      <x:c r="Q10" s="49"/>
      <x:c r="R10" s="49"/>
      <x:c r="S10" s="49"/>
      <x:c r="T10" s="49"/>
      <x:c r="U10" s="49"/>
      <x:c r="V10" s="49"/>
      <x:c r="W10" s="49"/>
      <x:c r="X10" s="49"/>
      <x:c r="Y10" s="49"/>
      <x:c r="Z10" s="49"/>
      <x:c r="AA10" s="49"/>
      <x:c r="AB10" s="49"/>
      <x:c r="AC10" s="49"/>
      <x:c r="AD10" s="49"/>
      <x:c r="AE10" s="49"/>
      <x:c r="AF10" s="49"/>
      <x:c r="AG10" s="49"/>
      <x:c r="AH10" s="49"/>
      <x:c r="AI10" s="49"/>
      <x:c r="AJ10" s="49"/>
      <x:c r="AK10" s="49"/>
      <x:c r="AL10" s="49"/>
      <x:c r="AM10" s="49"/>
      <x:c r="AN10" s="49"/>
      <x:c r="AO10" s="49"/>
      <x:c r="AP10" s="49"/>
      <x:c r="AQ10" s="49"/>
      <x:c r="AR10" s="49"/>
      <x:c r="AS10" s="49"/>
      <x:c r="AT10" s="49"/>
      <x:c r="AU10" s="49"/>
      <x:c r="AV10" s="49"/>
      <x:c r="AW10" s="49"/>
      <x:c r="AX10" s="49"/>
      <x:c r="AY10" s="49"/>
      <x:c r="AZ10" s="49"/>
    </x:row>
    <x:row r="11">
      <x:c r="A11" s="49" t="str">
        <x:v>需求上升</x:v>
      </x:c>
      <x:c r="B11" s="49" t="str">
        <x:v>韧性优先</x:v>
      </x:c>
      <x:c r="C11" s="175" t="n">
        <x:v>210420830.29084122</x:v>
      </x:c>
      <x:c r="D11" s="214" t="n">
        <x:v>1</x:v>
      </x:c>
      <x:c r="E11" s="214" t="n">
        <x:v>0</x:v>
      </x:c>
      <x:c r="F11" s="49" t="n">
        <x:v>0</x:v>
      </x:c>
      <x:c r="G11" s="214" t="n">
        <x:v>0</x:v>
      </x:c>
      <x:c r="H11" s="216" t="n">
        <x:v>30.681304495733812</x:v>
      </x:c>
      <x:c r="I11" s="217" t="n">
        <x:v>0.52</x:v>
      </x:c>
      <x:c r="J11" s="49"/>
      <x:c r="K11" s="49"/>
      <x:c r="L11" s="49"/>
      <x:c r="M11" s="49"/>
      <x:c r="N11" s="49"/>
      <x:c r="O11" s="49"/>
      <x:c r="P11" s="49"/>
      <x:c r="Q11" s="49"/>
      <x:c r="R11" s="49"/>
      <x:c r="S11" s="49"/>
      <x:c r="T11" s="49"/>
      <x:c r="U11" s="49"/>
      <x:c r="V11" s="49"/>
      <x:c r="W11" s="49"/>
      <x:c r="X11" s="49"/>
      <x:c r="Y11" s="49"/>
      <x:c r="Z11" s="49"/>
      <x:c r="AA11" s="49"/>
      <x:c r="AB11" s="49"/>
      <x:c r="AC11" s="49"/>
      <x:c r="AD11" s="49"/>
      <x:c r="AE11" s="49"/>
      <x:c r="AF11" s="49"/>
      <x:c r="AG11" s="49"/>
      <x:c r="AH11" s="49"/>
      <x:c r="AI11" s="49"/>
      <x:c r="AJ11" s="49"/>
      <x:c r="AK11" s="49"/>
      <x:c r="AL11" s="49"/>
      <x:c r="AM11" s="49"/>
      <x:c r="AN11" s="49"/>
      <x:c r="AO11" s="49"/>
      <x:c r="AP11" s="49"/>
      <x:c r="AQ11" s="49"/>
      <x:c r="AR11" s="49"/>
      <x:c r="AS11" s="49"/>
      <x:c r="AT11" s="49"/>
      <x:c r="AU11" s="49"/>
      <x:c r="AV11" s="49"/>
      <x:c r="AW11" s="49"/>
      <x:c r="AX11" s="49"/>
      <x:c r="AY11" s="49"/>
      <x:c r="AZ11" s="49"/>
    </x:row>
    <x:row r="12">
      <x:c r="A12" s="49" t="str">
        <x:v>成本压力</x:v>
      </x:c>
      <x:c r="B12" s="49" t="str">
        <x:v>最低成本</x:v>
      </x:c>
      <x:c r="C12" s="175" t="n">
        <x:v>185495631.23161876</x:v>
      </x:c>
      <x:c r="D12" s="214" t="n">
        <x:v>1</x:v>
      </x:c>
      <x:c r="E12" s="214" t="n">
        <x:v>0</x:v>
      </x:c>
      <x:c r="F12" s="49" t="n">
        <x:v>0</x:v>
      </x:c>
      <x:c r="G12" s="214" t="n">
        <x:v>0</x:v>
      </x:c>
      <x:c r="H12" s="216" t="n">
        <x:v>39.09624563374627</x:v>
      </x:c>
      <x:c r="I12" s="217" t="n">
        <x:v>0.8029217776104862</x:v>
      </x:c>
      <x:c r="J12" s="49"/>
      <x:c r="K12" s="144" t="str">
        <x:v>情景</x:v>
      </x:c>
      <x:c r="L12" s="144" t="str">
        <x:v>最低成本</x:v>
      </x:c>
      <x:c r="M12" s="144" t="str">
        <x:v>均衡</x:v>
      </x:c>
      <x:c r="N12" s="144" t="str">
        <x:v>韧性优先</x:v>
      </x:c>
      <x:c r="O12" s="49"/>
      <x:c r="P12" s="49"/>
      <x:c r="Q12" s="49"/>
      <x:c r="R12" s="49"/>
      <x:c r="S12" s="49"/>
      <x:c r="T12" s="49"/>
      <x:c r="U12" s="49"/>
      <x:c r="V12" s="49"/>
      <x:c r="W12" s="49"/>
      <x:c r="X12" s="49"/>
      <x:c r="Y12" s="49"/>
      <x:c r="Z12" s="49"/>
      <x:c r="AA12" s="49"/>
      <x:c r="AB12" s="49"/>
      <x:c r="AC12" s="49"/>
      <x:c r="AD12" s="49"/>
      <x:c r="AE12" s="49"/>
      <x:c r="AF12" s="49"/>
      <x:c r="AG12" s="49"/>
      <x:c r="AH12" s="49"/>
      <x:c r="AI12" s="49"/>
      <x:c r="AJ12" s="49"/>
      <x:c r="AK12" s="49"/>
      <x:c r="AL12" s="49"/>
      <x:c r="AM12" s="49"/>
      <x:c r="AN12" s="49"/>
      <x:c r="AO12" s="49"/>
      <x:c r="AP12" s="49"/>
      <x:c r="AQ12" s="49"/>
      <x:c r="AR12" s="49"/>
      <x:c r="AS12" s="49"/>
      <x:c r="AT12" s="49"/>
      <x:c r="AU12" s="49"/>
      <x:c r="AV12" s="49"/>
      <x:c r="AW12" s="49"/>
      <x:c r="AX12" s="49"/>
      <x:c r="AY12" s="49"/>
      <x:c r="AZ12" s="49"/>
    </x:row>
    <x:row r="13">
      <x:c r="A13" s="49" t="str">
        <x:v>成本压力</x:v>
      </x:c>
      <x:c r="B13" s="49" t="str">
        <x:v>均衡</x:v>
      </x:c>
      <x:c r="C13" s="175" t="n">
        <x:v>188681027.3385981</x:v>
      </x:c>
      <x:c r="D13" s="214" t="n">
        <x:v>1</x:v>
      </x:c>
      <x:c r="E13" s="214" t="n">
        <x:v>0</x:v>
      </x:c>
      <x:c r="F13" s="49" t="n">
        <x:v>0</x:v>
      </x:c>
      <x:c r="G13" s="214" t="n">
        <x:v>0</x:v>
      </x:c>
      <x:c r="H13" s="216" t="n">
        <x:v>33.848066253090046</x:v>
      </x:c>
      <x:c r="I13" s="217" t="n">
        <x:v>0.6198281678438408</x:v>
      </x:c>
      <x:c r="J13" s="49"/>
      <x:c r="K13" s="49" t="str">
        <x:v>基准</x:v>
      </x:c>
      <x:c r="L13" s="216" t="n">
        <x:v>39.09624563374628</x:v>
      </x:c>
      <x:c r="M13" s="216" t="n">
        <x:v>33.84806625309004</x:v>
      </x:c>
      <x:c r="N13" s="216" t="n">
        <x:v>30.6813044957338</x:v>
      </x:c>
      <x:c r="O13" s="49"/>
      <x:c r="P13" s="49"/>
      <x:c r="Q13" s="49"/>
      <x:c r="R13" s="49"/>
      <x:c r="S13" s="49"/>
      <x:c r="T13" s="49"/>
      <x:c r="U13" s="49"/>
      <x:c r="V13" s="49"/>
      <x:c r="W13" s="49"/>
      <x:c r="X13" s="49"/>
      <x:c r="Y13" s="49"/>
      <x:c r="Z13" s="49"/>
      <x:c r="AA13" s="49"/>
      <x:c r="AB13" s="49"/>
      <x:c r="AC13" s="49"/>
      <x:c r="AD13" s="49"/>
      <x:c r="AE13" s="49"/>
      <x:c r="AF13" s="49"/>
      <x:c r="AG13" s="49"/>
      <x:c r="AH13" s="49"/>
      <x:c r="AI13" s="49"/>
      <x:c r="AJ13" s="49"/>
      <x:c r="AK13" s="49"/>
      <x:c r="AL13" s="49"/>
      <x:c r="AM13" s="49"/>
      <x:c r="AN13" s="49"/>
      <x:c r="AO13" s="49"/>
      <x:c r="AP13" s="49"/>
      <x:c r="AQ13" s="49"/>
      <x:c r="AR13" s="49"/>
      <x:c r="AS13" s="49"/>
      <x:c r="AT13" s="49"/>
      <x:c r="AU13" s="49"/>
      <x:c r="AV13" s="49"/>
      <x:c r="AW13" s="49"/>
      <x:c r="AX13" s="49"/>
      <x:c r="AY13" s="49"/>
      <x:c r="AZ13" s="49"/>
    </x:row>
    <x:row r="14">
      <x:c r="A14" s="49" t="str">
        <x:v>成本压力</x:v>
      </x:c>
      <x:c r="B14" s="49" t="str">
        <x:v>韧性优先</x:v>
      </x:c>
      <x:c r="C14" s="175" t="n">
        <x:v>192885761.09993786</x:v>
      </x:c>
      <x:c r="D14" s="214" t="n">
        <x:v>1</x:v>
      </x:c>
      <x:c r="E14" s="214" t="n">
        <x:v>0</x:v>
      </x:c>
      <x:c r="F14" s="49" t="n">
        <x:v>0</x:v>
      </x:c>
      <x:c r="G14" s="214" t="n">
        <x:v>0</x:v>
      </x:c>
      <x:c r="H14" s="216" t="n">
        <x:v>30.681304495733794</x:v>
      </x:c>
      <x:c r="I14" s="217" t="n">
        <x:v>0.52</x:v>
      </x:c>
      <x:c r="J14" s="49"/>
      <x:c r="K14" s="49" t="str">
        <x:v>需求上升</x:v>
      </x:c>
      <x:c r="L14" s="216" t="n">
        <x:v>37.96600660338611</x:v>
      </x:c>
      <x:c r="M14" s="216" t="n">
        <x:v>34.690574556262035</x:v>
      </x:c>
      <x:c r="N14" s="216" t="n">
        <x:v>30.681304495733812</x:v>
      </x:c>
      <x:c r="O14" s="49"/>
      <x:c r="P14" s="49"/>
      <x:c r="Q14" s="49"/>
      <x:c r="R14" s="49"/>
      <x:c r="S14" s="49"/>
      <x:c r="T14" s="49"/>
      <x:c r="U14" s="49"/>
      <x:c r="V14" s="49"/>
      <x:c r="W14" s="49"/>
      <x:c r="X14" s="49"/>
      <x:c r="Y14" s="49"/>
      <x:c r="Z14" s="49"/>
      <x:c r="AA14" s="49"/>
      <x:c r="AB14" s="49"/>
      <x:c r="AC14" s="49"/>
      <x:c r="AD14" s="49"/>
      <x:c r="AE14" s="49"/>
      <x:c r="AF14" s="49"/>
      <x:c r="AG14" s="49"/>
      <x:c r="AH14" s="49"/>
      <x:c r="AI14" s="49"/>
      <x:c r="AJ14" s="49"/>
      <x:c r="AK14" s="49"/>
      <x:c r="AL14" s="49"/>
      <x:c r="AM14" s="49"/>
      <x:c r="AN14" s="49"/>
      <x:c r="AO14" s="49"/>
      <x:c r="AP14" s="49"/>
      <x:c r="AQ14" s="49"/>
      <x:c r="AR14" s="49"/>
      <x:c r="AS14" s="49"/>
      <x:c r="AT14" s="49"/>
      <x:c r="AU14" s="49"/>
      <x:c r="AV14" s="49"/>
      <x:c r="AW14" s="49"/>
      <x:c r="AX14" s="49"/>
      <x:c r="AY14" s="49"/>
      <x:c r="AZ14" s="49"/>
    </x:row>
    <x:row r="15">
      <x:c r="A15" s="49" t="str">
        <x:v>供应中断</x:v>
      </x:c>
      <x:c r="B15" s="49" t="str">
        <x:v>最低成本</x:v>
      </x:c>
      <x:c r="C15" s="175" t="n">
        <x:v>170274051.02185303</x:v>
      </x:c>
      <x:c r="D15" s="214" t="n">
        <x:v>1</x:v>
      </x:c>
      <x:c r="E15" s="214" t="n">
        <x:v>0</x:v>
      </x:c>
      <x:c r="F15" s="49" t="n">
        <x:v>0</x:v>
      </x:c>
      <x:c r="G15" s="214" t="n">
        <x:v>0</x:v>
      </x:c>
      <x:c r="H15" s="216" t="n">
        <x:v>37.11859129394378</x:v>
      </x:c>
      <x:c r="I15" s="217" t="n">
        <x:v>0.53723707155061</x:v>
      </x:c>
      <x:c r="J15" s="49"/>
      <x:c r="K15" s="49" t="str">
        <x:v>成本压力</x:v>
      </x:c>
      <x:c r="L15" s="216" t="n">
        <x:v>39.09624563374627</x:v>
      </x:c>
      <x:c r="M15" s="216" t="n">
        <x:v>33.848066253090046</x:v>
      </x:c>
      <x:c r="N15" s="216" t="n">
        <x:v>30.681304495733794</x:v>
      </x:c>
      <x:c r="O15" s="49"/>
      <x:c r="P15" s="49"/>
      <x:c r="Q15" s="49"/>
      <x:c r="R15" s="49"/>
      <x:c r="S15" s="49"/>
      <x:c r="T15" s="49"/>
      <x:c r="U15" s="49"/>
      <x:c r="V15" s="49"/>
      <x:c r="W15" s="49"/>
      <x:c r="X15" s="49"/>
      <x:c r="Y15" s="49"/>
      <x:c r="Z15" s="49"/>
      <x:c r="AA15" s="49"/>
      <x:c r="AB15" s="49"/>
      <x:c r="AC15" s="49"/>
      <x:c r="AD15" s="49"/>
      <x:c r="AE15" s="49"/>
      <x:c r="AF15" s="49"/>
      <x:c r="AG15" s="49"/>
      <x:c r="AH15" s="49"/>
      <x:c r="AI15" s="49"/>
      <x:c r="AJ15" s="49"/>
      <x:c r="AK15" s="49"/>
      <x:c r="AL15" s="49"/>
      <x:c r="AM15" s="49"/>
      <x:c r="AN15" s="49"/>
      <x:c r="AO15" s="49"/>
      <x:c r="AP15" s="49"/>
      <x:c r="AQ15" s="49"/>
      <x:c r="AR15" s="49"/>
      <x:c r="AS15" s="49"/>
      <x:c r="AT15" s="49"/>
      <x:c r="AU15" s="49"/>
      <x:c r="AV15" s="49"/>
      <x:c r="AW15" s="49"/>
      <x:c r="AX15" s="49"/>
      <x:c r="AY15" s="49"/>
      <x:c r="AZ15" s="49"/>
    </x:row>
    <x:row r="16">
      <x:c r="A16" s="49" t="str">
        <x:v>供应中断</x:v>
      </x:c>
      <x:c r="B16" s="49" t="str">
        <x:v>均衡</x:v>
      </x:c>
      <x:c r="C16" s="175" t="n">
        <x:v>171070363.346</x:v>
      </x:c>
      <x:c r="D16" s="214" t="n">
        <x:v>1</x:v>
      </x:c>
      <x:c r="E16" s="214" t="n">
        <x:v>0</x:v>
      </x:c>
      <x:c r="F16" s="49" t="n">
        <x:v>0</x:v>
      </x:c>
      <x:c r="G16" s="214" t="n">
        <x:v>0</x:v>
      </x:c>
      <x:c r="H16" s="216" t="n">
        <x:v>35.64741674434964</x:v>
      </x:c>
      <x:c r="I16" s="217" t="n">
        <x:v>0.5337524122877809</x:v>
      </x:c>
      <x:c r="J16" s="49"/>
      <x:c r="K16" s="49" t="str">
        <x:v>供应中断</x:v>
      </x:c>
      <x:c r="L16" s="216" t="n">
        <x:v>37.11859129394378</x:v>
      </x:c>
      <x:c r="M16" s="216" t="n">
        <x:v>35.64741674434964</x:v>
      </x:c>
      <x:c r="N16" s="216" t="n">
        <x:v>31.10847929367143</x:v>
      </x:c>
      <x:c r="O16" s="49"/>
      <x:c r="P16" s="49"/>
      <x:c r="Q16" s="49"/>
      <x:c r="R16" s="49"/>
      <x:c r="S16" s="49"/>
      <x:c r="T16" s="49"/>
      <x:c r="U16" s="49"/>
      <x:c r="V16" s="49"/>
      <x:c r="W16" s="49"/>
      <x:c r="X16" s="49"/>
      <x:c r="Y16" s="49"/>
      <x:c r="Z16" s="49"/>
      <x:c r="AA16" s="49"/>
      <x:c r="AB16" s="49"/>
      <x:c r="AC16" s="49"/>
      <x:c r="AD16" s="49"/>
      <x:c r="AE16" s="49"/>
      <x:c r="AF16" s="49"/>
      <x:c r="AG16" s="49"/>
      <x:c r="AH16" s="49"/>
      <x:c r="AI16" s="49"/>
      <x:c r="AJ16" s="49"/>
      <x:c r="AK16" s="49"/>
      <x:c r="AL16" s="49"/>
      <x:c r="AM16" s="49"/>
      <x:c r="AN16" s="49"/>
      <x:c r="AO16" s="49"/>
      <x:c r="AP16" s="49"/>
      <x:c r="AQ16" s="49"/>
      <x:c r="AR16" s="49"/>
      <x:c r="AS16" s="49"/>
      <x:c r="AT16" s="49"/>
      <x:c r="AU16" s="49"/>
      <x:c r="AV16" s="49"/>
      <x:c r="AW16" s="49"/>
      <x:c r="AX16" s="49"/>
      <x:c r="AY16" s="49"/>
      <x:c r="AZ16" s="49"/>
    </x:row>
    <x:row r="17">
      <x:c r="A17" s="49" t="str">
        <x:v>供应中断</x:v>
      </x:c>
      <x:c r="B17" s="49" t="str">
        <x:v>韧性优先</x:v>
      </x:c>
      <x:c r="C17" s="175" t="n">
        <x:v>175100421.6776521</x:v>
      </x:c>
      <x:c r="D17" s="214" t="n">
        <x:v>1</x:v>
      </x:c>
      <x:c r="E17" s="214" t="n">
        <x:v>0</x:v>
      </x:c>
      <x:c r="F17" s="49" t="n">
        <x:v>0</x:v>
      </x:c>
      <x:c r="G17" s="214" t="n">
        <x:v>0</x:v>
      </x:c>
      <x:c r="H17" s="216" t="n">
        <x:v>31.10847929367143</x:v>
      </x:c>
      <x:c r="I17" s="217" t="n">
        <x:v>0.5126834787580328</x:v>
      </x:c>
      <x:c r="J17" s="49"/>
      <x:c r="K17" s="49" t="str">
        <x:v>汇率冲击</x:v>
      </x:c>
      <x:c r="L17" s="216" t="n">
        <x:v>37.122345527319595</x:v>
      </x:c>
      <x:c r="M17" s="216" t="n">
        <x:v>35.70298554899805</x:v>
      </x:c>
      <x:c r="N17" s="216" t="n">
        <x:v>30.434857874858455</x:v>
      </x:c>
      <x:c r="O17" s="49"/>
      <x:c r="P17" s="49"/>
      <x:c r="Q17" s="49"/>
      <x:c r="R17" s="49"/>
      <x:c r="S17" s="49"/>
      <x:c r="T17" s="49"/>
      <x:c r="U17" s="49"/>
      <x:c r="V17" s="49"/>
      <x:c r="W17" s="49"/>
      <x:c r="X17" s="49"/>
      <x:c r="Y17" s="49"/>
      <x:c r="Z17" s="49"/>
      <x:c r="AA17" s="49"/>
      <x:c r="AB17" s="49"/>
      <x:c r="AC17" s="49"/>
      <x:c r="AD17" s="49"/>
      <x:c r="AE17" s="49"/>
      <x:c r="AF17" s="49"/>
      <x:c r="AG17" s="49"/>
      <x:c r="AH17" s="49"/>
      <x:c r="AI17" s="49"/>
      <x:c r="AJ17" s="49"/>
      <x:c r="AK17" s="49"/>
      <x:c r="AL17" s="49"/>
      <x:c r="AM17" s="49"/>
      <x:c r="AN17" s="49"/>
      <x:c r="AO17" s="49"/>
      <x:c r="AP17" s="49"/>
      <x:c r="AQ17" s="49"/>
      <x:c r="AR17" s="49"/>
      <x:c r="AS17" s="49"/>
      <x:c r="AT17" s="49"/>
      <x:c r="AU17" s="49"/>
      <x:c r="AV17" s="49"/>
      <x:c r="AW17" s="49"/>
      <x:c r="AX17" s="49"/>
      <x:c r="AY17" s="49"/>
      <x:c r="AZ17" s="49"/>
    </x:row>
    <x:row r="18">
      <x:c r="A18" s="49" t="str">
        <x:v>汇率冲击</x:v>
      </x:c>
      <x:c r="B18" s="49" t="str">
        <x:v>最低成本</x:v>
      </x:c>
      <x:c r="C18" s="175" t="n">
        <x:v>177654980.64849958</x:v>
      </x:c>
      <x:c r="D18" s="214" t="n">
        <x:v>1</x:v>
      </x:c>
      <x:c r="E18" s="214" t="n">
        <x:v>0</x:v>
      </x:c>
      <x:c r="F18" s="49" t="n">
        <x:v>0</x:v>
      </x:c>
      <x:c r="G18" s="214" t="n">
        <x:v>0</x:v>
      </x:c>
      <x:c r="H18" s="216" t="n">
        <x:v>37.122345527319595</x:v>
      </x:c>
      <x:c r="I18" s="217" t="n">
        <x:v>0.822056532115716</x:v>
      </x:c>
      <x:c r="J18" s="49"/>
      <x:c r="K18" s="49"/>
      <x:c r="L18" s="49"/>
      <x:c r="M18" s="49"/>
      <x:c r="N18" s="49"/>
      <x:c r="O18" s="49"/>
      <x:c r="P18" s="49"/>
      <x:c r="Q18" s="49"/>
      <x:c r="R18" s="49"/>
      <x:c r="S18" s="49"/>
      <x:c r="T18" s="49"/>
      <x:c r="U18" s="49"/>
      <x:c r="V18" s="49"/>
      <x:c r="W18" s="49"/>
      <x:c r="X18" s="49"/>
      <x:c r="Y18" s="49"/>
      <x:c r="Z18" s="49"/>
      <x:c r="AA18" s="49"/>
      <x:c r="AB18" s="49"/>
      <x:c r="AC18" s="49"/>
      <x:c r="AD18" s="49"/>
      <x:c r="AE18" s="49"/>
      <x:c r="AF18" s="49"/>
      <x:c r="AG18" s="49"/>
      <x:c r="AH18" s="49"/>
      <x:c r="AI18" s="49"/>
      <x:c r="AJ18" s="49"/>
      <x:c r="AK18" s="49"/>
      <x:c r="AL18" s="49"/>
      <x:c r="AM18" s="49"/>
      <x:c r="AN18" s="49"/>
      <x:c r="AO18" s="49"/>
      <x:c r="AP18" s="49"/>
      <x:c r="AQ18" s="49"/>
      <x:c r="AR18" s="49"/>
      <x:c r="AS18" s="49"/>
      <x:c r="AT18" s="49"/>
      <x:c r="AU18" s="49"/>
      <x:c r="AV18" s="49"/>
      <x:c r="AW18" s="49"/>
      <x:c r="AX18" s="49"/>
      <x:c r="AY18" s="49"/>
      <x:c r="AZ18" s="49"/>
    </x:row>
    <x:row r="19">
      <x:c r="A19" s="49" t="str">
        <x:v>汇率冲击</x:v>
      </x:c>
      <x:c r="B19" s="49" t="str">
        <x:v>均衡</x:v>
      </x:c>
      <x:c r="C19" s="175" t="n">
        <x:v>180096187.07302338</x:v>
      </x:c>
      <x:c r="D19" s="214" t="n">
        <x:v>1</x:v>
      </x:c>
      <x:c r="E19" s="214" t="n">
        <x:v>0</x:v>
      </x:c>
      <x:c r="F19" s="49" t="n">
        <x:v>0</x:v>
      </x:c>
      <x:c r="G19" s="214" t="n">
        <x:v>0</x:v>
      </x:c>
      <x:c r="H19" s="216" t="n">
        <x:v>35.70298554899805</x:v>
      </x:c>
      <x:c r="I19" s="217" t="n">
        <x:v>0.6155280053539951</x:v>
      </x:c>
      <x:c r="J19" s="49"/>
      <x:c r="K19" s="49"/>
      <x:c r="L19" s="49"/>
      <x:c r="M19" s="49"/>
      <x:c r="N19" s="49"/>
      <x:c r="O19" s="49"/>
      <x:c r="P19" s="49"/>
      <x:c r="Q19" s="49"/>
      <x:c r="R19" s="49"/>
      <x:c r="S19" s="49"/>
      <x:c r="T19" s="49"/>
      <x:c r="U19" s="49"/>
      <x:c r="V19" s="49"/>
      <x:c r="W19" s="49"/>
      <x:c r="X19" s="49"/>
      <x:c r="Y19" s="49"/>
      <x:c r="Z19" s="49"/>
      <x:c r="AA19" s="49"/>
      <x:c r="AB19" s="49"/>
      <x:c r="AC19" s="49"/>
      <x:c r="AD19" s="49"/>
      <x:c r="AE19" s="49"/>
      <x:c r="AF19" s="49"/>
      <x:c r="AG19" s="49"/>
      <x:c r="AH19" s="49"/>
      <x:c r="AI19" s="49"/>
      <x:c r="AJ19" s="49"/>
      <x:c r="AK19" s="49"/>
      <x:c r="AL19" s="49"/>
      <x:c r="AM19" s="49"/>
      <x:c r="AN19" s="49"/>
      <x:c r="AO19" s="49"/>
      <x:c r="AP19" s="49"/>
      <x:c r="AQ19" s="49"/>
      <x:c r="AR19" s="49"/>
      <x:c r="AS19" s="49"/>
      <x:c r="AT19" s="49"/>
      <x:c r="AU19" s="49"/>
      <x:c r="AV19" s="49"/>
      <x:c r="AW19" s="49"/>
      <x:c r="AX19" s="49"/>
      <x:c r="AY19" s="49"/>
      <x:c r="AZ19" s="49"/>
    </x:row>
    <x:row r="20">
      <x:c r="A20" s="49" t="str">
        <x:v>汇率冲击</x:v>
      </x:c>
      <x:c r="B20" s="49" t="str">
        <x:v>韧性优先</x:v>
      </x:c>
      <x:c r="C20" s="175" t="n">
        <x:v>188412265.4516601</x:v>
      </x:c>
      <x:c r="D20" s="214" t="n">
        <x:v>1</x:v>
      </x:c>
      <x:c r="E20" s="214" t="n">
        <x:v>0</x:v>
      </x:c>
      <x:c r="F20" s="49" t="n">
        <x:v>0</x:v>
      </x:c>
      <x:c r="G20" s="214" t="n">
        <x:v>0</x:v>
      </x:c>
      <x:c r="H20" s="216" t="n">
        <x:v>30.434857874858455</x:v>
      </x:c>
      <x:c r="I20" s="217" t="n">
        <x:v>0.52</x:v>
      </x:c>
      <x:c r="J20" s="49"/>
      <x:c r="K20" s="49"/>
      <x:c r="L20" s="49"/>
      <x:c r="M20" s="49"/>
      <x:c r="N20" s="49"/>
      <x:c r="O20" s="49"/>
      <x:c r="P20" s="49"/>
      <x:c r="Q20" s="49"/>
      <x:c r="R20" s="49"/>
      <x:c r="S20" s="49"/>
      <x:c r="T20" s="49"/>
      <x:c r="U20" s="49"/>
      <x:c r="V20" s="49"/>
      <x:c r="W20" s="49"/>
      <x:c r="X20" s="49"/>
      <x:c r="Y20" s="49"/>
      <x:c r="Z20" s="49"/>
      <x:c r="AA20" s="49"/>
      <x:c r="AB20" s="49"/>
      <x:c r="AC20" s="49"/>
      <x:c r="AD20" s="49"/>
      <x:c r="AE20" s="49"/>
      <x:c r="AF20" s="49"/>
      <x:c r="AG20" s="49"/>
      <x:c r="AH20" s="49"/>
      <x:c r="AI20" s="49"/>
      <x:c r="AJ20" s="49"/>
      <x:c r="AK20" s="49"/>
      <x:c r="AL20" s="49"/>
      <x:c r="AM20" s="49"/>
      <x:c r="AN20" s="49"/>
      <x:c r="AO20" s="49"/>
      <x:c r="AP20" s="49"/>
      <x:c r="AQ20" s="49"/>
      <x:c r="AR20" s="49"/>
      <x:c r="AS20" s="49"/>
      <x:c r="AT20" s="49"/>
      <x:c r="AU20" s="49"/>
      <x:c r="AV20" s="49"/>
      <x:c r="AW20" s="49"/>
      <x:c r="AX20" s="49"/>
      <x:c r="AY20" s="49"/>
      <x:c r="AZ20" s="49"/>
    </x:row>
    <x:row r="21">
      <x:c r="A21" s="49"/>
      <x:c r="B21" s="49"/>
      <x:c r="C21" s="49"/>
      <x:c r="D21" s="49"/>
      <x:c r="E21" s="49"/>
      <x:c r="F21" s="49"/>
      <x:c r="G21" s="49"/>
      <x:c r="H21" s="49"/>
      <x:c r="I21" s="49"/>
      <x:c r="J21" s="49"/>
      <x:c r="K21" s="49"/>
      <x:c r="L21" s="49"/>
      <x:c r="M21" s="49"/>
      <x:c r="N21" s="49"/>
      <x:c r="O21" s="49"/>
      <x:c r="P21" s="49"/>
      <x:c r="Q21" s="49"/>
      <x:c r="R21" s="49"/>
      <x:c r="S21" s="49"/>
      <x:c r="T21" s="49"/>
      <x:c r="U21" s="49"/>
      <x:c r="V21" s="49"/>
      <x:c r="W21" s="49"/>
      <x:c r="X21" s="49"/>
      <x:c r="Y21" s="49"/>
      <x:c r="Z21" s="49"/>
      <x:c r="AA21" s="49"/>
      <x:c r="AB21" s="49"/>
      <x:c r="AC21" s="49"/>
      <x:c r="AD21" s="49"/>
      <x:c r="AE21" s="49"/>
      <x:c r="AF21" s="49"/>
      <x:c r="AG21" s="49"/>
      <x:c r="AH21" s="49"/>
      <x:c r="AI21" s="49"/>
      <x:c r="AJ21" s="49"/>
      <x:c r="AK21" s="49"/>
      <x:c r="AL21" s="49"/>
      <x:c r="AM21" s="49"/>
      <x:c r="AN21" s="49"/>
      <x:c r="AO21" s="49"/>
      <x:c r="AP21" s="49"/>
      <x:c r="AQ21" s="49"/>
      <x:c r="AR21" s="49"/>
      <x:c r="AS21" s="49"/>
      <x:c r="AT21" s="49"/>
      <x:c r="AU21" s="49"/>
      <x:c r="AV21" s="49"/>
      <x:c r="AW21" s="49"/>
      <x:c r="AX21" s="49"/>
      <x:c r="AY21" s="49"/>
      <x:c r="AZ21" s="49"/>
    </x:row>
    <x:row r="22">
      <x:c r="A22" s="49"/>
      <x:c r="B22" s="49"/>
      <x:c r="C22" s="49"/>
      <x:c r="D22" s="49"/>
      <x:c r="E22" s="49"/>
      <x:c r="F22" s="49"/>
      <x:c r="G22" s="49"/>
      <x:c r="H22" s="49"/>
      <x:c r="I22" s="49"/>
      <x:c r="J22" s="49"/>
      <x:c r="K22" s="49"/>
      <x:c r="L22" s="49"/>
      <x:c r="M22" s="49"/>
      <x:c r="N22" s="49"/>
      <x:c r="O22" s="49"/>
      <x:c r="P22" s="49"/>
      <x:c r="Q22" s="49"/>
      <x:c r="R22" s="49"/>
      <x:c r="S22" s="49"/>
      <x:c r="T22" s="49"/>
      <x:c r="U22" s="49"/>
      <x:c r="V22" s="49"/>
      <x:c r="W22" s="49"/>
      <x:c r="X22" s="49"/>
      <x:c r="Y22" s="49"/>
      <x:c r="Z22" s="49"/>
      <x:c r="AA22" s="49"/>
      <x:c r="AB22" s="49"/>
      <x:c r="AC22" s="49"/>
      <x:c r="AD22" s="49"/>
      <x:c r="AE22" s="49"/>
      <x:c r="AF22" s="49"/>
      <x:c r="AG22" s="49"/>
      <x:c r="AH22" s="49"/>
      <x:c r="AI22" s="49"/>
      <x:c r="AJ22" s="49"/>
      <x:c r="AK22" s="49"/>
      <x:c r="AL22" s="49"/>
      <x:c r="AM22" s="49"/>
      <x:c r="AN22" s="49"/>
      <x:c r="AO22" s="49"/>
      <x:c r="AP22" s="49"/>
      <x:c r="AQ22" s="49"/>
      <x:c r="AR22" s="49"/>
      <x:c r="AS22" s="49"/>
      <x:c r="AT22" s="49"/>
      <x:c r="AU22" s="49"/>
      <x:c r="AV22" s="49"/>
      <x:c r="AW22" s="49"/>
      <x:c r="AX22" s="49"/>
      <x:c r="AY22" s="49"/>
      <x:c r="AZ22" s="49"/>
    </x:row>
    <x:row r="23">
      <x:c r="A23" s="49"/>
      <x:c r="B23" s="49"/>
      <x:c r="C23" s="49"/>
      <x:c r="D23" s="49"/>
      <x:c r="E23" s="49"/>
      <x:c r="F23" s="49"/>
      <x:c r="G23" s="49"/>
      <x:c r="H23" s="49"/>
      <x:c r="I23" s="49"/>
      <x:c r="J23" s="49"/>
      <x:c r="K23" s="49"/>
      <x:c r="L23" s="49"/>
      <x:c r="M23" s="49"/>
      <x:c r="N23" s="49"/>
      <x:c r="O23" s="49"/>
      <x:c r="P23" s="49"/>
      <x:c r="Q23" s="49"/>
      <x:c r="R23" s="49"/>
      <x:c r="S23" s="49"/>
      <x:c r="T23" s="49"/>
      <x:c r="U23" s="49"/>
      <x:c r="V23" s="49"/>
      <x:c r="W23" s="49"/>
      <x:c r="X23" s="49"/>
      <x:c r="Y23" s="49"/>
      <x:c r="Z23" s="49"/>
      <x:c r="AA23" s="49"/>
      <x:c r="AB23" s="49"/>
      <x:c r="AC23" s="49"/>
      <x:c r="AD23" s="49"/>
      <x:c r="AE23" s="49"/>
      <x:c r="AF23" s="49"/>
      <x:c r="AG23" s="49"/>
      <x:c r="AH23" s="49"/>
      <x:c r="AI23" s="49"/>
      <x:c r="AJ23" s="49"/>
      <x:c r="AK23" s="49"/>
      <x:c r="AL23" s="49"/>
      <x:c r="AM23" s="49"/>
      <x:c r="AN23" s="49"/>
      <x:c r="AO23" s="49"/>
      <x:c r="AP23" s="49"/>
      <x:c r="AQ23" s="49"/>
      <x:c r="AR23" s="49"/>
      <x:c r="AS23" s="49"/>
      <x:c r="AT23" s="49"/>
      <x:c r="AU23" s="49"/>
      <x:c r="AV23" s="49"/>
      <x:c r="AW23" s="49"/>
      <x:c r="AX23" s="49"/>
      <x:c r="AY23" s="49"/>
      <x:c r="AZ23" s="49"/>
    </x:row>
    <x:row r="24">
      <x:c r="A24" s="49"/>
      <x:c r="B24" s="49"/>
      <x:c r="C24" s="49"/>
      <x:c r="D24" s="49"/>
      <x:c r="E24" s="49"/>
      <x:c r="F24" s="49"/>
      <x:c r="G24" s="49"/>
      <x:c r="H24" s="49"/>
      <x:c r="I24" s="49"/>
      <x:c r="J24" s="49"/>
      <x:c r="K24" s="49"/>
      <x:c r="L24" s="49"/>
      <x:c r="M24" s="49"/>
      <x:c r="N24" s="49"/>
      <x:c r="O24" s="49"/>
      <x:c r="P24" s="49"/>
      <x:c r="Q24" s="49"/>
      <x:c r="R24" s="49"/>
      <x:c r="S24" s="49"/>
      <x:c r="T24" s="49"/>
      <x:c r="U24" s="49"/>
      <x:c r="V24" s="49"/>
      <x:c r="W24" s="49"/>
      <x:c r="X24" s="49"/>
      <x:c r="Y24" s="49"/>
      <x:c r="Z24" s="49"/>
      <x:c r="AA24" s="49"/>
      <x:c r="AB24" s="49"/>
      <x:c r="AC24" s="49"/>
      <x:c r="AD24" s="49"/>
      <x:c r="AE24" s="49"/>
      <x:c r="AF24" s="49"/>
      <x:c r="AG24" s="49"/>
      <x:c r="AH24" s="49"/>
      <x:c r="AI24" s="49"/>
      <x:c r="AJ24" s="49"/>
      <x:c r="AK24" s="49"/>
      <x:c r="AL24" s="49"/>
      <x:c r="AM24" s="49"/>
      <x:c r="AN24" s="49"/>
      <x:c r="AO24" s="49"/>
      <x:c r="AP24" s="49"/>
      <x:c r="AQ24" s="49"/>
      <x:c r="AR24" s="49"/>
      <x:c r="AS24" s="49"/>
      <x:c r="AT24" s="49"/>
      <x:c r="AU24" s="49"/>
      <x:c r="AV24" s="49"/>
      <x:c r="AW24" s="49"/>
      <x:c r="AX24" s="49"/>
      <x:c r="AY24" s="49"/>
      <x:c r="AZ24" s="49"/>
    </x:row>
    <x:row r="25">
      <x:c r="A25" s="49"/>
      <x:c r="B25" s="49"/>
      <x:c r="C25" s="49"/>
      <x:c r="D25" s="49"/>
      <x:c r="E25" s="49"/>
      <x:c r="F25" s="49"/>
      <x:c r="G25" s="49"/>
      <x:c r="H25" s="49"/>
      <x:c r="I25" s="49"/>
      <x:c r="J25" s="49"/>
      <x:c r="K25" s="49"/>
      <x:c r="L25" s="49"/>
      <x:c r="M25" s="49"/>
      <x:c r="N25" s="49"/>
      <x:c r="O25" s="49"/>
      <x:c r="P25" s="49"/>
      <x:c r="Q25" s="49"/>
      <x:c r="R25" s="49"/>
      <x:c r="S25" s="49"/>
      <x:c r="T25" s="49"/>
      <x:c r="U25" s="49"/>
      <x:c r="V25" s="49"/>
      <x:c r="W25" s="49"/>
      <x:c r="X25" s="49"/>
      <x:c r="Y25" s="49"/>
      <x:c r="Z25" s="49"/>
      <x:c r="AA25" s="49"/>
      <x:c r="AB25" s="49"/>
      <x:c r="AC25" s="49"/>
      <x:c r="AD25" s="49"/>
      <x:c r="AE25" s="49"/>
      <x:c r="AF25" s="49"/>
      <x:c r="AG25" s="49"/>
      <x:c r="AH25" s="49"/>
      <x:c r="AI25" s="49"/>
      <x:c r="AJ25" s="49"/>
      <x:c r="AK25" s="49"/>
      <x:c r="AL25" s="49"/>
      <x:c r="AM25" s="49"/>
      <x:c r="AN25" s="49"/>
      <x:c r="AO25" s="49"/>
      <x:c r="AP25" s="49"/>
      <x:c r="AQ25" s="49"/>
      <x:c r="AR25" s="49"/>
      <x:c r="AS25" s="49"/>
      <x:c r="AT25" s="49"/>
      <x:c r="AU25" s="49"/>
      <x:c r="AV25" s="49"/>
      <x:c r="AW25" s="49"/>
      <x:c r="AX25" s="49"/>
      <x:c r="AY25" s="49"/>
      <x:c r="AZ25" s="49"/>
    </x:row>
    <x:row r="26">
      <x:c r="A26" s="49"/>
      <x:c r="B26" s="49"/>
      <x:c r="C26" s="49"/>
      <x:c r="D26" s="49"/>
      <x:c r="E26" s="49"/>
      <x:c r="F26" s="49"/>
      <x:c r="G26" s="49"/>
      <x:c r="H26" s="49"/>
      <x:c r="I26" s="49"/>
      <x:c r="J26" s="49"/>
      <x:c r="K26" s="49"/>
      <x:c r="L26" s="49"/>
      <x:c r="M26" s="49"/>
      <x:c r="N26" s="49"/>
      <x:c r="O26" s="49"/>
      <x:c r="P26" s="49"/>
      <x:c r="Q26" s="49"/>
      <x:c r="R26" s="49"/>
      <x:c r="S26" s="49"/>
      <x:c r="T26" s="49"/>
      <x:c r="U26" s="49"/>
      <x:c r="V26" s="49"/>
      <x:c r="W26" s="49"/>
      <x:c r="X26" s="49"/>
      <x:c r="Y26" s="49"/>
      <x:c r="Z26" s="49"/>
      <x:c r="AA26" s="49"/>
      <x:c r="AB26" s="49"/>
      <x:c r="AC26" s="49"/>
      <x:c r="AD26" s="49"/>
      <x:c r="AE26" s="49"/>
      <x:c r="AF26" s="49"/>
      <x:c r="AG26" s="49"/>
      <x:c r="AH26" s="49"/>
      <x:c r="AI26" s="49"/>
      <x:c r="AJ26" s="49"/>
      <x:c r="AK26" s="49"/>
      <x:c r="AL26" s="49"/>
      <x:c r="AM26" s="49"/>
      <x:c r="AN26" s="49"/>
      <x:c r="AO26" s="49"/>
      <x:c r="AP26" s="49"/>
      <x:c r="AQ26" s="49"/>
      <x:c r="AR26" s="49"/>
      <x:c r="AS26" s="49"/>
      <x:c r="AT26" s="49"/>
      <x:c r="AU26" s="49"/>
      <x:c r="AV26" s="49"/>
      <x:c r="AW26" s="49"/>
      <x:c r="AX26" s="49"/>
      <x:c r="AY26" s="49"/>
      <x:c r="AZ26" s="49"/>
    </x:row>
    <x:row r="27">
      <x:c r="A27" s="49"/>
      <x:c r="B27" s="49"/>
      <x:c r="C27" s="49"/>
      <x:c r="D27" s="49"/>
      <x:c r="E27" s="49"/>
      <x:c r="F27" s="49"/>
      <x:c r="G27" s="49"/>
      <x:c r="H27" s="49"/>
      <x:c r="I27" s="49"/>
      <x:c r="J27" s="49"/>
      <x:c r="K27" s="49"/>
      <x:c r="L27" s="49"/>
      <x:c r="M27" s="49"/>
      <x:c r="N27" s="49"/>
      <x:c r="O27" s="49"/>
      <x:c r="P27" s="49"/>
      <x:c r="Q27" s="49"/>
      <x:c r="R27" s="49"/>
      <x:c r="S27" s="49"/>
      <x:c r="T27" s="49"/>
      <x:c r="U27" s="49"/>
      <x:c r="V27" s="49"/>
      <x:c r="W27" s="49"/>
      <x:c r="X27" s="49"/>
      <x:c r="Y27" s="49"/>
      <x:c r="Z27" s="49"/>
      <x:c r="AA27" s="49"/>
      <x:c r="AB27" s="49"/>
      <x:c r="AC27" s="49"/>
      <x:c r="AD27" s="49"/>
      <x:c r="AE27" s="49"/>
      <x:c r="AF27" s="49"/>
      <x:c r="AG27" s="49"/>
      <x:c r="AH27" s="49"/>
      <x:c r="AI27" s="49"/>
      <x:c r="AJ27" s="49"/>
      <x:c r="AK27" s="49"/>
      <x:c r="AL27" s="49"/>
      <x:c r="AM27" s="49"/>
      <x:c r="AN27" s="49"/>
      <x:c r="AO27" s="49"/>
      <x:c r="AP27" s="49"/>
      <x:c r="AQ27" s="49"/>
      <x:c r="AR27" s="49"/>
      <x:c r="AS27" s="49"/>
      <x:c r="AT27" s="49"/>
      <x:c r="AU27" s="49"/>
      <x:c r="AV27" s="49"/>
      <x:c r="AW27" s="49"/>
      <x:c r="AX27" s="49"/>
      <x:c r="AY27" s="49"/>
      <x:c r="AZ27" s="49"/>
    </x:row>
    <x:row r="28">
      <x:c r="A28" s="49"/>
      <x:c r="B28" s="49"/>
      <x:c r="C28" s="49"/>
      <x:c r="D28" s="49"/>
      <x:c r="E28" s="49"/>
      <x:c r="F28" s="49"/>
      <x:c r="G28" s="49"/>
      <x:c r="H28" s="49"/>
      <x:c r="I28" s="49"/>
      <x:c r="J28" s="49"/>
      <x:c r="K28" s="49"/>
      <x:c r="L28" s="49"/>
      <x:c r="M28" s="49"/>
      <x:c r="N28" s="49"/>
      <x:c r="O28" s="49"/>
      <x:c r="P28" s="49"/>
      <x:c r="Q28" s="49"/>
      <x:c r="R28" s="49"/>
      <x:c r="S28" s="49"/>
      <x:c r="T28" s="49"/>
      <x:c r="U28" s="49"/>
      <x:c r="V28" s="49"/>
      <x:c r="W28" s="49"/>
      <x:c r="X28" s="49"/>
      <x:c r="Y28" s="49"/>
      <x:c r="Z28" s="49"/>
      <x:c r="AA28" s="49"/>
      <x:c r="AB28" s="49"/>
      <x:c r="AC28" s="49"/>
      <x:c r="AD28" s="49"/>
      <x:c r="AE28" s="49"/>
      <x:c r="AF28" s="49"/>
      <x:c r="AG28" s="49"/>
      <x:c r="AH28" s="49"/>
      <x:c r="AI28" s="49"/>
      <x:c r="AJ28" s="49"/>
      <x:c r="AK28" s="49"/>
      <x:c r="AL28" s="49"/>
      <x:c r="AM28" s="49"/>
      <x:c r="AN28" s="49"/>
      <x:c r="AO28" s="49"/>
      <x:c r="AP28" s="49"/>
      <x:c r="AQ28" s="49"/>
      <x:c r="AR28" s="49"/>
      <x:c r="AS28" s="49"/>
      <x:c r="AT28" s="49"/>
      <x:c r="AU28" s="49"/>
      <x:c r="AV28" s="49"/>
      <x:c r="AW28" s="49"/>
      <x:c r="AX28" s="49"/>
      <x:c r="AY28" s="49"/>
      <x:c r="AZ28" s="49"/>
    </x:row>
    <x:row r="29">
      <x:c r="A29" s="49"/>
      <x:c r="B29" s="49"/>
      <x:c r="C29" s="49"/>
      <x:c r="D29" s="49"/>
      <x:c r="E29" s="49"/>
      <x:c r="F29" s="49"/>
      <x:c r="G29" s="49"/>
      <x:c r="H29" s="49"/>
      <x:c r="I29" s="49"/>
      <x:c r="J29" s="49"/>
      <x:c r="K29" s="49"/>
      <x:c r="L29" s="49"/>
      <x:c r="M29" s="49"/>
      <x:c r="N29" s="49"/>
      <x:c r="O29" s="49"/>
      <x:c r="P29" s="49"/>
      <x:c r="Q29" s="49"/>
      <x:c r="R29" s="49"/>
      <x:c r="S29" s="49"/>
      <x:c r="T29" s="49"/>
      <x:c r="U29" s="49"/>
      <x:c r="V29" s="49"/>
      <x:c r="W29" s="49"/>
      <x:c r="X29" s="49"/>
      <x:c r="Y29" s="49"/>
      <x:c r="Z29" s="49"/>
      <x:c r="AA29" s="49"/>
      <x:c r="AB29" s="49"/>
      <x:c r="AC29" s="49"/>
      <x:c r="AD29" s="49"/>
      <x:c r="AE29" s="49"/>
      <x:c r="AF29" s="49"/>
      <x:c r="AG29" s="49"/>
      <x:c r="AH29" s="49"/>
      <x:c r="AI29" s="49"/>
      <x:c r="AJ29" s="49"/>
      <x:c r="AK29" s="49"/>
      <x:c r="AL29" s="49"/>
      <x:c r="AM29" s="49"/>
      <x:c r="AN29" s="49"/>
      <x:c r="AO29" s="49"/>
      <x:c r="AP29" s="49"/>
      <x:c r="AQ29" s="49"/>
      <x:c r="AR29" s="49"/>
      <x:c r="AS29" s="49"/>
      <x:c r="AT29" s="49"/>
      <x:c r="AU29" s="49"/>
      <x:c r="AV29" s="49"/>
      <x:c r="AW29" s="49"/>
      <x:c r="AX29" s="49"/>
      <x:c r="AY29" s="49"/>
      <x:c r="AZ29" s="49"/>
    </x:row>
    <x:row r="30">
      <x:c r="A30" s="49"/>
      <x:c r="B30" s="49"/>
      <x:c r="C30" s="49"/>
      <x:c r="D30" s="49"/>
      <x:c r="E30" s="49"/>
      <x:c r="F30" s="49"/>
      <x:c r="G30" s="49"/>
      <x:c r="H30" s="49"/>
      <x:c r="I30" s="49"/>
      <x:c r="J30" s="49"/>
      <x:c r="K30" s="49"/>
      <x:c r="L30" s="49"/>
      <x:c r="M30" s="49"/>
      <x:c r="N30" s="49"/>
      <x:c r="O30" s="49"/>
      <x:c r="P30" s="49"/>
      <x:c r="Q30" s="49"/>
      <x:c r="R30" s="49"/>
      <x:c r="S30" s="49"/>
      <x:c r="T30" s="49"/>
      <x:c r="U30" s="49"/>
      <x:c r="V30" s="49"/>
      <x:c r="W30" s="49"/>
      <x:c r="X30" s="49"/>
      <x:c r="Y30" s="49"/>
      <x:c r="Z30" s="49"/>
      <x:c r="AA30" s="49"/>
      <x:c r="AB30" s="49"/>
      <x:c r="AC30" s="49"/>
      <x:c r="AD30" s="49"/>
      <x:c r="AE30" s="49"/>
      <x:c r="AF30" s="49"/>
      <x:c r="AG30" s="49"/>
      <x:c r="AH30" s="49"/>
      <x:c r="AI30" s="49"/>
      <x:c r="AJ30" s="49"/>
      <x:c r="AK30" s="49"/>
      <x:c r="AL30" s="49"/>
      <x:c r="AM30" s="49"/>
      <x:c r="AN30" s="49"/>
      <x:c r="AO30" s="49"/>
      <x:c r="AP30" s="49"/>
      <x:c r="AQ30" s="49"/>
      <x:c r="AR30" s="49"/>
      <x:c r="AS30" s="49"/>
      <x:c r="AT30" s="49"/>
      <x:c r="AU30" s="49"/>
      <x:c r="AV30" s="49"/>
      <x:c r="AW30" s="49"/>
      <x:c r="AX30" s="49"/>
      <x:c r="AY30" s="49"/>
      <x:c r="AZ30" s="49"/>
    </x:row>
    <x:row r="31">
      <x:c r="A31" s="49"/>
      <x:c r="B31" s="49"/>
      <x:c r="C31" s="49"/>
      <x:c r="D31" s="49"/>
      <x:c r="E31" s="49"/>
      <x:c r="F31" s="49"/>
      <x:c r="G31" s="49"/>
      <x:c r="H31" s="49"/>
      <x:c r="I31" s="49"/>
      <x:c r="J31" s="49"/>
      <x:c r="K31" s="49"/>
      <x:c r="L31" s="49"/>
      <x:c r="M31" s="49"/>
      <x:c r="N31" s="49"/>
      <x:c r="O31" s="49"/>
      <x:c r="P31" s="49"/>
      <x:c r="Q31" s="49"/>
      <x:c r="R31" s="49"/>
      <x:c r="S31" s="49"/>
      <x:c r="T31" s="49"/>
      <x:c r="U31" s="49"/>
      <x:c r="V31" s="49"/>
      <x:c r="W31" s="49"/>
      <x:c r="X31" s="49"/>
      <x:c r="Y31" s="49"/>
      <x:c r="Z31" s="49"/>
      <x:c r="AA31" s="49"/>
      <x:c r="AB31" s="49"/>
      <x:c r="AC31" s="49"/>
      <x:c r="AD31" s="49"/>
      <x:c r="AE31" s="49"/>
      <x:c r="AF31" s="49"/>
      <x:c r="AG31" s="49"/>
      <x:c r="AH31" s="49"/>
      <x:c r="AI31" s="49"/>
      <x:c r="AJ31" s="49"/>
      <x:c r="AK31" s="49"/>
      <x:c r="AL31" s="49"/>
      <x:c r="AM31" s="49"/>
      <x:c r="AN31" s="49"/>
      <x:c r="AO31" s="49"/>
      <x:c r="AP31" s="49"/>
      <x:c r="AQ31" s="49"/>
      <x:c r="AR31" s="49"/>
      <x:c r="AS31" s="49"/>
      <x:c r="AT31" s="49"/>
      <x:c r="AU31" s="49"/>
      <x:c r="AV31" s="49"/>
      <x:c r="AW31" s="49"/>
      <x:c r="AX31" s="49"/>
      <x:c r="AY31" s="49"/>
      <x:c r="AZ31" s="49"/>
    </x:row>
    <x:row r="32">
      <x:c r="A32" s="49"/>
      <x:c r="B32" s="49"/>
      <x:c r="C32" s="49"/>
      <x:c r="D32" s="49"/>
      <x:c r="E32" s="49"/>
      <x:c r="F32" s="49"/>
      <x:c r="G32" s="49"/>
      <x:c r="H32" s="49"/>
      <x:c r="I32" s="49"/>
      <x:c r="J32" s="49"/>
      <x:c r="K32" s="49"/>
      <x:c r="L32" s="49"/>
      <x:c r="M32" s="49"/>
      <x:c r="N32" s="49"/>
      <x:c r="O32" s="49"/>
      <x:c r="P32" s="49"/>
      <x:c r="Q32" s="49"/>
      <x:c r="R32" s="49"/>
      <x:c r="S32" s="49"/>
      <x:c r="T32" s="49"/>
      <x:c r="U32" s="49"/>
      <x:c r="V32" s="49"/>
      <x:c r="W32" s="49"/>
      <x:c r="X32" s="49"/>
      <x:c r="Y32" s="49"/>
      <x:c r="Z32" s="49"/>
      <x:c r="AA32" s="49"/>
      <x:c r="AB32" s="49"/>
      <x:c r="AC32" s="49"/>
      <x:c r="AD32" s="49"/>
      <x:c r="AE32" s="49"/>
      <x:c r="AF32" s="49"/>
      <x:c r="AG32" s="49"/>
      <x:c r="AH32" s="49"/>
      <x:c r="AI32" s="49"/>
      <x:c r="AJ32" s="49"/>
      <x:c r="AK32" s="49"/>
      <x:c r="AL32" s="49"/>
      <x:c r="AM32" s="49"/>
      <x:c r="AN32" s="49"/>
      <x:c r="AO32" s="49"/>
      <x:c r="AP32" s="49"/>
      <x:c r="AQ32" s="49"/>
      <x:c r="AR32" s="49"/>
      <x:c r="AS32" s="49"/>
      <x:c r="AT32" s="49"/>
      <x:c r="AU32" s="49"/>
      <x:c r="AV32" s="49"/>
      <x:c r="AW32" s="49"/>
      <x:c r="AX32" s="49"/>
      <x:c r="AY32" s="49"/>
      <x:c r="AZ32" s="49"/>
    </x:row>
    <x:row r="33">
      <x:c r="A33" s="49"/>
      <x:c r="B33" s="49"/>
      <x:c r="C33" s="49"/>
      <x:c r="D33" s="49"/>
      <x:c r="E33" s="49"/>
      <x:c r="F33" s="49"/>
      <x:c r="G33" s="49"/>
      <x:c r="H33" s="49"/>
      <x:c r="I33" s="49"/>
      <x:c r="J33" s="49"/>
      <x:c r="K33" s="49"/>
      <x:c r="L33" s="49"/>
      <x:c r="M33" s="49"/>
      <x:c r="N33" s="49"/>
      <x:c r="O33" s="49"/>
      <x:c r="P33" s="49"/>
      <x:c r="Q33" s="49"/>
      <x:c r="R33" s="49"/>
      <x:c r="S33" s="49"/>
      <x:c r="T33" s="49"/>
      <x:c r="U33" s="49"/>
      <x:c r="V33" s="49"/>
      <x:c r="W33" s="49"/>
      <x:c r="X33" s="49"/>
      <x:c r="Y33" s="49"/>
      <x:c r="Z33" s="49"/>
      <x:c r="AA33" s="49"/>
      <x:c r="AB33" s="49"/>
      <x:c r="AC33" s="49"/>
      <x:c r="AD33" s="49"/>
      <x:c r="AE33" s="49"/>
      <x:c r="AF33" s="49"/>
      <x:c r="AG33" s="49"/>
      <x:c r="AH33" s="49"/>
      <x:c r="AI33" s="49"/>
      <x:c r="AJ33" s="49"/>
      <x:c r="AK33" s="49"/>
      <x:c r="AL33" s="49"/>
      <x:c r="AM33" s="49"/>
      <x:c r="AN33" s="49"/>
      <x:c r="AO33" s="49"/>
      <x:c r="AP33" s="49"/>
      <x:c r="AQ33" s="49"/>
      <x:c r="AR33" s="49"/>
      <x:c r="AS33" s="49"/>
      <x:c r="AT33" s="49"/>
      <x:c r="AU33" s="49"/>
      <x:c r="AV33" s="49"/>
      <x:c r="AW33" s="49"/>
      <x:c r="AX33" s="49"/>
      <x:c r="AY33" s="49"/>
      <x:c r="AZ33" s="49"/>
    </x:row>
    <x:row r="34">
      <x:c r="A34" s="49"/>
      <x:c r="B34" s="49"/>
      <x:c r="C34" s="49"/>
      <x:c r="D34" s="49"/>
      <x:c r="E34" s="49"/>
      <x:c r="F34" s="49"/>
      <x:c r="G34" s="49"/>
      <x:c r="H34" s="49"/>
      <x:c r="I34" s="49"/>
      <x:c r="J34" s="49"/>
      <x:c r="K34" s="49"/>
      <x:c r="L34" s="49"/>
      <x:c r="M34" s="49"/>
      <x:c r="N34" s="49"/>
      <x:c r="O34" s="49"/>
      <x:c r="P34" s="49"/>
      <x:c r="Q34" s="49"/>
      <x:c r="R34" s="49"/>
      <x:c r="S34" s="49"/>
      <x:c r="T34" s="49"/>
      <x:c r="U34" s="49"/>
      <x:c r="V34" s="49"/>
      <x:c r="W34" s="49"/>
      <x:c r="X34" s="49"/>
      <x:c r="Y34" s="49"/>
      <x:c r="Z34" s="49"/>
      <x:c r="AA34" s="49"/>
      <x:c r="AB34" s="49"/>
      <x:c r="AC34" s="49"/>
      <x:c r="AD34" s="49"/>
      <x:c r="AE34" s="49"/>
      <x:c r="AF34" s="49"/>
      <x:c r="AG34" s="49"/>
      <x:c r="AH34" s="49"/>
      <x:c r="AI34" s="49"/>
      <x:c r="AJ34" s="49"/>
      <x:c r="AK34" s="49"/>
      <x:c r="AL34" s="49"/>
      <x:c r="AM34" s="49"/>
      <x:c r="AN34" s="49"/>
      <x:c r="AO34" s="49"/>
      <x:c r="AP34" s="49"/>
      <x:c r="AQ34" s="49"/>
      <x:c r="AR34" s="49"/>
      <x:c r="AS34" s="49"/>
      <x:c r="AT34" s="49"/>
      <x:c r="AU34" s="49"/>
      <x:c r="AV34" s="49"/>
      <x:c r="AW34" s="49"/>
      <x:c r="AX34" s="49"/>
      <x:c r="AY34" s="49"/>
      <x:c r="AZ34" s="49"/>
    </x:row>
    <x:row r="35">
      <x:c r="A35" s="49"/>
      <x:c r="B35" s="49"/>
      <x:c r="C35" s="49"/>
      <x:c r="D35" s="49"/>
      <x:c r="E35" s="49"/>
      <x:c r="F35" s="49"/>
      <x:c r="G35" s="49"/>
      <x:c r="H35" s="49"/>
      <x:c r="I35" s="49"/>
      <x:c r="J35" s="49"/>
      <x:c r="K35" s="49"/>
      <x:c r="L35" s="49"/>
      <x:c r="M35" s="49"/>
      <x:c r="N35" s="49"/>
      <x:c r="O35" s="49"/>
      <x:c r="P35" s="49"/>
      <x:c r="Q35" s="49"/>
      <x:c r="R35" s="49"/>
      <x:c r="S35" s="49"/>
      <x:c r="T35" s="49"/>
      <x:c r="U35" s="49"/>
      <x:c r="V35" s="49"/>
      <x:c r="W35" s="49"/>
      <x:c r="X35" s="49"/>
      <x:c r="Y35" s="49"/>
      <x:c r="Z35" s="49"/>
      <x:c r="AA35" s="49"/>
      <x:c r="AB35" s="49"/>
      <x:c r="AC35" s="49"/>
      <x:c r="AD35" s="49"/>
      <x:c r="AE35" s="49"/>
      <x:c r="AF35" s="49"/>
      <x:c r="AG35" s="49"/>
      <x:c r="AH35" s="49"/>
      <x:c r="AI35" s="49"/>
      <x:c r="AJ35" s="49"/>
      <x:c r="AK35" s="49"/>
      <x:c r="AL35" s="49"/>
      <x:c r="AM35" s="49"/>
      <x:c r="AN35" s="49"/>
      <x:c r="AO35" s="49"/>
      <x:c r="AP35" s="49"/>
      <x:c r="AQ35" s="49"/>
      <x:c r="AR35" s="49"/>
      <x:c r="AS35" s="49"/>
      <x:c r="AT35" s="49"/>
      <x:c r="AU35" s="49"/>
      <x:c r="AV35" s="49"/>
      <x:c r="AW35" s="49"/>
      <x:c r="AX35" s="49"/>
      <x:c r="AY35" s="49"/>
      <x:c r="AZ35" s="49"/>
    </x:row>
    <x:row r="36">
      <x:c r="A36" s="49"/>
      <x:c r="B36" s="49"/>
      <x:c r="C36" s="49"/>
      <x:c r="D36" s="49"/>
      <x:c r="E36" s="49"/>
      <x:c r="F36" s="49"/>
      <x:c r="G36" s="49"/>
      <x:c r="H36" s="49"/>
      <x:c r="I36" s="49"/>
      <x:c r="J36" s="49"/>
      <x:c r="K36" s="49"/>
      <x:c r="L36" s="49"/>
      <x:c r="M36" s="49"/>
      <x:c r="N36" s="49"/>
      <x:c r="O36" s="49"/>
      <x:c r="P36" s="49"/>
      <x:c r="Q36" s="49"/>
      <x:c r="R36" s="49"/>
      <x:c r="S36" s="49"/>
      <x:c r="T36" s="49"/>
      <x:c r="U36" s="49"/>
      <x:c r="V36" s="49"/>
      <x:c r="W36" s="49"/>
      <x:c r="X36" s="49"/>
      <x:c r="Y36" s="49"/>
      <x:c r="Z36" s="49"/>
      <x:c r="AA36" s="49"/>
      <x:c r="AB36" s="49"/>
      <x:c r="AC36" s="49"/>
      <x:c r="AD36" s="49"/>
      <x:c r="AE36" s="49"/>
      <x:c r="AF36" s="49"/>
      <x:c r="AG36" s="49"/>
      <x:c r="AH36" s="49"/>
      <x:c r="AI36" s="49"/>
      <x:c r="AJ36" s="49"/>
      <x:c r="AK36" s="49"/>
      <x:c r="AL36" s="49"/>
      <x:c r="AM36" s="49"/>
      <x:c r="AN36" s="49"/>
      <x:c r="AO36" s="49"/>
      <x:c r="AP36" s="49"/>
      <x:c r="AQ36" s="49"/>
      <x:c r="AR36" s="49"/>
      <x:c r="AS36" s="49"/>
      <x:c r="AT36" s="49"/>
      <x:c r="AU36" s="49"/>
      <x:c r="AV36" s="49"/>
      <x:c r="AW36" s="49"/>
      <x:c r="AX36" s="49"/>
      <x:c r="AY36" s="49"/>
      <x:c r="AZ36" s="49"/>
    </x:row>
    <x:row r="37">
      <x:c r="A37" s="49"/>
      <x:c r="B37" s="49"/>
      <x:c r="C37" s="49"/>
      <x:c r="D37" s="49"/>
      <x:c r="E37" s="49"/>
      <x:c r="F37" s="49"/>
      <x:c r="G37" s="49"/>
      <x:c r="H37" s="49"/>
      <x:c r="I37" s="49"/>
      <x:c r="J37" s="49"/>
      <x:c r="K37" s="49"/>
      <x:c r="L37" s="49"/>
      <x:c r="M37" s="49"/>
      <x:c r="N37" s="49"/>
      <x:c r="O37" s="49"/>
      <x:c r="P37" s="49"/>
      <x:c r="Q37" s="49"/>
      <x:c r="R37" s="49"/>
      <x:c r="S37" s="49"/>
      <x:c r="T37" s="49"/>
      <x:c r="U37" s="49"/>
      <x:c r="V37" s="49"/>
      <x:c r="W37" s="49"/>
      <x:c r="X37" s="49"/>
      <x:c r="Y37" s="49"/>
      <x:c r="Z37" s="49"/>
      <x:c r="AA37" s="49"/>
      <x:c r="AB37" s="49"/>
      <x:c r="AC37" s="49"/>
      <x:c r="AD37" s="49"/>
      <x:c r="AE37" s="49"/>
      <x:c r="AF37" s="49"/>
      <x:c r="AG37" s="49"/>
      <x:c r="AH37" s="49"/>
      <x:c r="AI37" s="49"/>
      <x:c r="AJ37" s="49"/>
      <x:c r="AK37" s="49"/>
      <x:c r="AL37" s="49"/>
      <x:c r="AM37" s="49"/>
      <x:c r="AN37" s="49"/>
      <x:c r="AO37" s="49"/>
      <x:c r="AP37" s="49"/>
      <x:c r="AQ37" s="49"/>
      <x:c r="AR37" s="49"/>
      <x:c r="AS37" s="49"/>
      <x:c r="AT37" s="49"/>
      <x:c r="AU37" s="49"/>
      <x:c r="AV37" s="49"/>
      <x:c r="AW37" s="49"/>
      <x:c r="AX37" s="49"/>
      <x:c r="AY37" s="49"/>
      <x:c r="AZ37" s="49"/>
    </x:row>
    <x:row r="38">
      <x:c r="A38" s="49"/>
      <x:c r="B38" s="49"/>
      <x:c r="C38" s="49"/>
      <x:c r="D38" s="49"/>
      <x:c r="E38" s="49"/>
      <x:c r="F38" s="49"/>
      <x:c r="G38" s="49"/>
      <x:c r="H38" s="49"/>
      <x:c r="I38" s="49"/>
      <x:c r="J38" s="49"/>
      <x:c r="K38" s="49"/>
      <x:c r="L38" s="49"/>
      <x:c r="M38" s="49"/>
      <x:c r="N38" s="49"/>
      <x:c r="O38" s="49"/>
      <x:c r="P38" s="49"/>
      <x:c r="Q38" s="49"/>
      <x:c r="R38" s="49"/>
      <x:c r="S38" s="49"/>
      <x:c r="T38" s="49"/>
      <x:c r="U38" s="49"/>
      <x:c r="V38" s="49"/>
      <x:c r="W38" s="49"/>
      <x:c r="X38" s="49"/>
      <x:c r="Y38" s="49"/>
      <x:c r="Z38" s="49"/>
      <x:c r="AA38" s="49"/>
      <x:c r="AB38" s="49"/>
      <x:c r="AC38" s="49"/>
      <x:c r="AD38" s="49"/>
      <x:c r="AE38" s="49"/>
      <x:c r="AF38" s="49"/>
      <x:c r="AG38" s="49"/>
      <x:c r="AH38" s="49"/>
      <x:c r="AI38" s="49"/>
      <x:c r="AJ38" s="49"/>
      <x:c r="AK38" s="49"/>
      <x:c r="AL38" s="49"/>
      <x:c r="AM38" s="49"/>
      <x:c r="AN38" s="49"/>
      <x:c r="AO38" s="49"/>
      <x:c r="AP38" s="49"/>
      <x:c r="AQ38" s="49"/>
      <x:c r="AR38" s="49"/>
      <x:c r="AS38" s="49"/>
      <x:c r="AT38" s="49"/>
      <x:c r="AU38" s="49"/>
      <x:c r="AV38" s="49"/>
      <x:c r="AW38" s="49"/>
      <x:c r="AX38" s="49"/>
      <x:c r="AY38" s="49"/>
      <x:c r="AZ38" s="49"/>
    </x:row>
    <x:row r="39">
      <x:c r="A39" s="49"/>
      <x:c r="B39" s="49"/>
      <x:c r="C39" s="49"/>
      <x:c r="D39" s="49"/>
      <x:c r="E39" s="49"/>
      <x:c r="F39" s="49"/>
      <x:c r="G39" s="49"/>
      <x:c r="H39" s="49"/>
      <x:c r="I39" s="49"/>
      <x:c r="J39" s="49"/>
      <x:c r="K39" s="49"/>
      <x:c r="L39" s="49"/>
      <x:c r="M39" s="49"/>
      <x:c r="N39" s="49"/>
      <x:c r="O39" s="49"/>
      <x:c r="P39" s="49"/>
      <x:c r="Q39" s="49"/>
      <x:c r="R39" s="49"/>
      <x:c r="S39" s="49"/>
      <x:c r="T39" s="49"/>
      <x:c r="U39" s="49"/>
      <x:c r="V39" s="49"/>
      <x:c r="W39" s="49"/>
      <x:c r="X39" s="49"/>
      <x:c r="Y39" s="49"/>
      <x:c r="Z39" s="49"/>
      <x:c r="AA39" s="49"/>
      <x:c r="AB39" s="49"/>
      <x:c r="AC39" s="49"/>
      <x:c r="AD39" s="49"/>
      <x:c r="AE39" s="49"/>
      <x:c r="AF39" s="49"/>
      <x:c r="AG39" s="49"/>
      <x:c r="AH39" s="49"/>
      <x:c r="AI39" s="49"/>
      <x:c r="AJ39" s="49"/>
      <x:c r="AK39" s="49"/>
      <x:c r="AL39" s="49"/>
      <x:c r="AM39" s="49"/>
      <x:c r="AN39" s="49"/>
      <x:c r="AO39" s="49"/>
      <x:c r="AP39" s="49"/>
      <x:c r="AQ39" s="49"/>
      <x:c r="AR39" s="49"/>
      <x:c r="AS39" s="49"/>
      <x:c r="AT39" s="49"/>
      <x:c r="AU39" s="49"/>
      <x:c r="AV39" s="49"/>
      <x:c r="AW39" s="49"/>
      <x:c r="AX39" s="49"/>
      <x:c r="AY39" s="49"/>
      <x:c r="AZ39" s="49"/>
    </x:row>
    <x:row r="40">
      <x:c r="A40" s="49"/>
      <x:c r="B40" s="49"/>
      <x:c r="C40" s="49"/>
      <x:c r="D40" s="49"/>
      <x:c r="E40" s="49"/>
      <x:c r="F40" s="49"/>
      <x:c r="G40" s="49"/>
      <x:c r="H40" s="49"/>
      <x:c r="I40" s="49"/>
      <x:c r="J40" s="49"/>
      <x:c r="K40" s="49"/>
      <x:c r="L40" s="49"/>
      <x:c r="M40" s="49"/>
      <x:c r="N40" s="49"/>
      <x:c r="O40" s="49"/>
      <x:c r="P40" s="49"/>
      <x:c r="Q40" s="49"/>
      <x:c r="R40" s="49"/>
      <x:c r="S40" s="49"/>
      <x:c r="T40" s="49"/>
      <x:c r="U40" s="49"/>
      <x:c r="V40" s="49"/>
      <x:c r="W40" s="49"/>
      <x:c r="X40" s="49"/>
      <x:c r="Y40" s="49"/>
      <x:c r="Z40" s="49"/>
      <x:c r="AA40" s="49"/>
      <x:c r="AB40" s="49"/>
      <x:c r="AC40" s="49"/>
      <x:c r="AD40" s="49"/>
      <x:c r="AE40" s="49"/>
      <x:c r="AF40" s="49"/>
      <x:c r="AG40" s="49"/>
      <x:c r="AH40" s="49"/>
      <x:c r="AI40" s="49"/>
      <x:c r="AJ40" s="49"/>
      <x:c r="AK40" s="49"/>
      <x:c r="AL40" s="49"/>
      <x:c r="AM40" s="49"/>
      <x:c r="AN40" s="49"/>
      <x:c r="AO40" s="49"/>
      <x:c r="AP40" s="49"/>
      <x:c r="AQ40" s="49"/>
      <x:c r="AR40" s="49"/>
      <x:c r="AS40" s="49"/>
      <x:c r="AT40" s="49"/>
      <x:c r="AU40" s="49"/>
      <x:c r="AV40" s="49"/>
      <x:c r="AW40" s="49"/>
      <x:c r="AX40" s="49"/>
      <x:c r="AY40" s="49"/>
      <x:c r="AZ40" s="49"/>
    </x:row>
    <x:row r="41">
      <x:c r="A41" s="49"/>
      <x:c r="B41" s="49"/>
      <x:c r="C41" s="49"/>
      <x:c r="D41" s="49"/>
      <x:c r="E41" s="49"/>
      <x:c r="F41" s="49"/>
      <x:c r="G41" s="49"/>
      <x:c r="H41" s="49"/>
      <x:c r="I41" s="49"/>
      <x:c r="J41" s="49"/>
      <x:c r="K41" s="49"/>
      <x:c r="L41" s="49"/>
      <x:c r="M41" s="49"/>
      <x:c r="N41" s="49"/>
      <x:c r="O41" s="49"/>
      <x:c r="P41" s="49"/>
      <x:c r="Q41" s="49"/>
      <x:c r="R41" s="49"/>
      <x:c r="S41" s="49"/>
      <x:c r="T41" s="49"/>
      <x:c r="U41" s="49"/>
      <x:c r="V41" s="49"/>
      <x:c r="W41" s="49"/>
      <x:c r="X41" s="49"/>
      <x:c r="Y41" s="49"/>
      <x:c r="Z41" s="49"/>
      <x:c r="AA41" s="49"/>
      <x:c r="AB41" s="49"/>
      <x:c r="AC41" s="49"/>
      <x:c r="AD41" s="49"/>
      <x:c r="AE41" s="49"/>
      <x:c r="AF41" s="49"/>
      <x:c r="AG41" s="49"/>
      <x:c r="AH41" s="49"/>
      <x:c r="AI41" s="49"/>
      <x:c r="AJ41" s="49"/>
      <x:c r="AK41" s="49"/>
      <x:c r="AL41" s="49"/>
      <x:c r="AM41" s="49"/>
      <x:c r="AN41" s="49"/>
      <x:c r="AO41" s="49"/>
      <x:c r="AP41" s="49"/>
      <x:c r="AQ41" s="49"/>
      <x:c r="AR41" s="49"/>
      <x:c r="AS41" s="49"/>
      <x:c r="AT41" s="49"/>
      <x:c r="AU41" s="49"/>
      <x:c r="AV41" s="49"/>
      <x:c r="AW41" s="49"/>
      <x:c r="AX41" s="49"/>
      <x:c r="AY41" s="49"/>
      <x:c r="AZ41" s="49"/>
    </x:row>
    <x:row r="42">
      <x:c r="A42" s="49"/>
      <x:c r="B42" s="49"/>
      <x:c r="C42" s="49"/>
      <x:c r="D42" s="49"/>
      <x:c r="E42" s="49"/>
      <x:c r="F42" s="49"/>
      <x:c r="G42" s="49"/>
      <x:c r="H42" s="49"/>
      <x:c r="I42" s="49"/>
      <x:c r="J42" s="49"/>
      <x:c r="K42" s="49"/>
      <x:c r="L42" s="49"/>
      <x:c r="M42" s="49"/>
      <x:c r="N42" s="49"/>
      <x:c r="O42" s="49"/>
      <x:c r="P42" s="49"/>
      <x:c r="Q42" s="49"/>
      <x:c r="R42" s="49"/>
      <x:c r="S42" s="49"/>
      <x:c r="T42" s="49"/>
      <x:c r="U42" s="49"/>
      <x:c r="V42" s="49"/>
      <x:c r="W42" s="49"/>
      <x:c r="X42" s="49"/>
      <x:c r="Y42" s="49"/>
      <x:c r="Z42" s="49"/>
      <x:c r="AA42" s="49"/>
      <x:c r="AB42" s="49"/>
      <x:c r="AC42" s="49"/>
      <x:c r="AD42" s="49"/>
      <x:c r="AE42" s="49"/>
      <x:c r="AF42" s="49"/>
      <x:c r="AG42" s="49"/>
      <x:c r="AH42" s="49"/>
      <x:c r="AI42" s="49"/>
      <x:c r="AJ42" s="49"/>
      <x:c r="AK42" s="49"/>
      <x:c r="AL42" s="49"/>
      <x:c r="AM42" s="49"/>
      <x:c r="AN42" s="49"/>
      <x:c r="AO42" s="49"/>
      <x:c r="AP42" s="49"/>
      <x:c r="AQ42" s="49"/>
      <x:c r="AR42" s="49"/>
      <x:c r="AS42" s="49"/>
      <x:c r="AT42" s="49"/>
      <x:c r="AU42" s="49"/>
      <x:c r="AV42" s="49"/>
      <x:c r="AW42" s="49"/>
      <x:c r="AX42" s="49"/>
      <x:c r="AY42" s="49"/>
      <x:c r="AZ42" s="49"/>
    </x:row>
    <x:row r="43">
      <x:c r="A43" s="49"/>
      <x:c r="B43" s="49"/>
      <x:c r="C43" s="49"/>
      <x:c r="D43" s="49"/>
      <x:c r="E43" s="49"/>
      <x:c r="F43" s="49"/>
      <x:c r="G43" s="49"/>
      <x:c r="H43" s="49"/>
      <x:c r="I43" s="49"/>
      <x:c r="J43" s="49"/>
      <x:c r="K43" s="49"/>
      <x:c r="L43" s="49"/>
      <x:c r="M43" s="49"/>
      <x:c r="N43" s="49"/>
      <x:c r="O43" s="49"/>
      <x:c r="P43" s="49"/>
      <x:c r="Q43" s="49"/>
      <x:c r="R43" s="49"/>
      <x:c r="S43" s="49"/>
      <x:c r="T43" s="49"/>
      <x:c r="U43" s="49"/>
      <x:c r="V43" s="49"/>
      <x:c r="W43" s="49"/>
      <x:c r="X43" s="49"/>
      <x:c r="Y43" s="49"/>
      <x:c r="Z43" s="49"/>
      <x:c r="AA43" s="49"/>
      <x:c r="AB43" s="49"/>
      <x:c r="AC43" s="49"/>
      <x:c r="AD43" s="49"/>
      <x:c r="AE43" s="49"/>
      <x:c r="AF43" s="49"/>
      <x:c r="AG43" s="49"/>
      <x:c r="AH43" s="49"/>
      <x:c r="AI43" s="49"/>
      <x:c r="AJ43" s="49"/>
      <x:c r="AK43" s="49"/>
      <x:c r="AL43" s="49"/>
      <x:c r="AM43" s="49"/>
      <x:c r="AN43" s="49"/>
      <x:c r="AO43" s="49"/>
      <x:c r="AP43" s="49"/>
      <x:c r="AQ43" s="49"/>
      <x:c r="AR43" s="49"/>
      <x:c r="AS43" s="49"/>
      <x:c r="AT43" s="49"/>
      <x:c r="AU43" s="49"/>
      <x:c r="AV43" s="49"/>
      <x:c r="AW43" s="49"/>
      <x:c r="AX43" s="49"/>
      <x:c r="AY43" s="49"/>
      <x:c r="AZ43" s="49"/>
    </x:row>
    <x:row r="44">
      <x:c r="A44" s="49"/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49"/>
      <x:c r="N44" s="49"/>
      <x:c r="O44" s="49"/>
      <x:c r="P44" s="49"/>
      <x:c r="Q44" s="49"/>
      <x:c r="R44" s="49"/>
      <x:c r="S44" s="49"/>
      <x:c r="T44" s="49"/>
      <x:c r="U44" s="49"/>
      <x:c r="V44" s="49"/>
      <x:c r="W44" s="49"/>
      <x:c r="X44" s="49"/>
      <x:c r="Y44" s="49"/>
      <x:c r="Z44" s="49"/>
      <x:c r="AA44" s="49"/>
      <x:c r="AB44" s="49"/>
      <x:c r="AC44" s="49"/>
      <x:c r="AD44" s="49"/>
      <x:c r="AE44" s="49"/>
      <x:c r="AF44" s="49"/>
      <x:c r="AG44" s="49"/>
      <x:c r="AH44" s="49"/>
      <x:c r="AI44" s="49"/>
      <x:c r="AJ44" s="49"/>
      <x:c r="AK44" s="49"/>
      <x:c r="AL44" s="49"/>
      <x:c r="AM44" s="49"/>
      <x:c r="AN44" s="49"/>
      <x:c r="AO44" s="49"/>
      <x:c r="AP44" s="49"/>
      <x:c r="AQ44" s="49"/>
      <x:c r="AR44" s="49"/>
      <x:c r="AS44" s="49"/>
      <x:c r="AT44" s="49"/>
      <x:c r="AU44" s="49"/>
      <x:c r="AV44" s="49"/>
      <x:c r="AW44" s="49"/>
      <x:c r="AX44" s="49"/>
      <x:c r="AY44" s="49"/>
      <x:c r="AZ44" s="49"/>
    </x:row>
    <x:row r="45">
      <x:c r="A45" s="49"/>
      <x:c r="B45" s="49"/>
      <x:c r="C45" s="49"/>
      <x:c r="D45" s="49"/>
      <x:c r="E45" s="49"/>
      <x:c r="F45" s="49"/>
      <x:c r="G45" s="49"/>
      <x:c r="H45" s="49"/>
      <x:c r="I45" s="49"/>
      <x:c r="J45" s="49"/>
      <x:c r="K45" s="49"/>
      <x:c r="L45" s="49"/>
      <x:c r="M45" s="49"/>
      <x:c r="N45" s="49"/>
      <x:c r="O45" s="49"/>
      <x:c r="P45" s="49"/>
      <x:c r="Q45" s="49"/>
      <x:c r="R45" s="49"/>
      <x:c r="S45" s="49"/>
      <x:c r="T45" s="49"/>
      <x:c r="U45" s="49"/>
      <x:c r="V45" s="49"/>
      <x:c r="W45" s="49"/>
      <x:c r="X45" s="49"/>
      <x:c r="Y45" s="49"/>
      <x:c r="Z45" s="49"/>
      <x:c r="AA45" s="49"/>
      <x:c r="AB45" s="49"/>
      <x:c r="AC45" s="49"/>
      <x:c r="AD45" s="49"/>
      <x:c r="AE45" s="49"/>
      <x:c r="AF45" s="49"/>
      <x:c r="AG45" s="49"/>
      <x:c r="AH45" s="49"/>
      <x:c r="AI45" s="49"/>
      <x:c r="AJ45" s="49"/>
      <x:c r="AK45" s="49"/>
      <x:c r="AL45" s="49"/>
      <x:c r="AM45" s="49"/>
      <x:c r="AN45" s="49"/>
      <x:c r="AO45" s="49"/>
      <x:c r="AP45" s="49"/>
      <x:c r="AQ45" s="49"/>
      <x:c r="AR45" s="49"/>
      <x:c r="AS45" s="49"/>
      <x:c r="AT45" s="49"/>
      <x:c r="AU45" s="49"/>
      <x:c r="AV45" s="49"/>
      <x:c r="AW45" s="49"/>
      <x:c r="AX45" s="49"/>
      <x:c r="AY45" s="49"/>
      <x:c r="AZ45" s="49"/>
    </x:row>
    <x:row r="46">
      <x:c r="A46" s="49"/>
      <x:c r="B46" s="49"/>
      <x:c r="C46" s="49"/>
      <x:c r="D46" s="49"/>
      <x:c r="E46" s="49"/>
      <x:c r="F46" s="49"/>
      <x:c r="G46" s="49"/>
      <x:c r="H46" s="49"/>
      <x:c r="I46" s="49"/>
      <x:c r="J46" s="49"/>
      <x:c r="K46" s="49"/>
      <x:c r="L46" s="49"/>
      <x:c r="M46" s="49"/>
      <x:c r="N46" s="49"/>
      <x:c r="O46" s="49"/>
      <x:c r="P46" s="49"/>
      <x:c r="Q46" s="49"/>
      <x:c r="R46" s="49"/>
      <x:c r="S46" s="49"/>
      <x:c r="T46" s="49"/>
      <x:c r="U46" s="49"/>
      <x:c r="V46" s="49"/>
      <x:c r="W46" s="49"/>
      <x:c r="X46" s="49"/>
      <x:c r="Y46" s="49"/>
      <x:c r="Z46" s="49"/>
      <x:c r="AA46" s="49"/>
      <x:c r="AB46" s="49"/>
      <x:c r="AC46" s="49"/>
      <x:c r="AD46" s="49"/>
      <x:c r="AE46" s="49"/>
      <x:c r="AF46" s="49"/>
      <x:c r="AG46" s="49"/>
      <x:c r="AH46" s="49"/>
      <x:c r="AI46" s="49"/>
      <x:c r="AJ46" s="49"/>
      <x:c r="AK46" s="49"/>
      <x:c r="AL46" s="49"/>
      <x:c r="AM46" s="49"/>
      <x:c r="AN46" s="49"/>
      <x:c r="AO46" s="49"/>
      <x:c r="AP46" s="49"/>
      <x:c r="AQ46" s="49"/>
      <x:c r="AR46" s="49"/>
      <x:c r="AS46" s="49"/>
      <x:c r="AT46" s="49"/>
      <x:c r="AU46" s="49"/>
      <x:c r="AV46" s="49"/>
      <x:c r="AW46" s="49"/>
      <x:c r="AX46" s="49"/>
      <x:c r="AY46" s="49"/>
      <x:c r="AZ46" s="49"/>
    </x:row>
    <x:row r="47">
      <x:c r="A47" s="49"/>
      <x:c r="B47" s="49"/>
      <x:c r="C47" s="49"/>
      <x:c r="D47" s="49"/>
      <x:c r="E47" s="49"/>
      <x:c r="F47" s="49"/>
      <x:c r="G47" s="49"/>
      <x:c r="H47" s="49"/>
      <x:c r="I47" s="49"/>
      <x:c r="J47" s="49"/>
      <x:c r="K47" s="49"/>
      <x:c r="L47" s="49"/>
      <x:c r="M47" s="49"/>
      <x:c r="N47" s="49"/>
      <x:c r="O47" s="49"/>
      <x:c r="P47" s="49"/>
      <x:c r="Q47" s="49"/>
      <x:c r="R47" s="49"/>
      <x:c r="S47" s="49"/>
      <x:c r="T47" s="49"/>
      <x:c r="U47" s="49"/>
      <x:c r="V47" s="49"/>
      <x:c r="W47" s="49"/>
      <x:c r="X47" s="49"/>
      <x:c r="Y47" s="49"/>
      <x:c r="Z47" s="49"/>
      <x:c r="AA47" s="49"/>
      <x:c r="AB47" s="49"/>
      <x:c r="AC47" s="49"/>
      <x:c r="AD47" s="49"/>
      <x:c r="AE47" s="49"/>
      <x:c r="AF47" s="49"/>
      <x:c r="AG47" s="49"/>
      <x:c r="AH47" s="49"/>
      <x:c r="AI47" s="49"/>
      <x:c r="AJ47" s="49"/>
      <x:c r="AK47" s="49"/>
      <x:c r="AL47" s="49"/>
      <x:c r="AM47" s="49"/>
      <x:c r="AN47" s="49"/>
      <x:c r="AO47" s="49"/>
      <x:c r="AP47" s="49"/>
      <x:c r="AQ47" s="49"/>
      <x:c r="AR47" s="49"/>
      <x:c r="AS47" s="49"/>
      <x:c r="AT47" s="49"/>
      <x:c r="AU47" s="49"/>
      <x:c r="AV47" s="49"/>
      <x:c r="AW47" s="49"/>
      <x:c r="AX47" s="49"/>
      <x:c r="AY47" s="49"/>
      <x:c r="AZ47" s="49"/>
    </x:row>
    <x:row r="48">
      <x:c r="A48" s="49"/>
      <x:c r="B48" s="49"/>
      <x:c r="C48" s="49"/>
      <x:c r="D48" s="49"/>
      <x:c r="E48" s="49"/>
      <x:c r="F48" s="49"/>
      <x:c r="G48" s="49"/>
      <x:c r="H48" s="49"/>
      <x:c r="I48" s="49"/>
      <x:c r="J48" s="49"/>
      <x:c r="K48" s="49"/>
      <x:c r="L48" s="49"/>
      <x:c r="M48" s="49"/>
      <x:c r="N48" s="49"/>
      <x:c r="O48" s="49"/>
      <x:c r="P48" s="49"/>
      <x:c r="Q48" s="49"/>
      <x:c r="R48" s="49"/>
      <x:c r="S48" s="49"/>
      <x:c r="T48" s="49"/>
      <x:c r="U48" s="49"/>
      <x:c r="V48" s="49"/>
      <x:c r="W48" s="49"/>
      <x:c r="X48" s="49"/>
      <x:c r="Y48" s="49"/>
      <x:c r="Z48" s="49"/>
      <x:c r="AA48" s="49"/>
      <x:c r="AB48" s="49"/>
      <x:c r="AC48" s="49"/>
      <x:c r="AD48" s="49"/>
      <x:c r="AE48" s="49"/>
      <x:c r="AF48" s="49"/>
      <x:c r="AG48" s="49"/>
      <x:c r="AH48" s="49"/>
      <x:c r="AI48" s="49"/>
      <x:c r="AJ48" s="49"/>
      <x:c r="AK48" s="49"/>
      <x:c r="AL48" s="49"/>
      <x:c r="AM48" s="49"/>
      <x:c r="AN48" s="49"/>
      <x:c r="AO48" s="49"/>
      <x:c r="AP48" s="49"/>
      <x:c r="AQ48" s="49"/>
      <x:c r="AR48" s="49"/>
      <x:c r="AS48" s="49"/>
      <x:c r="AT48" s="49"/>
      <x:c r="AU48" s="49"/>
      <x:c r="AV48" s="49"/>
      <x:c r="AW48" s="49"/>
      <x:c r="AX48" s="49"/>
      <x:c r="AY48" s="49"/>
      <x:c r="AZ48" s="49"/>
    </x:row>
    <x:row r="49">
      <x:c r="A49" s="49"/>
      <x:c r="B49" s="49"/>
      <x:c r="C49" s="49"/>
      <x:c r="D49" s="49"/>
      <x:c r="E49" s="49"/>
      <x:c r="F49" s="49"/>
      <x:c r="G49" s="49"/>
      <x:c r="H49" s="49"/>
      <x:c r="I49" s="49"/>
      <x:c r="J49" s="49"/>
      <x:c r="K49" s="49"/>
      <x:c r="L49" s="49"/>
      <x:c r="M49" s="49"/>
      <x:c r="N49" s="49"/>
      <x:c r="O49" s="49"/>
      <x:c r="P49" s="49"/>
      <x:c r="Q49" s="49"/>
      <x:c r="R49" s="49"/>
      <x:c r="S49" s="49"/>
      <x:c r="T49" s="49"/>
      <x:c r="U49" s="49"/>
      <x:c r="V49" s="49"/>
      <x:c r="W49" s="49"/>
      <x:c r="X49" s="49"/>
      <x:c r="Y49" s="49"/>
      <x:c r="Z49" s="49"/>
      <x:c r="AA49" s="49"/>
      <x:c r="AB49" s="49"/>
      <x:c r="AC49" s="49"/>
      <x:c r="AD49" s="49"/>
      <x:c r="AE49" s="49"/>
      <x:c r="AF49" s="49"/>
      <x:c r="AG49" s="49"/>
      <x:c r="AH49" s="49"/>
      <x:c r="AI49" s="49"/>
      <x:c r="AJ49" s="49"/>
      <x:c r="AK49" s="49"/>
      <x:c r="AL49" s="49"/>
      <x:c r="AM49" s="49"/>
      <x:c r="AN49" s="49"/>
      <x:c r="AO49" s="49"/>
      <x:c r="AP49" s="49"/>
      <x:c r="AQ49" s="49"/>
      <x:c r="AR49" s="49"/>
      <x:c r="AS49" s="49"/>
      <x:c r="AT49" s="49"/>
      <x:c r="AU49" s="49"/>
      <x:c r="AV49" s="49"/>
      <x:c r="AW49" s="49"/>
      <x:c r="AX49" s="49"/>
      <x:c r="AY49" s="49"/>
      <x:c r="AZ49" s="49"/>
    </x:row>
    <x:row r="50">
      <x:c r="A50" s="49"/>
      <x:c r="B50" s="49"/>
      <x:c r="C50" s="49"/>
      <x:c r="D50" s="49"/>
      <x:c r="E50" s="49"/>
      <x:c r="F50" s="49"/>
      <x:c r="G50" s="49"/>
      <x:c r="H50" s="49"/>
      <x:c r="I50" s="49"/>
      <x:c r="J50" s="49"/>
      <x:c r="K50" s="49"/>
      <x:c r="L50" s="49"/>
      <x:c r="M50" s="49"/>
      <x:c r="N50" s="49"/>
      <x:c r="O50" s="49"/>
      <x:c r="P50" s="49"/>
      <x:c r="Q50" s="49"/>
      <x:c r="R50" s="49"/>
      <x:c r="S50" s="49"/>
      <x:c r="T50" s="49"/>
      <x:c r="U50" s="49"/>
      <x:c r="V50" s="49"/>
      <x:c r="W50" s="49"/>
      <x:c r="X50" s="49"/>
      <x:c r="Y50" s="49"/>
      <x:c r="Z50" s="49"/>
      <x:c r="AA50" s="49"/>
      <x:c r="AB50" s="49"/>
      <x:c r="AC50" s="49"/>
      <x:c r="AD50" s="49"/>
      <x:c r="AE50" s="49"/>
      <x:c r="AF50" s="49"/>
      <x:c r="AG50" s="49"/>
      <x:c r="AH50" s="49"/>
      <x:c r="AI50" s="49"/>
      <x:c r="AJ50" s="49"/>
      <x:c r="AK50" s="49"/>
      <x:c r="AL50" s="49"/>
      <x:c r="AM50" s="49"/>
      <x:c r="AN50" s="49"/>
      <x:c r="AO50" s="49"/>
      <x:c r="AP50" s="49"/>
      <x:c r="AQ50" s="49"/>
      <x:c r="AR50" s="49"/>
      <x:c r="AS50" s="49"/>
      <x:c r="AT50" s="49"/>
      <x:c r="AU50" s="49"/>
      <x:c r="AV50" s="49"/>
      <x:c r="AW50" s="49"/>
      <x:c r="AX50" s="49"/>
      <x:c r="AY50" s="49"/>
      <x:c r="AZ50" s="49"/>
    </x:row>
    <x:row r="51">
      <x:c r="A51" s="49"/>
      <x:c r="B51" s="49"/>
      <x:c r="C51" s="49"/>
      <x:c r="D51" s="49"/>
      <x:c r="E51" s="49"/>
      <x:c r="F51" s="49"/>
      <x:c r="G51" s="49"/>
      <x:c r="H51" s="49"/>
      <x:c r="I51" s="49"/>
      <x:c r="J51" s="49"/>
      <x:c r="K51" s="49"/>
      <x:c r="L51" s="49"/>
      <x:c r="M51" s="49"/>
      <x:c r="N51" s="49"/>
      <x:c r="O51" s="49"/>
      <x:c r="P51" s="49"/>
      <x:c r="Q51" s="49"/>
      <x:c r="R51" s="49"/>
      <x:c r="S51" s="49"/>
      <x:c r="T51" s="49"/>
      <x:c r="U51" s="49"/>
      <x:c r="V51" s="49"/>
      <x:c r="W51" s="49"/>
      <x:c r="X51" s="49"/>
      <x:c r="Y51" s="49"/>
      <x:c r="Z51" s="49"/>
      <x:c r="AA51" s="49"/>
      <x:c r="AB51" s="49"/>
      <x:c r="AC51" s="49"/>
      <x:c r="AD51" s="49"/>
      <x:c r="AE51" s="49"/>
      <x:c r="AF51" s="49"/>
      <x:c r="AG51" s="49"/>
      <x:c r="AH51" s="49"/>
      <x:c r="AI51" s="49"/>
      <x:c r="AJ51" s="49"/>
      <x:c r="AK51" s="49"/>
      <x:c r="AL51" s="49"/>
      <x:c r="AM51" s="49"/>
      <x:c r="AN51" s="49"/>
      <x:c r="AO51" s="49"/>
      <x:c r="AP51" s="49"/>
      <x:c r="AQ51" s="49"/>
      <x:c r="AR51" s="49"/>
      <x:c r="AS51" s="49"/>
      <x:c r="AT51" s="49"/>
      <x:c r="AU51" s="49"/>
      <x:c r="AV51" s="49"/>
      <x:c r="AW51" s="49"/>
      <x:c r="AX51" s="49"/>
      <x:c r="AY51" s="49"/>
      <x:c r="AZ51" s="49"/>
    </x:row>
    <x:row r="52">
      <x:c r="A52" s="49"/>
      <x:c r="B52" s="49"/>
      <x:c r="C52" s="49"/>
      <x:c r="D52" s="49"/>
      <x:c r="E52" s="49"/>
      <x:c r="F52" s="49"/>
      <x:c r="G52" s="49"/>
      <x:c r="H52" s="49"/>
      <x:c r="I52" s="49"/>
      <x:c r="J52" s="49"/>
      <x:c r="K52" s="49"/>
      <x:c r="L52" s="49"/>
      <x:c r="M52" s="49"/>
      <x:c r="N52" s="49"/>
      <x:c r="O52" s="49"/>
      <x:c r="P52" s="49"/>
      <x:c r="Q52" s="49"/>
      <x:c r="R52" s="49"/>
      <x:c r="S52" s="49"/>
      <x:c r="T52" s="49"/>
      <x:c r="U52" s="49"/>
      <x:c r="V52" s="49"/>
      <x:c r="W52" s="49"/>
      <x:c r="X52" s="49"/>
      <x:c r="Y52" s="49"/>
      <x:c r="Z52" s="49"/>
      <x:c r="AA52" s="49"/>
      <x:c r="AB52" s="49"/>
      <x:c r="AC52" s="49"/>
      <x:c r="AD52" s="49"/>
      <x:c r="AE52" s="49"/>
      <x:c r="AF52" s="49"/>
      <x:c r="AG52" s="49"/>
      <x:c r="AH52" s="49"/>
      <x:c r="AI52" s="49"/>
      <x:c r="AJ52" s="49"/>
      <x:c r="AK52" s="49"/>
      <x:c r="AL52" s="49"/>
      <x:c r="AM52" s="49"/>
      <x:c r="AN52" s="49"/>
      <x:c r="AO52" s="49"/>
      <x:c r="AP52" s="49"/>
      <x:c r="AQ52" s="49"/>
      <x:c r="AR52" s="49"/>
      <x:c r="AS52" s="49"/>
      <x:c r="AT52" s="49"/>
      <x:c r="AU52" s="49"/>
      <x:c r="AV52" s="49"/>
      <x:c r="AW52" s="49"/>
      <x:c r="AX52" s="49"/>
      <x:c r="AY52" s="49"/>
      <x:c r="AZ52" s="49"/>
    </x:row>
    <x:row r="53">
      <x:c r="A53" s="49"/>
      <x:c r="B53" s="49"/>
      <x:c r="C53" s="49"/>
      <x:c r="D53" s="49"/>
      <x:c r="E53" s="49"/>
      <x:c r="F53" s="49"/>
      <x:c r="G53" s="49"/>
      <x:c r="H53" s="49"/>
      <x:c r="I53" s="49"/>
      <x:c r="J53" s="49"/>
      <x:c r="K53" s="49"/>
      <x:c r="L53" s="49"/>
      <x:c r="M53" s="49"/>
      <x:c r="N53" s="49"/>
      <x:c r="O53" s="49"/>
      <x:c r="P53" s="49"/>
      <x:c r="Q53" s="49"/>
      <x:c r="R53" s="49"/>
      <x:c r="S53" s="49"/>
      <x:c r="T53" s="49"/>
      <x:c r="U53" s="49"/>
      <x:c r="V53" s="49"/>
      <x:c r="W53" s="49"/>
      <x:c r="X53" s="49"/>
      <x:c r="Y53" s="49"/>
      <x:c r="Z53" s="49"/>
      <x:c r="AA53" s="49"/>
      <x:c r="AB53" s="49"/>
      <x:c r="AC53" s="49"/>
      <x:c r="AD53" s="49"/>
      <x:c r="AE53" s="49"/>
      <x:c r="AF53" s="49"/>
      <x:c r="AG53" s="49"/>
      <x:c r="AH53" s="49"/>
      <x:c r="AI53" s="49"/>
      <x:c r="AJ53" s="49"/>
      <x:c r="AK53" s="49"/>
      <x:c r="AL53" s="49"/>
      <x:c r="AM53" s="49"/>
      <x:c r="AN53" s="49"/>
      <x:c r="AO53" s="49"/>
      <x:c r="AP53" s="49"/>
      <x:c r="AQ53" s="49"/>
      <x:c r="AR53" s="49"/>
      <x:c r="AS53" s="49"/>
      <x:c r="AT53" s="49"/>
      <x:c r="AU53" s="49"/>
      <x:c r="AV53" s="49"/>
      <x:c r="AW53" s="49"/>
      <x:c r="AX53" s="49"/>
      <x:c r="AY53" s="49"/>
      <x:c r="AZ53" s="49"/>
    </x:row>
    <x:row r="54">
      <x:c r="A54" s="49"/>
      <x:c r="B54" s="49"/>
      <x:c r="C54" s="49"/>
      <x:c r="D54" s="49"/>
      <x:c r="E54" s="49"/>
      <x:c r="F54" s="49"/>
      <x:c r="G54" s="49"/>
      <x:c r="H54" s="49"/>
      <x:c r="I54" s="49"/>
      <x:c r="J54" s="49"/>
      <x:c r="K54" s="49"/>
      <x:c r="L54" s="49"/>
      <x:c r="M54" s="49"/>
      <x:c r="N54" s="49"/>
      <x:c r="O54" s="49"/>
      <x:c r="P54" s="49"/>
      <x:c r="Q54" s="49"/>
      <x:c r="R54" s="49"/>
      <x:c r="S54" s="49"/>
      <x:c r="T54" s="49"/>
      <x:c r="U54" s="49"/>
      <x:c r="V54" s="49"/>
      <x:c r="W54" s="49"/>
      <x:c r="X54" s="49"/>
      <x:c r="Y54" s="49"/>
      <x:c r="Z54" s="49"/>
      <x:c r="AA54" s="49"/>
      <x:c r="AB54" s="49"/>
      <x:c r="AC54" s="49"/>
      <x:c r="AD54" s="49"/>
      <x:c r="AE54" s="49"/>
      <x:c r="AF54" s="49"/>
      <x:c r="AG54" s="49"/>
      <x:c r="AH54" s="49"/>
      <x:c r="AI54" s="49"/>
      <x:c r="AJ54" s="49"/>
      <x:c r="AK54" s="49"/>
      <x:c r="AL54" s="49"/>
      <x:c r="AM54" s="49"/>
      <x:c r="AN54" s="49"/>
      <x:c r="AO54" s="49"/>
      <x:c r="AP54" s="49"/>
      <x:c r="AQ54" s="49"/>
      <x:c r="AR54" s="49"/>
      <x:c r="AS54" s="49"/>
      <x:c r="AT54" s="49"/>
      <x:c r="AU54" s="49"/>
      <x:c r="AV54" s="49"/>
      <x:c r="AW54" s="49"/>
      <x:c r="AX54" s="49"/>
      <x:c r="AY54" s="49"/>
      <x:c r="AZ54" s="49"/>
    </x:row>
    <x:row r="55">
      <x:c r="A55" s="49"/>
      <x:c r="B55" s="49"/>
      <x:c r="C55" s="49"/>
      <x:c r="D55" s="49"/>
      <x:c r="E55" s="49"/>
      <x:c r="F55" s="49"/>
      <x:c r="G55" s="49"/>
      <x:c r="H55" s="49"/>
      <x:c r="I55" s="49"/>
      <x:c r="J55" s="49"/>
      <x:c r="K55" s="49"/>
      <x:c r="L55" s="49"/>
      <x:c r="M55" s="49"/>
      <x:c r="N55" s="49"/>
      <x:c r="O55" s="49"/>
      <x:c r="P55" s="49"/>
      <x:c r="Q55" s="49"/>
      <x:c r="R55" s="49"/>
      <x:c r="S55" s="49"/>
      <x:c r="T55" s="49"/>
      <x:c r="U55" s="49"/>
      <x:c r="V55" s="49"/>
      <x:c r="W55" s="49"/>
      <x:c r="X55" s="49"/>
      <x:c r="Y55" s="49"/>
      <x:c r="Z55" s="49"/>
      <x:c r="AA55" s="49"/>
      <x:c r="AB55" s="49"/>
      <x:c r="AC55" s="49"/>
      <x:c r="AD55" s="49"/>
      <x:c r="AE55" s="49"/>
      <x:c r="AF55" s="49"/>
      <x:c r="AG55" s="49"/>
      <x:c r="AH55" s="49"/>
      <x:c r="AI55" s="49"/>
      <x:c r="AJ55" s="49"/>
      <x:c r="AK55" s="49"/>
      <x:c r="AL55" s="49"/>
      <x:c r="AM55" s="49"/>
      <x:c r="AN55" s="49"/>
      <x:c r="AO55" s="49"/>
      <x:c r="AP55" s="49"/>
      <x:c r="AQ55" s="49"/>
      <x:c r="AR55" s="49"/>
      <x:c r="AS55" s="49"/>
      <x:c r="AT55" s="49"/>
      <x:c r="AU55" s="49"/>
      <x:c r="AV55" s="49"/>
      <x:c r="AW55" s="49"/>
      <x:c r="AX55" s="49"/>
      <x:c r="AY55" s="49"/>
      <x:c r="AZ55" s="49"/>
    </x:row>
    <x:row r="56">
      <x:c r="A56" s="49"/>
      <x:c r="B56" s="49"/>
      <x:c r="C56" s="49"/>
      <x:c r="D56" s="49"/>
      <x:c r="E56" s="49"/>
      <x:c r="F56" s="49"/>
      <x:c r="G56" s="49"/>
      <x:c r="H56" s="49"/>
      <x:c r="I56" s="49"/>
      <x:c r="J56" s="49"/>
      <x:c r="K56" s="49"/>
      <x:c r="L56" s="49"/>
      <x:c r="M56" s="49"/>
      <x:c r="N56" s="49"/>
      <x:c r="O56" s="49"/>
      <x:c r="P56" s="49"/>
      <x:c r="Q56" s="49"/>
      <x:c r="R56" s="49"/>
      <x:c r="S56" s="49"/>
      <x:c r="T56" s="49"/>
      <x:c r="U56" s="49"/>
      <x:c r="V56" s="49"/>
      <x:c r="W56" s="49"/>
      <x:c r="X56" s="49"/>
      <x:c r="Y56" s="49"/>
      <x:c r="Z56" s="49"/>
      <x:c r="AA56" s="49"/>
      <x:c r="AB56" s="49"/>
      <x:c r="AC56" s="49"/>
      <x:c r="AD56" s="49"/>
      <x:c r="AE56" s="49"/>
      <x:c r="AF56" s="49"/>
      <x:c r="AG56" s="49"/>
      <x:c r="AH56" s="49"/>
      <x:c r="AI56" s="49"/>
      <x:c r="AJ56" s="49"/>
      <x:c r="AK56" s="49"/>
      <x:c r="AL56" s="49"/>
      <x:c r="AM56" s="49"/>
      <x:c r="AN56" s="49"/>
      <x:c r="AO56" s="49"/>
      <x:c r="AP56" s="49"/>
      <x:c r="AQ56" s="49"/>
      <x:c r="AR56" s="49"/>
      <x:c r="AS56" s="49"/>
      <x:c r="AT56" s="49"/>
      <x:c r="AU56" s="49"/>
      <x:c r="AV56" s="49"/>
      <x:c r="AW56" s="49"/>
      <x:c r="AX56" s="49"/>
      <x:c r="AY56" s="49"/>
      <x:c r="AZ56" s="49"/>
    </x:row>
    <x:row r="57">
      <x:c r="A57" s="49"/>
      <x:c r="B57" s="49"/>
      <x:c r="C57" s="49"/>
      <x:c r="D57" s="49"/>
      <x:c r="E57" s="49"/>
      <x:c r="F57" s="49"/>
      <x:c r="G57" s="49"/>
      <x:c r="H57" s="49"/>
      <x:c r="I57" s="49"/>
      <x:c r="J57" s="49"/>
      <x:c r="K57" s="49"/>
      <x:c r="L57" s="49"/>
      <x:c r="M57" s="49"/>
      <x:c r="N57" s="49"/>
      <x:c r="O57" s="49"/>
      <x:c r="P57" s="49"/>
      <x:c r="Q57" s="49"/>
      <x:c r="R57" s="49"/>
      <x:c r="S57" s="49"/>
      <x:c r="T57" s="49"/>
      <x:c r="U57" s="49"/>
      <x:c r="V57" s="49"/>
      <x:c r="W57" s="49"/>
      <x:c r="X57" s="49"/>
      <x:c r="Y57" s="49"/>
      <x:c r="Z57" s="49"/>
      <x:c r="AA57" s="49"/>
      <x:c r="AB57" s="49"/>
      <x:c r="AC57" s="49"/>
      <x:c r="AD57" s="49"/>
      <x:c r="AE57" s="49"/>
      <x:c r="AF57" s="49"/>
      <x:c r="AG57" s="49"/>
      <x:c r="AH57" s="49"/>
      <x:c r="AI57" s="49"/>
      <x:c r="AJ57" s="49"/>
      <x:c r="AK57" s="49"/>
      <x:c r="AL57" s="49"/>
      <x:c r="AM57" s="49"/>
      <x:c r="AN57" s="49"/>
      <x:c r="AO57" s="49"/>
      <x:c r="AP57" s="49"/>
      <x:c r="AQ57" s="49"/>
      <x:c r="AR57" s="49"/>
      <x:c r="AS57" s="49"/>
      <x:c r="AT57" s="49"/>
      <x:c r="AU57" s="49"/>
      <x:c r="AV57" s="49"/>
      <x:c r="AW57" s="49"/>
      <x:c r="AX57" s="49"/>
      <x:c r="AY57" s="49"/>
      <x:c r="AZ57" s="49"/>
    </x:row>
    <x:row r="58">
      <x:c r="A58" s="49"/>
      <x:c r="B58" s="49"/>
      <x:c r="C58" s="49"/>
      <x:c r="D58" s="49"/>
      <x:c r="E58" s="49"/>
      <x:c r="F58" s="49"/>
      <x:c r="G58" s="49"/>
      <x:c r="H58" s="49"/>
      <x:c r="I58" s="49"/>
      <x:c r="J58" s="49"/>
      <x:c r="K58" s="49"/>
      <x:c r="L58" s="49"/>
      <x:c r="M58" s="49"/>
      <x:c r="N58" s="49"/>
      <x:c r="O58" s="49"/>
      <x:c r="P58" s="49"/>
      <x:c r="Q58" s="49"/>
      <x:c r="R58" s="49"/>
      <x:c r="S58" s="49"/>
      <x:c r="T58" s="49"/>
      <x:c r="U58" s="49"/>
      <x:c r="V58" s="49"/>
      <x:c r="W58" s="49"/>
      <x:c r="X58" s="49"/>
      <x:c r="Y58" s="49"/>
      <x:c r="Z58" s="49"/>
      <x:c r="AA58" s="49"/>
      <x:c r="AB58" s="49"/>
      <x:c r="AC58" s="49"/>
      <x:c r="AD58" s="49"/>
      <x:c r="AE58" s="49"/>
      <x:c r="AF58" s="49"/>
      <x:c r="AG58" s="49"/>
      <x:c r="AH58" s="49"/>
      <x:c r="AI58" s="49"/>
      <x:c r="AJ58" s="49"/>
      <x:c r="AK58" s="49"/>
      <x:c r="AL58" s="49"/>
      <x:c r="AM58" s="49"/>
      <x:c r="AN58" s="49"/>
      <x:c r="AO58" s="49"/>
      <x:c r="AP58" s="49"/>
      <x:c r="AQ58" s="49"/>
      <x:c r="AR58" s="49"/>
      <x:c r="AS58" s="49"/>
      <x:c r="AT58" s="49"/>
      <x:c r="AU58" s="49"/>
      <x:c r="AV58" s="49"/>
      <x:c r="AW58" s="49"/>
      <x:c r="AX58" s="49"/>
      <x:c r="AY58" s="49"/>
      <x:c r="AZ58" s="49"/>
    </x:row>
    <x:row r="59">
      <x:c r="A59" s="49"/>
      <x:c r="B59" s="49"/>
      <x:c r="C59" s="49"/>
      <x:c r="D59" s="49"/>
      <x:c r="E59" s="49"/>
      <x:c r="F59" s="49"/>
      <x:c r="G59" s="49"/>
      <x:c r="H59" s="49"/>
      <x:c r="I59" s="49"/>
      <x:c r="J59" s="49"/>
      <x:c r="K59" s="49"/>
      <x:c r="L59" s="49"/>
      <x:c r="M59" s="49"/>
      <x:c r="N59" s="49"/>
      <x:c r="O59" s="49"/>
      <x:c r="P59" s="49"/>
      <x:c r="Q59" s="49"/>
      <x:c r="R59" s="49"/>
      <x:c r="S59" s="49"/>
      <x:c r="T59" s="49"/>
      <x:c r="U59" s="49"/>
      <x:c r="V59" s="49"/>
      <x:c r="W59" s="49"/>
      <x:c r="X59" s="49"/>
      <x:c r="Y59" s="49"/>
      <x:c r="Z59" s="49"/>
      <x:c r="AA59" s="49"/>
      <x:c r="AB59" s="49"/>
      <x:c r="AC59" s="49"/>
      <x:c r="AD59" s="49"/>
      <x:c r="AE59" s="49"/>
      <x:c r="AF59" s="49"/>
      <x:c r="AG59" s="49"/>
      <x:c r="AH59" s="49"/>
      <x:c r="AI59" s="49"/>
      <x:c r="AJ59" s="49"/>
      <x:c r="AK59" s="49"/>
      <x:c r="AL59" s="49"/>
      <x:c r="AM59" s="49"/>
      <x:c r="AN59" s="49"/>
      <x:c r="AO59" s="49"/>
      <x:c r="AP59" s="49"/>
      <x:c r="AQ59" s="49"/>
      <x:c r="AR59" s="49"/>
      <x:c r="AS59" s="49"/>
      <x:c r="AT59" s="49"/>
      <x:c r="AU59" s="49"/>
      <x:c r="AV59" s="49"/>
      <x:c r="AW59" s="49"/>
      <x:c r="AX59" s="49"/>
      <x:c r="AY59" s="49"/>
      <x:c r="AZ59" s="49"/>
    </x:row>
    <x:row r="60">
      <x:c r="A60" s="49"/>
      <x:c r="B60" s="49"/>
      <x:c r="C60" s="49"/>
      <x:c r="D60" s="49"/>
      <x:c r="E60" s="49"/>
      <x:c r="F60" s="49"/>
      <x:c r="G60" s="49"/>
      <x:c r="H60" s="49"/>
      <x:c r="I60" s="49"/>
      <x:c r="J60" s="49"/>
      <x:c r="K60" s="49"/>
      <x:c r="L60" s="49"/>
      <x:c r="M60" s="49"/>
      <x:c r="N60" s="49"/>
      <x:c r="O60" s="49"/>
      <x:c r="P60" s="49"/>
      <x:c r="Q60" s="49"/>
      <x:c r="R60" s="49"/>
      <x:c r="S60" s="49"/>
      <x:c r="T60" s="49"/>
      <x:c r="U60" s="49"/>
      <x:c r="V60" s="49"/>
      <x:c r="W60" s="49"/>
      <x:c r="X60" s="49"/>
      <x:c r="Y60" s="49"/>
      <x:c r="Z60" s="49"/>
      <x:c r="AA60" s="49"/>
      <x:c r="AB60" s="49"/>
      <x:c r="AC60" s="49"/>
      <x:c r="AD60" s="49"/>
      <x:c r="AE60" s="49"/>
      <x:c r="AF60" s="49"/>
      <x:c r="AG60" s="49"/>
      <x:c r="AH60" s="49"/>
      <x:c r="AI60" s="49"/>
      <x:c r="AJ60" s="49"/>
      <x:c r="AK60" s="49"/>
      <x:c r="AL60" s="49"/>
      <x:c r="AM60" s="49"/>
      <x:c r="AN60" s="49"/>
      <x:c r="AO60" s="49"/>
      <x:c r="AP60" s="49"/>
      <x:c r="AQ60" s="49"/>
      <x:c r="AR60" s="49"/>
      <x:c r="AS60" s="49"/>
      <x:c r="AT60" s="49"/>
      <x:c r="AU60" s="49"/>
      <x:c r="AV60" s="49"/>
      <x:c r="AW60" s="49"/>
      <x:c r="AX60" s="49"/>
      <x:c r="AY60" s="49"/>
      <x:c r="AZ60" s="49"/>
    </x:row>
    <x:row r="61">
      <x:c r="A61" s="49"/>
      <x:c r="B61" s="49"/>
      <x:c r="C61" s="49"/>
      <x:c r="D61" s="49"/>
      <x:c r="E61" s="49"/>
      <x:c r="F61" s="49"/>
      <x:c r="G61" s="49"/>
      <x:c r="H61" s="49"/>
      <x:c r="I61" s="49"/>
      <x:c r="J61" s="49"/>
      <x:c r="K61" s="49"/>
      <x:c r="L61" s="49"/>
      <x:c r="M61" s="49"/>
      <x:c r="N61" s="49"/>
      <x:c r="O61" s="49"/>
      <x:c r="P61" s="49"/>
      <x:c r="Q61" s="49"/>
      <x:c r="R61" s="49"/>
      <x:c r="S61" s="49"/>
      <x:c r="T61" s="49"/>
      <x:c r="U61" s="49"/>
      <x:c r="V61" s="49"/>
      <x:c r="W61" s="49"/>
      <x:c r="X61" s="49"/>
      <x:c r="Y61" s="49"/>
      <x:c r="Z61" s="49"/>
      <x:c r="AA61" s="49"/>
      <x:c r="AB61" s="49"/>
      <x:c r="AC61" s="49"/>
      <x:c r="AD61" s="49"/>
      <x:c r="AE61" s="49"/>
      <x:c r="AF61" s="49"/>
      <x:c r="AG61" s="49"/>
      <x:c r="AH61" s="49"/>
      <x:c r="AI61" s="49"/>
      <x:c r="AJ61" s="49"/>
      <x:c r="AK61" s="49"/>
      <x:c r="AL61" s="49"/>
      <x:c r="AM61" s="49"/>
      <x:c r="AN61" s="49"/>
      <x:c r="AO61" s="49"/>
      <x:c r="AP61" s="49"/>
      <x:c r="AQ61" s="49"/>
      <x:c r="AR61" s="49"/>
      <x:c r="AS61" s="49"/>
      <x:c r="AT61" s="49"/>
      <x:c r="AU61" s="49"/>
      <x:c r="AV61" s="49"/>
      <x:c r="AW61" s="49"/>
      <x:c r="AX61" s="49"/>
      <x:c r="AY61" s="49"/>
      <x:c r="AZ61" s="49"/>
    </x:row>
    <x:row r="62">
      <x:c r="A62" s="49"/>
      <x:c r="B62" s="49"/>
      <x:c r="C62" s="49"/>
      <x:c r="D62" s="49"/>
      <x:c r="E62" s="49"/>
      <x:c r="F62" s="49"/>
      <x:c r="G62" s="49"/>
      <x:c r="H62" s="49"/>
      <x:c r="I62" s="49"/>
      <x:c r="J62" s="49"/>
      <x:c r="K62" s="49"/>
      <x:c r="L62" s="49"/>
      <x:c r="M62" s="49"/>
      <x:c r="N62" s="49"/>
      <x:c r="O62" s="49"/>
      <x:c r="P62" s="49"/>
      <x:c r="Q62" s="49"/>
      <x:c r="R62" s="49"/>
      <x:c r="S62" s="49"/>
      <x:c r="T62" s="49"/>
      <x:c r="U62" s="49"/>
      <x:c r="V62" s="49"/>
      <x:c r="W62" s="49"/>
      <x:c r="X62" s="49"/>
      <x:c r="Y62" s="49"/>
      <x:c r="Z62" s="49"/>
      <x:c r="AA62" s="49"/>
      <x:c r="AB62" s="49"/>
      <x:c r="AC62" s="49"/>
      <x:c r="AD62" s="49"/>
      <x:c r="AE62" s="49"/>
      <x:c r="AF62" s="49"/>
      <x:c r="AG62" s="49"/>
      <x:c r="AH62" s="49"/>
      <x:c r="AI62" s="49"/>
      <x:c r="AJ62" s="49"/>
      <x:c r="AK62" s="49"/>
      <x:c r="AL62" s="49"/>
      <x:c r="AM62" s="49"/>
      <x:c r="AN62" s="49"/>
      <x:c r="AO62" s="49"/>
      <x:c r="AP62" s="49"/>
      <x:c r="AQ62" s="49"/>
      <x:c r="AR62" s="49"/>
      <x:c r="AS62" s="49"/>
      <x:c r="AT62" s="49"/>
      <x:c r="AU62" s="49"/>
      <x:c r="AV62" s="49"/>
      <x:c r="AW62" s="49"/>
      <x:c r="AX62" s="49"/>
      <x:c r="AY62" s="49"/>
      <x:c r="AZ62" s="49"/>
    </x:row>
    <x:row r="63">
      <x:c r="A63" s="49"/>
      <x:c r="B63" s="49"/>
      <x:c r="C63" s="49"/>
      <x:c r="D63" s="49"/>
      <x:c r="E63" s="49"/>
      <x:c r="F63" s="49"/>
      <x:c r="G63" s="49"/>
      <x:c r="H63" s="49"/>
      <x:c r="I63" s="49"/>
      <x:c r="J63" s="49"/>
      <x:c r="K63" s="49"/>
      <x:c r="L63" s="49"/>
      <x:c r="M63" s="49"/>
      <x:c r="N63" s="49"/>
      <x:c r="O63" s="49"/>
      <x:c r="P63" s="49"/>
      <x:c r="Q63" s="49"/>
      <x:c r="R63" s="49"/>
      <x:c r="S63" s="49"/>
      <x:c r="T63" s="49"/>
      <x:c r="U63" s="49"/>
      <x:c r="V63" s="49"/>
      <x:c r="W63" s="49"/>
      <x:c r="X63" s="49"/>
      <x:c r="Y63" s="49"/>
      <x:c r="Z63" s="49"/>
      <x:c r="AA63" s="49"/>
      <x:c r="AB63" s="49"/>
      <x:c r="AC63" s="49"/>
      <x:c r="AD63" s="49"/>
      <x:c r="AE63" s="49"/>
      <x:c r="AF63" s="49"/>
      <x:c r="AG63" s="49"/>
      <x:c r="AH63" s="49"/>
      <x:c r="AI63" s="49"/>
      <x:c r="AJ63" s="49"/>
      <x:c r="AK63" s="49"/>
      <x:c r="AL63" s="49"/>
      <x:c r="AM63" s="49"/>
      <x:c r="AN63" s="49"/>
      <x:c r="AO63" s="49"/>
      <x:c r="AP63" s="49"/>
      <x:c r="AQ63" s="49"/>
      <x:c r="AR63" s="49"/>
      <x:c r="AS63" s="49"/>
      <x:c r="AT63" s="49"/>
      <x:c r="AU63" s="49"/>
      <x:c r="AV63" s="49"/>
      <x:c r="AW63" s="49"/>
      <x:c r="AX63" s="49"/>
      <x:c r="AY63" s="49"/>
      <x:c r="AZ63" s="49"/>
    </x:row>
    <x:row r="64">
      <x:c r="A64" s="49"/>
      <x:c r="B64" s="49"/>
      <x:c r="C64" s="49"/>
      <x:c r="D64" s="49"/>
      <x:c r="E64" s="49"/>
      <x:c r="F64" s="49"/>
      <x:c r="G64" s="49"/>
      <x:c r="H64" s="49"/>
      <x:c r="I64" s="49"/>
      <x:c r="J64" s="49"/>
      <x:c r="K64" s="49"/>
      <x:c r="L64" s="49"/>
      <x:c r="M64" s="49"/>
      <x:c r="N64" s="49"/>
      <x:c r="O64" s="49"/>
      <x:c r="P64" s="49"/>
      <x:c r="Q64" s="49"/>
      <x:c r="R64" s="49"/>
      <x:c r="S64" s="49"/>
      <x:c r="T64" s="49"/>
      <x:c r="U64" s="49"/>
      <x:c r="V64" s="49"/>
      <x:c r="W64" s="49"/>
      <x:c r="X64" s="49"/>
      <x:c r="Y64" s="49"/>
      <x:c r="Z64" s="49"/>
      <x:c r="AA64" s="49"/>
      <x:c r="AB64" s="49"/>
      <x:c r="AC64" s="49"/>
      <x:c r="AD64" s="49"/>
      <x:c r="AE64" s="49"/>
      <x:c r="AF64" s="49"/>
      <x:c r="AG64" s="49"/>
      <x:c r="AH64" s="49"/>
      <x:c r="AI64" s="49"/>
      <x:c r="AJ64" s="49"/>
      <x:c r="AK64" s="49"/>
      <x:c r="AL64" s="49"/>
      <x:c r="AM64" s="49"/>
      <x:c r="AN64" s="49"/>
      <x:c r="AO64" s="49"/>
      <x:c r="AP64" s="49"/>
      <x:c r="AQ64" s="49"/>
      <x:c r="AR64" s="49"/>
      <x:c r="AS64" s="49"/>
      <x:c r="AT64" s="49"/>
      <x:c r="AU64" s="49"/>
      <x:c r="AV64" s="49"/>
      <x:c r="AW64" s="49"/>
      <x:c r="AX64" s="49"/>
      <x:c r="AY64" s="49"/>
      <x:c r="AZ64" s="49"/>
    </x:row>
    <x:row r="65">
      <x:c r="A65" s="49"/>
      <x:c r="B65" s="49"/>
      <x:c r="C65" s="49"/>
      <x:c r="D65" s="49"/>
      <x:c r="E65" s="49"/>
      <x:c r="F65" s="49"/>
      <x:c r="G65" s="49"/>
      <x:c r="H65" s="49"/>
      <x:c r="I65" s="49"/>
      <x:c r="J65" s="49"/>
      <x:c r="K65" s="49"/>
      <x:c r="L65" s="49"/>
      <x:c r="M65" s="49"/>
      <x:c r="N65" s="49"/>
      <x:c r="O65" s="49"/>
      <x:c r="P65" s="49"/>
      <x:c r="Q65" s="49"/>
      <x:c r="R65" s="49"/>
      <x:c r="S65" s="49"/>
      <x:c r="T65" s="49"/>
      <x:c r="U65" s="49"/>
      <x:c r="V65" s="49"/>
      <x:c r="W65" s="49"/>
      <x:c r="X65" s="49"/>
      <x:c r="Y65" s="49"/>
      <x:c r="Z65" s="49"/>
      <x:c r="AA65" s="49"/>
      <x:c r="AB65" s="49"/>
      <x:c r="AC65" s="49"/>
      <x:c r="AD65" s="49"/>
      <x:c r="AE65" s="49"/>
      <x:c r="AF65" s="49"/>
      <x:c r="AG65" s="49"/>
      <x:c r="AH65" s="49"/>
      <x:c r="AI65" s="49"/>
      <x:c r="AJ65" s="49"/>
      <x:c r="AK65" s="49"/>
      <x:c r="AL65" s="49"/>
      <x:c r="AM65" s="49"/>
      <x:c r="AN65" s="49"/>
      <x:c r="AO65" s="49"/>
      <x:c r="AP65" s="49"/>
      <x:c r="AQ65" s="49"/>
      <x:c r="AR65" s="49"/>
      <x:c r="AS65" s="49"/>
      <x:c r="AT65" s="49"/>
      <x:c r="AU65" s="49"/>
      <x:c r="AV65" s="49"/>
      <x:c r="AW65" s="49"/>
      <x:c r="AX65" s="49"/>
      <x:c r="AY65" s="49"/>
      <x:c r="AZ65" s="49"/>
    </x:row>
    <x:row r="66">
      <x:c r="A66" s="49"/>
      <x:c r="B66" s="49"/>
      <x:c r="C66" s="49"/>
      <x:c r="D66" s="49"/>
      <x:c r="E66" s="49"/>
      <x:c r="F66" s="49"/>
      <x:c r="G66" s="49"/>
      <x:c r="H66" s="49"/>
      <x:c r="I66" s="49"/>
      <x:c r="J66" s="49"/>
      <x:c r="K66" s="49"/>
      <x:c r="L66" s="49"/>
      <x:c r="M66" s="49"/>
      <x:c r="N66" s="49"/>
      <x:c r="O66" s="49"/>
      <x:c r="P66" s="49"/>
      <x:c r="Q66" s="49"/>
      <x:c r="R66" s="49"/>
      <x:c r="S66" s="49"/>
      <x:c r="T66" s="49"/>
      <x:c r="U66" s="49"/>
      <x:c r="V66" s="49"/>
      <x:c r="W66" s="49"/>
      <x:c r="X66" s="49"/>
      <x:c r="Y66" s="49"/>
      <x:c r="Z66" s="49"/>
      <x:c r="AA66" s="49"/>
      <x:c r="AB66" s="49"/>
      <x:c r="AC66" s="49"/>
      <x:c r="AD66" s="49"/>
      <x:c r="AE66" s="49"/>
      <x:c r="AF66" s="49"/>
      <x:c r="AG66" s="49"/>
      <x:c r="AH66" s="49"/>
      <x:c r="AI66" s="49"/>
      <x:c r="AJ66" s="49"/>
      <x:c r="AK66" s="49"/>
      <x:c r="AL66" s="49"/>
      <x:c r="AM66" s="49"/>
      <x:c r="AN66" s="49"/>
      <x:c r="AO66" s="49"/>
      <x:c r="AP66" s="49"/>
      <x:c r="AQ66" s="49"/>
      <x:c r="AR66" s="49"/>
      <x:c r="AS66" s="49"/>
      <x:c r="AT66" s="49"/>
      <x:c r="AU66" s="49"/>
      <x:c r="AV66" s="49"/>
      <x:c r="AW66" s="49"/>
      <x:c r="AX66" s="49"/>
      <x:c r="AY66" s="49"/>
      <x:c r="AZ66" s="49"/>
    </x:row>
    <x:row r="67">
      <x:c r="A67" s="49"/>
      <x:c r="B67" s="49"/>
      <x:c r="C67" s="49"/>
      <x:c r="D67" s="49"/>
      <x:c r="E67" s="49"/>
      <x:c r="F67" s="49"/>
      <x:c r="G67" s="49"/>
      <x:c r="H67" s="49"/>
      <x:c r="I67" s="49"/>
      <x:c r="J67" s="49"/>
      <x:c r="K67" s="49"/>
      <x:c r="L67" s="49"/>
      <x:c r="M67" s="49"/>
      <x:c r="N67" s="49"/>
      <x:c r="O67" s="49"/>
      <x:c r="P67" s="49"/>
      <x:c r="Q67" s="49"/>
      <x:c r="R67" s="49"/>
      <x:c r="S67" s="49"/>
      <x:c r="T67" s="49"/>
      <x:c r="U67" s="49"/>
      <x:c r="V67" s="49"/>
      <x:c r="W67" s="49"/>
      <x:c r="X67" s="49"/>
      <x:c r="Y67" s="49"/>
      <x:c r="Z67" s="49"/>
      <x:c r="AA67" s="49"/>
      <x:c r="AB67" s="49"/>
      <x:c r="AC67" s="49"/>
      <x:c r="AD67" s="49"/>
      <x:c r="AE67" s="49"/>
      <x:c r="AF67" s="49"/>
      <x:c r="AG67" s="49"/>
      <x:c r="AH67" s="49"/>
      <x:c r="AI67" s="49"/>
      <x:c r="AJ67" s="49"/>
      <x:c r="AK67" s="49"/>
      <x:c r="AL67" s="49"/>
      <x:c r="AM67" s="49"/>
      <x:c r="AN67" s="49"/>
      <x:c r="AO67" s="49"/>
      <x:c r="AP67" s="49"/>
      <x:c r="AQ67" s="49"/>
      <x:c r="AR67" s="49"/>
      <x:c r="AS67" s="49"/>
      <x:c r="AT67" s="49"/>
      <x:c r="AU67" s="49"/>
      <x:c r="AV67" s="49"/>
      <x:c r="AW67" s="49"/>
      <x:c r="AX67" s="49"/>
      <x:c r="AY67" s="49"/>
      <x:c r="AZ67" s="49"/>
    </x:row>
    <x:row r="68">
      <x:c r="A68" s="49"/>
      <x:c r="B68" s="49"/>
      <x:c r="C68" s="49"/>
      <x:c r="D68" s="49"/>
      <x:c r="E68" s="49"/>
      <x:c r="F68" s="49"/>
      <x:c r="G68" s="49"/>
      <x:c r="H68" s="49"/>
      <x:c r="I68" s="49"/>
      <x:c r="J68" s="49"/>
      <x:c r="K68" s="49"/>
      <x:c r="L68" s="49"/>
      <x:c r="M68" s="49"/>
      <x:c r="N68" s="49"/>
      <x:c r="O68" s="49"/>
      <x:c r="P68" s="49"/>
      <x:c r="Q68" s="49"/>
      <x:c r="R68" s="49"/>
      <x:c r="S68" s="49"/>
      <x:c r="T68" s="49"/>
      <x:c r="U68" s="49"/>
      <x:c r="V68" s="49"/>
      <x:c r="W68" s="49"/>
      <x:c r="X68" s="49"/>
      <x:c r="Y68" s="49"/>
      <x:c r="Z68" s="49"/>
      <x:c r="AA68" s="49"/>
      <x:c r="AB68" s="49"/>
      <x:c r="AC68" s="49"/>
      <x:c r="AD68" s="49"/>
      <x:c r="AE68" s="49"/>
      <x:c r="AF68" s="49"/>
      <x:c r="AG68" s="49"/>
      <x:c r="AH68" s="49"/>
      <x:c r="AI68" s="49"/>
      <x:c r="AJ68" s="49"/>
      <x:c r="AK68" s="49"/>
      <x:c r="AL68" s="49"/>
      <x:c r="AM68" s="49"/>
      <x:c r="AN68" s="49"/>
      <x:c r="AO68" s="49"/>
      <x:c r="AP68" s="49"/>
      <x:c r="AQ68" s="49"/>
      <x:c r="AR68" s="49"/>
      <x:c r="AS68" s="49"/>
      <x:c r="AT68" s="49"/>
      <x:c r="AU68" s="49"/>
      <x:c r="AV68" s="49"/>
      <x:c r="AW68" s="49"/>
      <x:c r="AX68" s="49"/>
      <x:c r="AY68" s="49"/>
      <x:c r="AZ68" s="49"/>
    </x:row>
    <x:row r="69">
      <x:c r="A69" s="49"/>
      <x:c r="B69" s="49"/>
      <x:c r="C69" s="49"/>
      <x:c r="D69" s="49"/>
      <x:c r="E69" s="49"/>
      <x:c r="F69" s="49"/>
      <x:c r="G69" s="49"/>
      <x:c r="H69" s="49"/>
      <x:c r="I69" s="49"/>
      <x:c r="J69" s="49"/>
      <x:c r="K69" s="49"/>
      <x:c r="L69" s="49"/>
      <x:c r="M69" s="49"/>
      <x:c r="N69" s="49"/>
      <x:c r="O69" s="49"/>
      <x:c r="P69" s="49"/>
      <x:c r="Q69" s="49"/>
      <x:c r="R69" s="49"/>
      <x:c r="S69" s="49"/>
      <x:c r="T69" s="49"/>
      <x:c r="U69" s="49"/>
      <x:c r="V69" s="49"/>
      <x:c r="W69" s="49"/>
      <x:c r="X69" s="49"/>
      <x:c r="Y69" s="49"/>
      <x:c r="Z69" s="49"/>
      <x:c r="AA69" s="49"/>
      <x:c r="AB69" s="49"/>
      <x:c r="AC69" s="49"/>
      <x:c r="AD69" s="49"/>
      <x:c r="AE69" s="49"/>
      <x:c r="AF69" s="49"/>
      <x:c r="AG69" s="49"/>
      <x:c r="AH69" s="49"/>
      <x:c r="AI69" s="49"/>
      <x:c r="AJ69" s="49"/>
      <x:c r="AK69" s="49"/>
      <x:c r="AL69" s="49"/>
      <x:c r="AM69" s="49"/>
      <x:c r="AN69" s="49"/>
      <x:c r="AO69" s="49"/>
      <x:c r="AP69" s="49"/>
      <x:c r="AQ69" s="49"/>
      <x:c r="AR69" s="49"/>
      <x:c r="AS69" s="49"/>
      <x:c r="AT69" s="49"/>
      <x:c r="AU69" s="49"/>
      <x:c r="AV69" s="49"/>
      <x:c r="AW69" s="49"/>
      <x:c r="AX69" s="49"/>
      <x:c r="AY69" s="49"/>
      <x:c r="AZ69" s="49"/>
    </x:row>
    <x:row r="70">
      <x:c r="A70" s="49"/>
      <x:c r="B70" s="49"/>
      <x:c r="C70" s="49"/>
      <x:c r="D70" s="49"/>
      <x:c r="E70" s="49"/>
      <x:c r="F70" s="49"/>
      <x:c r="G70" s="49"/>
      <x:c r="H70" s="49"/>
      <x:c r="I70" s="49"/>
      <x:c r="J70" s="49"/>
      <x:c r="K70" s="49"/>
      <x:c r="L70" s="49"/>
      <x:c r="M70" s="49"/>
      <x:c r="N70" s="49"/>
      <x:c r="O70" s="49"/>
      <x:c r="P70" s="49"/>
      <x:c r="Q70" s="49"/>
      <x:c r="R70" s="49"/>
      <x:c r="S70" s="49"/>
      <x:c r="T70" s="49"/>
      <x:c r="U70" s="49"/>
      <x:c r="V70" s="49"/>
      <x:c r="W70" s="49"/>
      <x:c r="X70" s="49"/>
      <x:c r="Y70" s="49"/>
      <x:c r="Z70" s="49"/>
      <x:c r="AA70" s="49"/>
      <x:c r="AB70" s="49"/>
      <x:c r="AC70" s="49"/>
      <x:c r="AD70" s="49"/>
      <x:c r="AE70" s="49"/>
      <x:c r="AF70" s="49"/>
      <x:c r="AG70" s="49"/>
      <x:c r="AH70" s="49"/>
      <x:c r="AI70" s="49"/>
      <x:c r="AJ70" s="49"/>
      <x:c r="AK70" s="49"/>
      <x:c r="AL70" s="49"/>
      <x:c r="AM70" s="49"/>
      <x:c r="AN70" s="49"/>
      <x:c r="AO70" s="49"/>
      <x:c r="AP70" s="49"/>
      <x:c r="AQ70" s="49"/>
      <x:c r="AR70" s="49"/>
      <x:c r="AS70" s="49"/>
      <x:c r="AT70" s="49"/>
      <x:c r="AU70" s="49"/>
      <x:c r="AV70" s="49"/>
      <x:c r="AW70" s="49"/>
      <x:c r="AX70" s="49"/>
      <x:c r="AY70" s="49"/>
      <x:c r="AZ70" s="49"/>
    </x:row>
    <x:row r="71">
      <x:c r="A71" s="49"/>
      <x:c r="B71" s="49"/>
      <x:c r="C71" s="49"/>
      <x:c r="D71" s="49"/>
      <x:c r="E71" s="49"/>
      <x:c r="F71" s="49"/>
      <x:c r="G71" s="49"/>
      <x:c r="H71" s="49"/>
      <x:c r="I71" s="49"/>
      <x:c r="J71" s="49"/>
      <x:c r="K71" s="49"/>
      <x:c r="L71" s="49"/>
      <x:c r="M71" s="49"/>
      <x:c r="N71" s="49"/>
      <x:c r="O71" s="49"/>
      <x:c r="P71" s="49"/>
      <x:c r="Q71" s="49"/>
      <x:c r="R71" s="49"/>
      <x:c r="S71" s="49"/>
      <x:c r="T71" s="49"/>
      <x:c r="U71" s="49"/>
      <x:c r="V71" s="49"/>
      <x:c r="W71" s="49"/>
      <x:c r="X71" s="49"/>
      <x:c r="Y71" s="49"/>
      <x:c r="Z71" s="49"/>
      <x:c r="AA71" s="49"/>
      <x:c r="AB71" s="49"/>
      <x:c r="AC71" s="49"/>
      <x:c r="AD71" s="49"/>
      <x:c r="AE71" s="49"/>
      <x:c r="AF71" s="49"/>
      <x:c r="AG71" s="49"/>
      <x:c r="AH71" s="49"/>
      <x:c r="AI71" s="49"/>
      <x:c r="AJ71" s="49"/>
      <x:c r="AK71" s="49"/>
      <x:c r="AL71" s="49"/>
      <x:c r="AM71" s="49"/>
      <x:c r="AN71" s="49"/>
      <x:c r="AO71" s="49"/>
      <x:c r="AP71" s="49"/>
      <x:c r="AQ71" s="49"/>
      <x:c r="AR71" s="49"/>
      <x:c r="AS71" s="49"/>
      <x:c r="AT71" s="49"/>
      <x:c r="AU71" s="49"/>
      <x:c r="AV71" s="49"/>
      <x:c r="AW71" s="49"/>
      <x:c r="AX71" s="49"/>
      <x:c r="AY71" s="49"/>
      <x:c r="AZ71" s="49"/>
    </x:row>
    <x:row r="72">
      <x:c r="A72" s="49"/>
      <x:c r="B72" s="49"/>
      <x:c r="C72" s="49"/>
      <x:c r="D72" s="49"/>
      <x:c r="E72" s="49"/>
      <x:c r="F72" s="49"/>
      <x:c r="G72" s="49"/>
      <x:c r="H72" s="49"/>
      <x:c r="I72" s="49"/>
      <x:c r="J72" s="49"/>
      <x:c r="K72" s="49"/>
      <x:c r="L72" s="49"/>
      <x:c r="M72" s="49"/>
      <x:c r="N72" s="49"/>
      <x:c r="O72" s="49"/>
      <x:c r="P72" s="49"/>
      <x:c r="Q72" s="49"/>
      <x:c r="R72" s="49"/>
      <x:c r="S72" s="49"/>
      <x:c r="T72" s="49"/>
      <x:c r="U72" s="49"/>
      <x:c r="V72" s="49"/>
      <x:c r="W72" s="49"/>
      <x:c r="X72" s="49"/>
      <x:c r="Y72" s="49"/>
      <x:c r="Z72" s="49"/>
      <x:c r="AA72" s="49"/>
      <x:c r="AB72" s="49"/>
      <x:c r="AC72" s="49"/>
      <x:c r="AD72" s="49"/>
      <x:c r="AE72" s="49"/>
      <x:c r="AF72" s="49"/>
      <x:c r="AG72" s="49"/>
      <x:c r="AH72" s="49"/>
      <x:c r="AI72" s="49"/>
      <x:c r="AJ72" s="49"/>
      <x:c r="AK72" s="49"/>
      <x:c r="AL72" s="49"/>
      <x:c r="AM72" s="49"/>
      <x:c r="AN72" s="49"/>
      <x:c r="AO72" s="49"/>
      <x:c r="AP72" s="49"/>
      <x:c r="AQ72" s="49"/>
      <x:c r="AR72" s="49"/>
      <x:c r="AS72" s="49"/>
      <x:c r="AT72" s="49"/>
      <x:c r="AU72" s="49"/>
      <x:c r="AV72" s="49"/>
      <x:c r="AW72" s="49"/>
      <x:c r="AX72" s="49"/>
      <x:c r="AY72" s="49"/>
      <x:c r="AZ72" s="49"/>
    </x:row>
    <x:row r="73">
      <x:c r="A73" s="49"/>
      <x:c r="B73" s="49"/>
      <x:c r="C73" s="49"/>
      <x:c r="D73" s="49"/>
      <x:c r="E73" s="49"/>
      <x:c r="F73" s="49"/>
      <x:c r="G73" s="49"/>
      <x:c r="H73" s="49"/>
      <x:c r="I73" s="49"/>
      <x:c r="J73" s="49"/>
      <x:c r="K73" s="49"/>
      <x:c r="L73" s="49"/>
      <x:c r="M73" s="49"/>
      <x:c r="N73" s="49"/>
      <x:c r="O73" s="49"/>
      <x:c r="P73" s="49"/>
      <x:c r="Q73" s="49"/>
      <x:c r="R73" s="49"/>
      <x:c r="S73" s="49"/>
      <x:c r="T73" s="49"/>
      <x:c r="U73" s="49"/>
      <x:c r="V73" s="49"/>
      <x:c r="W73" s="49"/>
      <x:c r="X73" s="49"/>
      <x:c r="Y73" s="49"/>
      <x:c r="Z73" s="49"/>
      <x:c r="AA73" s="49"/>
      <x:c r="AB73" s="49"/>
      <x:c r="AC73" s="49"/>
      <x:c r="AD73" s="49"/>
      <x:c r="AE73" s="49"/>
      <x:c r="AF73" s="49"/>
      <x:c r="AG73" s="49"/>
      <x:c r="AH73" s="49"/>
      <x:c r="AI73" s="49"/>
      <x:c r="AJ73" s="49"/>
      <x:c r="AK73" s="49"/>
      <x:c r="AL73" s="49"/>
      <x:c r="AM73" s="49"/>
      <x:c r="AN73" s="49"/>
      <x:c r="AO73" s="49"/>
      <x:c r="AP73" s="49"/>
      <x:c r="AQ73" s="49"/>
      <x:c r="AR73" s="49"/>
      <x:c r="AS73" s="49"/>
      <x:c r="AT73" s="49"/>
      <x:c r="AU73" s="49"/>
      <x:c r="AV73" s="49"/>
      <x:c r="AW73" s="49"/>
      <x:c r="AX73" s="49"/>
      <x:c r="AY73" s="49"/>
      <x:c r="AZ73" s="49"/>
    </x:row>
    <x:row r="74">
      <x:c r="A74" s="49"/>
      <x:c r="B74" s="49"/>
      <x:c r="C74" s="49"/>
      <x:c r="D74" s="49"/>
      <x:c r="E74" s="49"/>
      <x:c r="F74" s="49"/>
      <x:c r="G74" s="49"/>
      <x:c r="H74" s="49"/>
      <x:c r="I74" s="49"/>
      <x:c r="J74" s="49"/>
      <x:c r="K74" s="49"/>
      <x:c r="L74" s="49"/>
      <x:c r="M74" s="49"/>
      <x:c r="N74" s="49"/>
      <x:c r="O74" s="49"/>
      <x:c r="P74" s="49"/>
      <x:c r="Q74" s="49"/>
      <x:c r="R74" s="49"/>
      <x:c r="S74" s="49"/>
      <x:c r="T74" s="49"/>
      <x:c r="U74" s="49"/>
      <x:c r="V74" s="49"/>
      <x:c r="W74" s="49"/>
      <x:c r="X74" s="49"/>
      <x:c r="Y74" s="49"/>
      <x:c r="Z74" s="49"/>
      <x:c r="AA74" s="49"/>
      <x:c r="AB74" s="49"/>
      <x:c r="AC74" s="49"/>
      <x:c r="AD74" s="49"/>
      <x:c r="AE74" s="49"/>
      <x:c r="AF74" s="49"/>
      <x:c r="AG74" s="49"/>
      <x:c r="AH74" s="49"/>
      <x:c r="AI74" s="49"/>
      <x:c r="AJ74" s="49"/>
      <x:c r="AK74" s="49"/>
      <x:c r="AL74" s="49"/>
      <x:c r="AM74" s="49"/>
      <x:c r="AN74" s="49"/>
      <x:c r="AO74" s="49"/>
      <x:c r="AP74" s="49"/>
      <x:c r="AQ74" s="49"/>
      <x:c r="AR74" s="49"/>
      <x:c r="AS74" s="49"/>
      <x:c r="AT74" s="49"/>
      <x:c r="AU74" s="49"/>
      <x:c r="AV74" s="49"/>
      <x:c r="AW74" s="49"/>
      <x:c r="AX74" s="49"/>
      <x:c r="AY74" s="49"/>
      <x:c r="AZ74" s="49"/>
    </x:row>
    <x:row r="75">
      <x:c r="A75" s="49"/>
      <x:c r="B75" s="49"/>
      <x:c r="C75" s="49"/>
      <x:c r="D75" s="49"/>
      <x:c r="E75" s="49"/>
      <x:c r="F75" s="49"/>
      <x:c r="G75" s="49"/>
      <x:c r="H75" s="49"/>
      <x:c r="I75" s="49"/>
      <x:c r="J75" s="49"/>
      <x:c r="K75" s="49"/>
      <x:c r="L75" s="49"/>
      <x:c r="M75" s="49"/>
      <x:c r="N75" s="49"/>
      <x:c r="O75" s="49"/>
      <x:c r="P75" s="49"/>
      <x:c r="Q75" s="49"/>
      <x:c r="R75" s="49"/>
      <x:c r="S75" s="49"/>
      <x:c r="T75" s="49"/>
      <x:c r="U75" s="49"/>
      <x:c r="V75" s="49"/>
      <x:c r="W75" s="49"/>
      <x:c r="X75" s="49"/>
      <x:c r="Y75" s="49"/>
      <x:c r="Z75" s="49"/>
      <x:c r="AA75" s="49"/>
      <x:c r="AB75" s="49"/>
      <x:c r="AC75" s="49"/>
      <x:c r="AD75" s="49"/>
      <x:c r="AE75" s="49"/>
      <x:c r="AF75" s="49"/>
      <x:c r="AG75" s="49"/>
      <x:c r="AH75" s="49"/>
      <x:c r="AI75" s="49"/>
      <x:c r="AJ75" s="49"/>
      <x:c r="AK75" s="49"/>
      <x:c r="AL75" s="49"/>
      <x:c r="AM75" s="49"/>
      <x:c r="AN75" s="49"/>
      <x:c r="AO75" s="49"/>
      <x:c r="AP75" s="49"/>
      <x:c r="AQ75" s="49"/>
      <x:c r="AR75" s="49"/>
      <x:c r="AS75" s="49"/>
      <x:c r="AT75" s="49"/>
      <x:c r="AU75" s="49"/>
      <x:c r="AV75" s="49"/>
      <x:c r="AW75" s="49"/>
      <x:c r="AX75" s="49"/>
      <x:c r="AY75" s="49"/>
      <x:c r="AZ75" s="49"/>
    </x:row>
    <x:row r="76">
      <x:c r="A76" s="49"/>
      <x:c r="B76" s="49"/>
      <x:c r="C76" s="49"/>
      <x:c r="D76" s="49"/>
      <x:c r="E76" s="49"/>
      <x:c r="F76" s="49"/>
      <x:c r="G76" s="49"/>
      <x:c r="H76" s="49"/>
      <x:c r="I76" s="49"/>
      <x:c r="J76" s="49"/>
      <x:c r="K76" s="49"/>
      <x:c r="L76" s="49"/>
      <x:c r="M76" s="49"/>
      <x:c r="N76" s="49"/>
      <x:c r="O76" s="49"/>
      <x:c r="P76" s="49"/>
      <x:c r="Q76" s="49"/>
      <x:c r="R76" s="49"/>
      <x:c r="S76" s="49"/>
      <x:c r="T76" s="49"/>
      <x:c r="U76" s="49"/>
      <x:c r="V76" s="49"/>
      <x:c r="W76" s="49"/>
      <x:c r="X76" s="49"/>
      <x:c r="Y76" s="49"/>
      <x:c r="Z76" s="49"/>
      <x:c r="AA76" s="49"/>
      <x:c r="AB76" s="49"/>
      <x:c r="AC76" s="49"/>
      <x:c r="AD76" s="49"/>
      <x:c r="AE76" s="49"/>
      <x:c r="AF76" s="49"/>
      <x:c r="AG76" s="49"/>
      <x:c r="AH76" s="49"/>
      <x:c r="AI76" s="49"/>
      <x:c r="AJ76" s="49"/>
      <x:c r="AK76" s="49"/>
      <x:c r="AL76" s="49"/>
      <x:c r="AM76" s="49"/>
      <x:c r="AN76" s="49"/>
      <x:c r="AO76" s="49"/>
      <x:c r="AP76" s="49"/>
      <x:c r="AQ76" s="49"/>
      <x:c r="AR76" s="49"/>
      <x:c r="AS76" s="49"/>
      <x:c r="AT76" s="49"/>
      <x:c r="AU76" s="49"/>
      <x:c r="AV76" s="49"/>
      <x:c r="AW76" s="49"/>
      <x:c r="AX76" s="49"/>
      <x:c r="AY76" s="49"/>
      <x:c r="AZ76" s="49"/>
    </x:row>
    <x:row r="77">
      <x:c r="A77" s="49"/>
      <x:c r="B77" s="49"/>
      <x:c r="C77" s="49"/>
      <x:c r="D77" s="49"/>
      <x:c r="E77" s="49"/>
      <x:c r="F77" s="49"/>
      <x:c r="G77" s="49"/>
      <x:c r="H77" s="49"/>
      <x:c r="I77" s="49"/>
      <x:c r="J77" s="49"/>
      <x:c r="K77" s="49"/>
      <x:c r="L77" s="49"/>
      <x:c r="M77" s="49"/>
      <x:c r="N77" s="49"/>
      <x:c r="O77" s="49"/>
      <x:c r="P77" s="49"/>
      <x:c r="Q77" s="49"/>
      <x:c r="R77" s="49"/>
      <x:c r="S77" s="49"/>
      <x:c r="T77" s="49"/>
      <x:c r="U77" s="49"/>
      <x:c r="V77" s="49"/>
      <x:c r="W77" s="49"/>
      <x:c r="X77" s="49"/>
      <x:c r="Y77" s="49"/>
      <x:c r="Z77" s="49"/>
      <x:c r="AA77" s="49"/>
      <x:c r="AB77" s="49"/>
      <x:c r="AC77" s="49"/>
      <x:c r="AD77" s="49"/>
      <x:c r="AE77" s="49"/>
      <x:c r="AF77" s="49"/>
      <x:c r="AG77" s="49"/>
      <x:c r="AH77" s="49"/>
      <x:c r="AI77" s="49"/>
      <x:c r="AJ77" s="49"/>
      <x:c r="AK77" s="49"/>
      <x:c r="AL77" s="49"/>
      <x:c r="AM77" s="49"/>
      <x:c r="AN77" s="49"/>
      <x:c r="AO77" s="49"/>
      <x:c r="AP77" s="49"/>
      <x:c r="AQ77" s="49"/>
      <x:c r="AR77" s="49"/>
      <x:c r="AS77" s="49"/>
      <x:c r="AT77" s="49"/>
      <x:c r="AU77" s="49"/>
      <x:c r="AV77" s="49"/>
      <x:c r="AW77" s="49"/>
      <x:c r="AX77" s="49"/>
      <x:c r="AY77" s="49"/>
      <x:c r="AZ77" s="49"/>
    </x:row>
    <x:row r="78">
      <x:c r="A78" s="49"/>
      <x:c r="B78" s="49"/>
      <x:c r="C78" s="49"/>
      <x:c r="D78" s="49"/>
      <x:c r="E78" s="49"/>
      <x:c r="F78" s="49"/>
      <x:c r="G78" s="49"/>
      <x:c r="H78" s="49"/>
      <x:c r="I78" s="49"/>
      <x:c r="J78" s="49"/>
      <x:c r="K78" s="49"/>
      <x:c r="L78" s="49"/>
      <x:c r="M78" s="49"/>
      <x:c r="N78" s="49"/>
      <x:c r="O78" s="49"/>
      <x:c r="P78" s="49"/>
      <x:c r="Q78" s="49"/>
      <x:c r="R78" s="49"/>
      <x:c r="S78" s="49"/>
      <x:c r="T78" s="49"/>
      <x:c r="U78" s="49"/>
      <x:c r="V78" s="49"/>
      <x:c r="W78" s="49"/>
      <x:c r="X78" s="49"/>
      <x:c r="Y78" s="49"/>
      <x:c r="Z78" s="49"/>
      <x:c r="AA78" s="49"/>
      <x:c r="AB78" s="49"/>
      <x:c r="AC78" s="49"/>
      <x:c r="AD78" s="49"/>
      <x:c r="AE78" s="49"/>
      <x:c r="AF78" s="49"/>
      <x:c r="AG78" s="49"/>
      <x:c r="AH78" s="49"/>
      <x:c r="AI78" s="49"/>
      <x:c r="AJ78" s="49"/>
      <x:c r="AK78" s="49"/>
      <x:c r="AL78" s="49"/>
      <x:c r="AM78" s="49"/>
      <x:c r="AN78" s="49"/>
      <x:c r="AO78" s="49"/>
      <x:c r="AP78" s="49"/>
      <x:c r="AQ78" s="49"/>
      <x:c r="AR78" s="49"/>
      <x:c r="AS78" s="49"/>
      <x:c r="AT78" s="49"/>
      <x:c r="AU78" s="49"/>
      <x:c r="AV78" s="49"/>
      <x:c r="AW78" s="49"/>
      <x:c r="AX78" s="49"/>
      <x:c r="AY78" s="49"/>
      <x:c r="AZ78" s="49"/>
    </x:row>
    <x:row r="79">
      <x:c r="A79" s="49"/>
      <x:c r="B79" s="49"/>
      <x:c r="C79" s="49"/>
      <x:c r="D79" s="49"/>
      <x:c r="E79" s="49"/>
      <x:c r="F79" s="49"/>
      <x:c r="G79" s="49"/>
      <x:c r="H79" s="49"/>
      <x:c r="I79" s="49"/>
      <x:c r="J79" s="49"/>
      <x:c r="K79" s="49"/>
      <x:c r="L79" s="49"/>
      <x:c r="M79" s="49"/>
      <x:c r="N79" s="49"/>
      <x:c r="O79" s="49"/>
      <x:c r="P79" s="49"/>
      <x:c r="Q79" s="49"/>
      <x:c r="R79" s="49"/>
      <x:c r="S79" s="49"/>
      <x:c r="T79" s="49"/>
      <x:c r="U79" s="49"/>
      <x:c r="V79" s="49"/>
      <x:c r="W79" s="49"/>
      <x:c r="X79" s="49"/>
      <x:c r="Y79" s="49"/>
      <x:c r="Z79" s="49"/>
      <x:c r="AA79" s="49"/>
      <x:c r="AB79" s="49"/>
      <x:c r="AC79" s="49"/>
      <x:c r="AD79" s="49"/>
      <x:c r="AE79" s="49"/>
      <x:c r="AF79" s="49"/>
      <x:c r="AG79" s="49"/>
      <x:c r="AH79" s="49"/>
      <x:c r="AI79" s="49"/>
      <x:c r="AJ79" s="49"/>
      <x:c r="AK79" s="49"/>
      <x:c r="AL79" s="49"/>
      <x:c r="AM79" s="49"/>
      <x:c r="AN79" s="49"/>
      <x:c r="AO79" s="49"/>
      <x:c r="AP79" s="49"/>
      <x:c r="AQ79" s="49"/>
      <x:c r="AR79" s="49"/>
      <x:c r="AS79" s="49"/>
      <x:c r="AT79" s="49"/>
      <x:c r="AU79" s="49"/>
      <x:c r="AV79" s="49"/>
      <x:c r="AW79" s="49"/>
      <x:c r="AX79" s="49"/>
      <x:c r="AY79" s="49"/>
      <x:c r="AZ79" s="49"/>
    </x:row>
    <x:row r="80">
      <x:c r="A80" s="49"/>
      <x:c r="B80" s="49"/>
      <x:c r="C80" s="49"/>
      <x:c r="D80" s="49"/>
      <x:c r="E80" s="49"/>
      <x:c r="F80" s="49"/>
      <x:c r="G80" s="49"/>
      <x:c r="H80" s="49"/>
      <x:c r="I80" s="49"/>
      <x:c r="J80" s="49"/>
      <x:c r="K80" s="49"/>
      <x:c r="L80" s="49"/>
      <x:c r="M80" s="49"/>
      <x:c r="N80" s="49"/>
      <x:c r="O80" s="49"/>
      <x:c r="P80" s="49"/>
      <x:c r="Q80" s="49"/>
      <x:c r="R80" s="49"/>
      <x:c r="S80" s="49"/>
      <x:c r="T80" s="49"/>
      <x:c r="U80" s="49"/>
      <x:c r="V80" s="49"/>
      <x:c r="W80" s="49"/>
      <x:c r="X80" s="49"/>
      <x:c r="Y80" s="49"/>
      <x:c r="Z80" s="49"/>
      <x:c r="AA80" s="49"/>
      <x:c r="AB80" s="49"/>
      <x:c r="AC80" s="49"/>
      <x:c r="AD80" s="49"/>
      <x:c r="AE80" s="49"/>
      <x:c r="AF80" s="49"/>
      <x:c r="AG80" s="49"/>
      <x:c r="AH80" s="49"/>
      <x:c r="AI80" s="49"/>
      <x:c r="AJ80" s="49"/>
      <x:c r="AK80" s="49"/>
      <x:c r="AL80" s="49"/>
      <x:c r="AM80" s="49"/>
      <x:c r="AN80" s="49"/>
      <x:c r="AO80" s="49"/>
      <x:c r="AP80" s="49"/>
      <x:c r="AQ80" s="49"/>
      <x:c r="AR80" s="49"/>
      <x:c r="AS80" s="49"/>
      <x:c r="AT80" s="49"/>
      <x:c r="AU80" s="49"/>
      <x:c r="AV80" s="49"/>
      <x:c r="AW80" s="49"/>
      <x:c r="AX80" s="49"/>
      <x:c r="AY80" s="49"/>
      <x:c r="AZ80" s="49"/>
    </x:row>
    <x:row r="81">
      <x:c r="A81" s="49"/>
      <x:c r="B81" s="49"/>
      <x:c r="C81" s="49"/>
      <x:c r="D81" s="49"/>
      <x:c r="E81" s="49"/>
      <x:c r="F81" s="49"/>
      <x:c r="G81" s="49"/>
      <x:c r="H81" s="49"/>
      <x:c r="I81" s="49"/>
      <x:c r="J81" s="49"/>
      <x:c r="K81" s="49"/>
      <x:c r="L81" s="49"/>
      <x:c r="M81" s="49"/>
      <x:c r="N81" s="49"/>
      <x:c r="O81" s="49"/>
      <x:c r="P81" s="49"/>
      <x:c r="Q81" s="49"/>
      <x:c r="R81" s="49"/>
      <x:c r="S81" s="49"/>
      <x:c r="T81" s="49"/>
      <x:c r="U81" s="49"/>
      <x:c r="V81" s="49"/>
      <x:c r="W81" s="49"/>
      <x:c r="X81" s="49"/>
      <x:c r="Y81" s="49"/>
      <x:c r="Z81" s="49"/>
      <x:c r="AA81" s="49"/>
      <x:c r="AB81" s="49"/>
      <x:c r="AC81" s="49"/>
      <x:c r="AD81" s="49"/>
      <x:c r="AE81" s="49"/>
      <x:c r="AF81" s="49"/>
      <x:c r="AG81" s="49"/>
      <x:c r="AH81" s="49"/>
      <x:c r="AI81" s="49"/>
      <x:c r="AJ81" s="49"/>
      <x:c r="AK81" s="49"/>
      <x:c r="AL81" s="49"/>
      <x:c r="AM81" s="49"/>
      <x:c r="AN81" s="49"/>
      <x:c r="AO81" s="49"/>
      <x:c r="AP81" s="49"/>
      <x:c r="AQ81" s="49"/>
      <x:c r="AR81" s="49"/>
      <x:c r="AS81" s="49"/>
      <x:c r="AT81" s="49"/>
      <x:c r="AU81" s="49"/>
      <x:c r="AV81" s="49"/>
      <x:c r="AW81" s="49"/>
      <x:c r="AX81" s="49"/>
      <x:c r="AY81" s="49"/>
      <x:c r="AZ81" s="49"/>
    </x:row>
    <x:row r="82">
      <x:c r="A82" s="49"/>
      <x:c r="B82" s="49"/>
      <x:c r="C82" s="49"/>
      <x:c r="D82" s="49"/>
      <x:c r="E82" s="49"/>
      <x:c r="F82" s="49"/>
      <x:c r="G82" s="49"/>
      <x:c r="H82" s="49"/>
      <x:c r="I82" s="49"/>
      <x:c r="J82" s="49"/>
      <x:c r="K82" s="49"/>
      <x:c r="L82" s="49"/>
      <x:c r="M82" s="49"/>
      <x:c r="N82" s="49"/>
      <x:c r="O82" s="49"/>
      <x:c r="P82" s="49"/>
      <x:c r="Q82" s="49"/>
      <x:c r="R82" s="49"/>
      <x:c r="S82" s="49"/>
      <x:c r="T82" s="49"/>
      <x:c r="U82" s="49"/>
      <x:c r="V82" s="49"/>
      <x:c r="W82" s="49"/>
      <x:c r="X82" s="49"/>
      <x:c r="Y82" s="49"/>
      <x:c r="Z82" s="49"/>
      <x:c r="AA82" s="49"/>
      <x:c r="AB82" s="49"/>
      <x:c r="AC82" s="49"/>
      <x:c r="AD82" s="49"/>
      <x:c r="AE82" s="49"/>
      <x:c r="AF82" s="49"/>
      <x:c r="AG82" s="49"/>
      <x:c r="AH82" s="49"/>
      <x:c r="AI82" s="49"/>
      <x:c r="AJ82" s="49"/>
      <x:c r="AK82" s="49"/>
      <x:c r="AL82" s="49"/>
      <x:c r="AM82" s="49"/>
      <x:c r="AN82" s="49"/>
      <x:c r="AO82" s="49"/>
      <x:c r="AP82" s="49"/>
      <x:c r="AQ82" s="49"/>
      <x:c r="AR82" s="49"/>
      <x:c r="AS82" s="49"/>
      <x:c r="AT82" s="49"/>
      <x:c r="AU82" s="49"/>
      <x:c r="AV82" s="49"/>
      <x:c r="AW82" s="49"/>
      <x:c r="AX82" s="49"/>
      <x:c r="AY82" s="49"/>
      <x:c r="AZ82" s="49"/>
    </x:row>
    <x:row r="83">
      <x:c r="A83" s="49"/>
      <x:c r="B83" s="49"/>
      <x:c r="C83" s="49"/>
      <x:c r="D83" s="49"/>
      <x:c r="E83" s="49"/>
      <x:c r="F83" s="49"/>
      <x:c r="G83" s="49"/>
      <x:c r="H83" s="49"/>
      <x:c r="I83" s="49"/>
      <x:c r="J83" s="49"/>
      <x:c r="K83" s="49"/>
      <x:c r="L83" s="49"/>
      <x:c r="M83" s="49"/>
      <x:c r="N83" s="49"/>
      <x:c r="O83" s="49"/>
      <x:c r="P83" s="49"/>
      <x:c r="Q83" s="49"/>
      <x:c r="R83" s="49"/>
      <x:c r="S83" s="49"/>
      <x:c r="T83" s="49"/>
      <x:c r="U83" s="49"/>
      <x:c r="V83" s="49"/>
      <x:c r="W83" s="49"/>
      <x:c r="X83" s="49"/>
      <x:c r="Y83" s="49"/>
      <x:c r="Z83" s="49"/>
      <x:c r="AA83" s="49"/>
      <x:c r="AB83" s="49"/>
      <x:c r="AC83" s="49"/>
      <x:c r="AD83" s="49"/>
      <x:c r="AE83" s="49"/>
      <x:c r="AF83" s="49"/>
      <x:c r="AG83" s="49"/>
      <x:c r="AH83" s="49"/>
      <x:c r="AI83" s="49"/>
      <x:c r="AJ83" s="49"/>
      <x:c r="AK83" s="49"/>
      <x:c r="AL83" s="49"/>
      <x:c r="AM83" s="49"/>
      <x:c r="AN83" s="49"/>
      <x:c r="AO83" s="49"/>
      <x:c r="AP83" s="49"/>
      <x:c r="AQ83" s="49"/>
      <x:c r="AR83" s="49"/>
      <x:c r="AS83" s="49"/>
      <x:c r="AT83" s="49"/>
      <x:c r="AU83" s="49"/>
      <x:c r="AV83" s="49"/>
      <x:c r="AW83" s="49"/>
      <x:c r="AX83" s="49"/>
      <x:c r="AY83" s="49"/>
      <x:c r="AZ83" s="49"/>
    </x:row>
    <x:row r="84">
      <x:c r="A84" s="49"/>
      <x:c r="B84" s="49"/>
      <x:c r="C84" s="49"/>
      <x:c r="D84" s="49"/>
      <x:c r="E84" s="49"/>
      <x:c r="F84" s="49"/>
      <x:c r="G84" s="49"/>
      <x:c r="H84" s="49"/>
      <x:c r="I84" s="49"/>
      <x:c r="J84" s="49"/>
      <x:c r="K84" s="49"/>
      <x:c r="L84" s="49"/>
      <x:c r="M84" s="49"/>
      <x:c r="N84" s="49"/>
      <x:c r="O84" s="49"/>
      <x:c r="P84" s="49"/>
      <x:c r="Q84" s="49"/>
      <x:c r="R84" s="49"/>
      <x:c r="S84" s="49"/>
      <x:c r="T84" s="49"/>
      <x:c r="U84" s="49"/>
      <x:c r="V84" s="49"/>
      <x:c r="W84" s="49"/>
      <x:c r="X84" s="49"/>
      <x:c r="Y84" s="49"/>
      <x:c r="Z84" s="49"/>
      <x:c r="AA84" s="49"/>
      <x:c r="AB84" s="49"/>
      <x:c r="AC84" s="49"/>
      <x:c r="AD84" s="49"/>
      <x:c r="AE84" s="49"/>
      <x:c r="AF84" s="49"/>
      <x:c r="AG84" s="49"/>
      <x:c r="AH84" s="49"/>
      <x:c r="AI84" s="49"/>
      <x:c r="AJ84" s="49"/>
      <x:c r="AK84" s="49"/>
      <x:c r="AL84" s="49"/>
      <x:c r="AM84" s="49"/>
      <x:c r="AN84" s="49"/>
      <x:c r="AO84" s="49"/>
      <x:c r="AP84" s="49"/>
      <x:c r="AQ84" s="49"/>
      <x:c r="AR84" s="49"/>
      <x:c r="AS84" s="49"/>
      <x:c r="AT84" s="49"/>
      <x:c r="AU84" s="49"/>
      <x:c r="AV84" s="49"/>
      <x:c r="AW84" s="49"/>
      <x:c r="AX84" s="49"/>
      <x:c r="AY84" s="49"/>
      <x:c r="AZ84" s="49"/>
    </x:row>
    <x:row r="85">
      <x:c r="A85" s="49"/>
      <x:c r="B85" s="49"/>
      <x:c r="C85" s="49"/>
      <x:c r="D85" s="49"/>
      <x:c r="E85" s="49"/>
      <x:c r="F85" s="49"/>
      <x:c r="G85" s="49"/>
      <x:c r="H85" s="49"/>
      <x:c r="I85" s="49"/>
      <x:c r="J85" s="49"/>
      <x:c r="K85" s="49"/>
      <x:c r="L85" s="49"/>
      <x:c r="M85" s="49"/>
      <x:c r="N85" s="49"/>
      <x:c r="O85" s="49"/>
      <x:c r="P85" s="49"/>
      <x:c r="Q85" s="49"/>
      <x:c r="R85" s="49"/>
      <x:c r="S85" s="49"/>
      <x:c r="T85" s="49"/>
      <x:c r="U85" s="49"/>
      <x:c r="V85" s="49"/>
      <x:c r="W85" s="49"/>
      <x:c r="X85" s="49"/>
      <x:c r="Y85" s="49"/>
      <x:c r="Z85" s="49"/>
      <x:c r="AA85" s="49"/>
      <x:c r="AB85" s="49"/>
      <x:c r="AC85" s="49"/>
      <x:c r="AD85" s="49"/>
      <x:c r="AE85" s="49"/>
      <x:c r="AF85" s="49"/>
      <x:c r="AG85" s="49"/>
      <x:c r="AH85" s="49"/>
      <x:c r="AI85" s="49"/>
      <x:c r="AJ85" s="49"/>
      <x:c r="AK85" s="49"/>
      <x:c r="AL85" s="49"/>
      <x:c r="AM85" s="49"/>
      <x:c r="AN85" s="49"/>
      <x:c r="AO85" s="49"/>
      <x:c r="AP85" s="49"/>
      <x:c r="AQ85" s="49"/>
      <x:c r="AR85" s="49"/>
      <x:c r="AS85" s="49"/>
      <x:c r="AT85" s="49"/>
      <x:c r="AU85" s="49"/>
      <x:c r="AV85" s="49"/>
      <x:c r="AW85" s="49"/>
      <x:c r="AX85" s="49"/>
      <x:c r="AY85" s="49"/>
      <x:c r="AZ85" s="49"/>
    </x:row>
    <x:row r="86">
      <x:c r="A86" s="49"/>
      <x:c r="B86" s="49"/>
      <x:c r="C86" s="49"/>
      <x:c r="D86" s="49"/>
      <x:c r="E86" s="49"/>
      <x:c r="F86" s="49"/>
      <x:c r="G86" s="49"/>
      <x:c r="H86" s="49"/>
      <x:c r="I86" s="49"/>
      <x:c r="J86" s="49"/>
      <x:c r="K86" s="49"/>
      <x:c r="L86" s="49"/>
      <x:c r="M86" s="49"/>
      <x:c r="N86" s="49"/>
      <x:c r="O86" s="49"/>
      <x:c r="P86" s="49"/>
      <x:c r="Q86" s="49"/>
      <x:c r="R86" s="49"/>
      <x:c r="S86" s="49"/>
      <x:c r="T86" s="49"/>
      <x:c r="U86" s="49"/>
      <x:c r="V86" s="49"/>
      <x:c r="W86" s="49"/>
      <x:c r="X86" s="49"/>
      <x:c r="Y86" s="49"/>
      <x:c r="Z86" s="49"/>
      <x:c r="AA86" s="49"/>
      <x:c r="AB86" s="49"/>
      <x:c r="AC86" s="49"/>
      <x:c r="AD86" s="49"/>
      <x:c r="AE86" s="49"/>
      <x:c r="AF86" s="49"/>
      <x:c r="AG86" s="49"/>
      <x:c r="AH86" s="49"/>
      <x:c r="AI86" s="49"/>
      <x:c r="AJ86" s="49"/>
      <x:c r="AK86" s="49"/>
      <x:c r="AL86" s="49"/>
      <x:c r="AM86" s="49"/>
      <x:c r="AN86" s="49"/>
      <x:c r="AO86" s="49"/>
      <x:c r="AP86" s="49"/>
      <x:c r="AQ86" s="49"/>
      <x:c r="AR86" s="49"/>
      <x:c r="AS86" s="49"/>
      <x:c r="AT86" s="49"/>
      <x:c r="AU86" s="49"/>
      <x:c r="AV86" s="49"/>
      <x:c r="AW86" s="49"/>
      <x:c r="AX86" s="49"/>
      <x:c r="AY86" s="49"/>
      <x:c r="AZ86" s="49"/>
    </x:row>
    <x:row r="87">
      <x:c r="A87" s="49"/>
      <x:c r="B87" s="49"/>
      <x:c r="C87" s="49"/>
      <x:c r="D87" s="49"/>
      <x:c r="E87" s="49"/>
      <x:c r="F87" s="49"/>
      <x:c r="G87" s="49"/>
      <x:c r="H87" s="49"/>
      <x:c r="I87" s="49"/>
      <x:c r="J87" s="49"/>
      <x:c r="K87" s="49"/>
      <x:c r="L87" s="49"/>
      <x:c r="M87" s="49"/>
      <x:c r="N87" s="49"/>
      <x:c r="O87" s="49"/>
      <x:c r="P87" s="49"/>
      <x:c r="Q87" s="49"/>
      <x:c r="R87" s="49"/>
      <x:c r="S87" s="49"/>
      <x:c r="T87" s="49"/>
      <x:c r="U87" s="49"/>
      <x:c r="V87" s="49"/>
      <x:c r="W87" s="49"/>
      <x:c r="X87" s="49"/>
      <x:c r="Y87" s="49"/>
      <x:c r="Z87" s="49"/>
      <x:c r="AA87" s="49"/>
      <x:c r="AB87" s="49"/>
      <x:c r="AC87" s="49"/>
      <x:c r="AD87" s="49"/>
      <x:c r="AE87" s="49"/>
      <x:c r="AF87" s="49"/>
      <x:c r="AG87" s="49"/>
      <x:c r="AH87" s="49"/>
      <x:c r="AI87" s="49"/>
      <x:c r="AJ87" s="49"/>
      <x:c r="AK87" s="49"/>
      <x:c r="AL87" s="49"/>
      <x:c r="AM87" s="49"/>
      <x:c r="AN87" s="49"/>
      <x:c r="AO87" s="49"/>
      <x:c r="AP87" s="49"/>
      <x:c r="AQ87" s="49"/>
      <x:c r="AR87" s="49"/>
      <x:c r="AS87" s="49"/>
      <x:c r="AT87" s="49"/>
      <x:c r="AU87" s="49"/>
      <x:c r="AV87" s="49"/>
      <x:c r="AW87" s="49"/>
      <x:c r="AX87" s="49"/>
      <x:c r="AY87" s="49"/>
      <x:c r="AZ87" s="49"/>
    </x:row>
    <x:row r="88">
      <x:c r="A88" s="49"/>
      <x:c r="B88" s="49"/>
      <x:c r="C88" s="49"/>
      <x:c r="D88" s="49"/>
      <x:c r="E88" s="49"/>
      <x:c r="F88" s="49"/>
      <x:c r="G88" s="49"/>
      <x:c r="H88" s="49"/>
      <x:c r="I88" s="49"/>
      <x:c r="J88" s="49"/>
      <x:c r="K88" s="49"/>
      <x:c r="L88" s="49"/>
      <x:c r="M88" s="49"/>
      <x:c r="N88" s="49"/>
      <x:c r="O88" s="49"/>
      <x:c r="P88" s="49"/>
      <x:c r="Q88" s="49"/>
      <x:c r="R88" s="49"/>
      <x:c r="S88" s="49"/>
      <x:c r="T88" s="49"/>
      <x:c r="U88" s="49"/>
      <x:c r="V88" s="49"/>
      <x:c r="W88" s="49"/>
      <x:c r="X88" s="49"/>
      <x:c r="Y88" s="49"/>
      <x:c r="Z88" s="49"/>
      <x:c r="AA88" s="49"/>
      <x:c r="AB88" s="49"/>
      <x:c r="AC88" s="49"/>
      <x:c r="AD88" s="49"/>
      <x:c r="AE88" s="49"/>
      <x:c r="AF88" s="49"/>
      <x:c r="AG88" s="49"/>
      <x:c r="AH88" s="49"/>
      <x:c r="AI88" s="49"/>
      <x:c r="AJ88" s="49"/>
      <x:c r="AK88" s="49"/>
      <x:c r="AL88" s="49"/>
      <x:c r="AM88" s="49"/>
      <x:c r="AN88" s="49"/>
      <x:c r="AO88" s="49"/>
      <x:c r="AP88" s="49"/>
      <x:c r="AQ88" s="49"/>
      <x:c r="AR88" s="49"/>
      <x:c r="AS88" s="49"/>
      <x:c r="AT88" s="49"/>
      <x:c r="AU88" s="49"/>
      <x:c r="AV88" s="49"/>
      <x:c r="AW88" s="49"/>
      <x:c r="AX88" s="49"/>
      <x:c r="AY88" s="49"/>
      <x:c r="AZ88" s="49"/>
    </x:row>
    <x:row r="89">
      <x:c r="A89" s="49"/>
      <x:c r="B89" s="49"/>
      <x:c r="C89" s="49"/>
      <x:c r="D89" s="49"/>
      <x:c r="E89" s="49"/>
      <x:c r="F89" s="49"/>
      <x:c r="G89" s="49"/>
      <x:c r="H89" s="49"/>
      <x:c r="I89" s="49"/>
      <x:c r="J89" s="49"/>
      <x:c r="K89" s="49"/>
      <x:c r="L89" s="49"/>
      <x:c r="M89" s="49"/>
      <x:c r="N89" s="49"/>
      <x:c r="O89" s="49"/>
      <x:c r="P89" s="49"/>
      <x:c r="Q89" s="49"/>
      <x:c r="R89" s="49"/>
      <x:c r="S89" s="49"/>
      <x:c r="T89" s="49"/>
      <x:c r="U89" s="49"/>
      <x:c r="V89" s="49"/>
      <x:c r="W89" s="49"/>
      <x:c r="X89" s="49"/>
      <x:c r="Y89" s="49"/>
      <x:c r="Z89" s="49"/>
      <x:c r="AA89" s="49"/>
      <x:c r="AB89" s="49"/>
      <x:c r="AC89" s="49"/>
      <x:c r="AD89" s="49"/>
      <x:c r="AE89" s="49"/>
      <x:c r="AF89" s="49"/>
      <x:c r="AG89" s="49"/>
      <x:c r="AH89" s="49"/>
      <x:c r="AI89" s="49"/>
      <x:c r="AJ89" s="49"/>
      <x:c r="AK89" s="49"/>
      <x:c r="AL89" s="49"/>
      <x:c r="AM89" s="49"/>
      <x:c r="AN89" s="49"/>
      <x:c r="AO89" s="49"/>
      <x:c r="AP89" s="49"/>
      <x:c r="AQ89" s="49"/>
      <x:c r="AR89" s="49"/>
      <x:c r="AS89" s="49"/>
      <x:c r="AT89" s="49"/>
      <x:c r="AU89" s="49"/>
      <x:c r="AV89" s="49"/>
      <x:c r="AW89" s="49"/>
      <x:c r="AX89" s="49"/>
      <x:c r="AY89" s="49"/>
      <x:c r="AZ89" s="49"/>
    </x:row>
    <x:row r="90">
      <x:c r="A90" s="49"/>
      <x:c r="B90" s="49"/>
      <x:c r="C90" s="49"/>
      <x:c r="D90" s="49"/>
      <x:c r="E90" s="49"/>
      <x:c r="F90" s="49"/>
      <x:c r="G90" s="49"/>
      <x:c r="H90" s="49"/>
      <x:c r="I90" s="49"/>
      <x:c r="J90" s="49"/>
      <x:c r="K90" s="49"/>
      <x:c r="L90" s="49"/>
      <x:c r="M90" s="49"/>
      <x:c r="N90" s="49"/>
      <x:c r="O90" s="49"/>
      <x:c r="P90" s="49"/>
      <x:c r="Q90" s="49"/>
      <x:c r="R90" s="49"/>
      <x:c r="S90" s="49"/>
      <x:c r="T90" s="49"/>
      <x:c r="U90" s="49"/>
      <x:c r="V90" s="49"/>
      <x:c r="W90" s="49"/>
      <x:c r="X90" s="49"/>
      <x:c r="Y90" s="49"/>
      <x:c r="Z90" s="49"/>
      <x:c r="AA90" s="49"/>
      <x:c r="AB90" s="49"/>
      <x:c r="AC90" s="49"/>
      <x:c r="AD90" s="49"/>
      <x:c r="AE90" s="49"/>
      <x:c r="AF90" s="49"/>
      <x:c r="AG90" s="49"/>
      <x:c r="AH90" s="49"/>
      <x:c r="AI90" s="49"/>
      <x:c r="AJ90" s="49"/>
      <x:c r="AK90" s="49"/>
      <x:c r="AL90" s="49"/>
      <x:c r="AM90" s="49"/>
      <x:c r="AN90" s="49"/>
      <x:c r="AO90" s="49"/>
      <x:c r="AP90" s="49"/>
      <x:c r="AQ90" s="49"/>
      <x:c r="AR90" s="49"/>
      <x:c r="AS90" s="49"/>
      <x:c r="AT90" s="49"/>
      <x:c r="AU90" s="49"/>
      <x:c r="AV90" s="49"/>
      <x:c r="AW90" s="49"/>
      <x:c r="AX90" s="49"/>
      <x:c r="AY90" s="49"/>
      <x:c r="AZ90" s="49"/>
    </x:row>
    <x:row r="91">
      <x:c r="A91" s="49"/>
      <x:c r="B91" s="49"/>
      <x:c r="C91" s="49"/>
      <x:c r="D91" s="49"/>
      <x:c r="E91" s="49"/>
      <x:c r="F91" s="49"/>
      <x:c r="G91" s="49"/>
      <x:c r="H91" s="49"/>
      <x:c r="I91" s="49"/>
      <x:c r="J91" s="49"/>
      <x:c r="K91" s="49"/>
      <x:c r="L91" s="49"/>
      <x:c r="M91" s="49"/>
      <x:c r="N91" s="49"/>
      <x:c r="O91" s="49"/>
      <x:c r="P91" s="49"/>
      <x:c r="Q91" s="49"/>
      <x:c r="R91" s="49"/>
      <x:c r="S91" s="49"/>
      <x:c r="T91" s="49"/>
      <x:c r="U91" s="49"/>
      <x:c r="V91" s="49"/>
      <x:c r="W91" s="49"/>
      <x:c r="X91" s="49"/>
      <x:c r="Y91" s="49"/>
      <x:c r="Z91" s="49"/>
      <x:c r="AA91" s="49"/>
      <x:c r="AB91" s="49"/>
      <x:c r="AC91" s="49"/>
      <x:c r="AD91" s="49"/>
      <x:c r="AE91" s="49"/>
      <x:c r="AF91" s="49"/>
      <x:c r="AG91" s="49"/>
      <x:c r="AH91" s="49"/>
      <x:c r="AI91" s="49"/>
      <x:c r="AJ91" s="49"/>
      <x:c r="AK91" s="49"/>
      <x:c r="AL91" s="49"/>
      <x:c r="AM91" s="49"/>
      <x:c r="AN91" s="49"/>
      <x:c r="AO91" s="49"/>
      <x:c r="AP91" s="49"/>
      <x:c r="AQ91" s="49"/>
      <x:c r="AR91" s="49"/>
      <x:c r="AS91" s="49"/>
      <x:c r="AT91" s="49"/>
      <x:c r="AU91" s="49"/>
      <x:c r="AV91" s="49"/>
      <x:c r="AW91" s="49"/>
      <x:c r="AX91" s="49"/>
      <x:c r="AY91" s="49"/>
      <x:c r="AZ91" s="49"/>
    </x:row>
    <x:row r="92">
      <x:c r="A92" s="49"/>
      <x:c r="B92" s="49"/>
      <x:c r="C92" s="49"/>
      <x:c r="D92" s="49"/>
      <x:c r="E92" s="49"/>
      <x:c r="F92" s="49"/>
      <x:c r="G92" s="49"/>
      <x:c r="H92" s="49"/>
      <x:c r="I92" s="49"/>
      <x:c r="J92" s="49"/>
      <x:c r="K92" s="49"/>
      <x:c r="L92" s="49"/>
      <x:c r="M92" s="49"/>
      <x:c r="N92" s="49"/>
      <x:c r="O92" s="49"/>
      <x:c r="P92" s="49"/>
      <x:c r="Q92" s="49"/>
      <x:c r="R92" s="49"/>
      <x:c r="S92" s="49"/>
      <x:c r="T92" s="49"/>
      <x:c r="U92" s="49"/>
      <x:c r="V92" s="49"/>
      <x:c r="W92" s="49"/>
      <x:c r="X92" s="49"/>
      <x:c r="Y92" s="49"/>
      <x:c r="Z92" s="49"/>
      <x:c r="AA92" s="49"/>
      <x:c r="AB92" s="49"/>
      <x:c r="AC92" s="49"/>
      <x:c r="AD92" s="49"/>
      <x:c r="AE92" s="49"/>
      <x:c r="AF92" s="49"/>
      <x:c r="AG92" s="49"/>
      <x:c r="AH92" s="49"/>
      <x:c r="AI92" s="49"/>
      <x:c r="AJ92" s="49"/>
      <x:c r="AK92" s="49"/>
      <x:c r="AL92" s="49"/>
      <x:c r="AM92" s="49"/>
      <x:c r="AN92" s="49"/>
      <x:c r="AO92" s="49"/>
      <x:c r="AP92" s="49"/>
      <x:c r="AQ92" s="49"/>
      <x:c r="AR92" s="49"/>
      <x:c r="AS92" s="49"/>
      <x:c r="AT92" s="49"/>
      <x:c r="AU92" s="49"/>
      <x:c r="AV92" s="49"/>
      <x:c r="AW92" s="49"/>
      <x:c r="AX92" s="49"/>
      <x:c r="AY92" s="49"/>
      <x:c r="AZ92" s="49"/>
    </x:row>
    <x:row r="93">
      <x:c r="A93" s="49"/>
      <x:c r="B93" s="49"/>
      <x:c r="C93" s="49"/>
      <x:c r="D93" s="49"/>
      <x:c r="E93" s="49"/>
      <x:c r="F93" s="49"/>
      <x:c r="G93" s="49"/>
      <x:c r="H93" s="49"/>
      <x:c r="I93" s="49"/>
      <x:c r="J93" s="49"/>
      <x:c r="K93" s="49"/>
      <x:c r="L93" s="49"/>
      <x:c r="M93" s="49"/>
      <x:c r="N93" s="49"/>
      <x:c r="O93" s="49"/>
      <x:c r="P93" s="49"/>
      <x:c r="Q93" s="49"/>
      <x:c r="R93" s="49"/>
      <x:c r="S93" s="49"/>
      <x:c r="T93" s="49"/>
      <x:c r="U93" s="49"/>
      <x:c r="V93" s="49"/>
      <x:c r="W93" s="49"/>
      <x:c r="X93" s="49"/>
      <x:c r="Y93" s="49"/>
      <x:c r="Z93" s="49"/>
      <x:c r="AA93" s="49"/>
      <x:c r="AB93" s="49"/>
      <x:c r="AC93" s="49"/>
      <x:c r="AD93" s="49"/>
      <x:c r="AE93" s="49"/>
      <x:c r="AF93" s="49"/>
      <x:c r="AG93" s="49"/>
      <x:c r="AH93" s="49"/>
      <x:c r="AI93" s="49"/>
      <x:c r="AJ93" s="49"/>
      <x:c r="AK93" s="49"/>
      <x:c r="AL93" s="49"/>
      <x:c r="AM93" s="49"/>
      <x:c r="AN93" s="49"/>
      <x:c r="AO93" s="49"/>
      <x:c r="AP93" s="49"/>
      <x:c r="AQ93" s="49"/>
      <x:c r="AR93" s="49"/>
      <x:c r="AS93" s="49"/>
      <x:c r="AT93" s="49"/>
      <x:c r="AU93" s="49"/>
      <x:c r="AV93" s="49"/>
      <x:c r="AW93" s="49"/>
      <x:c r="AX93" s="49"/>
      <x:c r="AY93" s="49"/>
      <x:c r="AZ93" s="49"/>
    </x:row>
    <x:row r="94">
      <x:c r="A94" s="49"/>
      <x:c r="B94" s="49"/>
      <x:c r="C94" s="49"/>
      <x:c r="D94" s="49"/>
      <x:c r="E94" s="49"/>
      <x:c r="F94" s="49"/>
      <x:c r="G94" s="49"/>
      <x:c r="H94" s="49"/>
      <x:c r="I94" s="49"/>
      <x:c r="J94" s="49"/>
      <x:c r="K94" s="49"/>
      <x:c r="L94" s="49"/>
      <x:c r="M94" s="49"/>
      <x:c r="N94" s="49"/>
      <x:c r="O94" s="49"/>
      <x:c r="P94" s="49"/>
      <x:c r="Q94" s="49"/>
      <x:c r="R94" s="49"/>
      <x:c r="S94" s="49"/>
      <x:c r="T94" s="49"/>
      <x:c r="U94" s="49"/>
      <x:c r="V94" s="49"/>
      <x:c r="W94" s="49"/>
      <x:c r="X94" s="49"/>
      <x:c r="Y94" s="49"/>
      <x:c r="Z94" s="49"/>
      <x:c r="AA94" s="49"/>
      <x:c r="AB94" s="49"/>
      <x:c r="AC94" s="49"/>
      <x:c r="AD94" s="49"/>
      <x:c r="AE94" s="49"/>
      <x:c r="AF94" s="49"/>
      <x:c r="AG94" s="49"/>
      <x:c r="AH94" s="49"/>
      <x:c r="AI94" s="49"/>
      <x:c r="AJ94" s="49"/>
      <x:c r="AK94" s="49"/>
      <x:c r="AL94" s="49"/>
      <x:c r="AM94" s="49"/>
      <x:c r="AN94" s="49"/>
      <x:c r="AO94" s="49"/>
      <x:c r="AP94" s="49"/>
      <x:c r="AQ94" s="49"/>
      <x:c r="AR94" s="49"/>
      <x:c r="AS94" s="49"/>
      <x:c r="AT94" s="49"/>
      <x:c r="AU94" s="49"/>
      <x:c r="AV94" s="49"/>
      <x:c r="AW94" s="49"/>
      <x:c r="AX94" s="49"/>
      <x:c r="AY94" s="49"/>
      <x:c r="AZ94" s="49"/>
    </x:row>
    <x:row r="95">
      <x:c r="A95" s="49"/>
      <x:c r="B95" s="49"/>
      <x:c r="C95" s="49"/>
      <x:c r="D95" s="49"/>
      <x:c r="E95" s="49"/>
      <x:c r="F95" s="49"/>
      <x:c r="G95" s="49"/>
      <x:c r="H95" s="49"/>
      <x:c r="I95" s="49"/>
      <x:c r="J95" s="49"/>
      <x:c r="K95" s="49"/>
      <x:c r="L95" s="49"/>
      <x:c r="M95" s="49"/>
      <x:c r="N95" s="49"/>
      <x:c r="O95" s="49"/>
      <x:c r="P95" s="49"/>
      <x:c r="Q95" s="49"/>
      <x:c r="R95" s="49"/>
      <x:c r="S95" s="49"/>
      <x:c r="T95" s="49"/>
      <x:c r="U95" s="49"/>
      <x:c r="V95" s="49"/>
      <x:c r="W95" s="49"/>
      <x:c r="X95" s="49"/>
      <x:c r="Y95" s="49"/>
      <x:c r="Z95" s="49"/>
      <x:c r="AA95" s="49"/>
      <x:c r="AB95" s="49"/>
      <x:c r="AC95" s="49"/>
      <x:c r="AD95" s="49"/>
      <x:c r="AE95" s="49"/>
      <x:c r="AF95" s="49"/>
      <x:c r="AG95" s="49"/>
      <x:c r="AH95" s="49"/>
      <x:c r="AI95" s="49"/>
      <x:c r="AJ95" s="49"/>
      <x:c r="AK95" s="49"/>
      <x:c r="AL95" s="49"/>
      <x:c r="AM95" s="49"/>
      <x:c r="AN95" s="49"/>
      <x:c r="AO95" s="49"/>
      <x:c r="AP95" s="49"/>
      <x:c r="AQ95" s="49"/>
      <x:c r="AR95" s="49"/>
      <x:c r="AS95" s="49"/>
      <x:c r="AT95" s="49"/>
      <x:c r="AU95" s="49"/>
      <x:c r="AV95" s="49"/>
      <x:c r="AW95" s="49"/>
      <x:c r="AX95" s="49"/>
      <x:c r="AY95" s="49"/>
      <x:c r="AZ95" s="49"/>
    </x:row>
    <x:row r="96">
      <x:c r="A96" s="49"/>
      <x:c r="B96" s="49"/>
      <x:c r="C96" s="49"/>
      <x:c r="D96" s="49"/>
      <x:c r="E96" s="49"/>
      <x:c r="F96" s="49"/>
      <x:c r="G96" s="49"/>
      <x:c r="H96" s="49"/>
      <x:c r="I96" s="49"/>
      <x:c r="J96" s="49"/>
      <x:c r="K96" s="49"/>
      <x:c r="L96" s="49"/>
      <x:c r="M96" s="49"/>
      <x:c r="N96" s="49"/>
      <x:c r="O96" s="49"/>
      <x:c r="P96" s="49"/>
      <x:c r="Q96" s="49"/>
      <x:c r="R96" s="49"/>
      <x:c r="S96" s="49"/>
      <x:c r="T96" s="49"/>
      <x:c r="U96" s="49"/>
      <x:c r="V96" s="49"/>
      <x:c r="W96" s="49"/>
      <x:c r="X96" s="49"/>
      <x:c r="Y96" s="49"/>
      <x:c r="Z96" s="49"/>
      <x:c r="AA96" s="49"/>
      <x:c r="AB96" s="49"/>
      <x:c r="AC96" s="49"/>
      <x:c r="AD96" s="49"/>
      <x:c r="AE96" s="49"/>
      <x:c r="AF96" s="49"/>
      <x:c r="AG96" s="49"/>
      <x:c r="AH96" s="49"/>
      <x:c r="AI96" s="49"/>
      <x:c r="AJ96" s="49"/>
      <x:c r="AK96" s="49"/>
      <x:c r="AL96" s="49"/>
      <x:c r="AM96" s="49"/>
      <x:c r="AN96" s="49"/>
      <x:c r="AO96" s="49"/>
      <x:c r="AP96" s="49"/>
      <x:c r="AQ96" s="49"/>
      <x:c r="AR96" s="49"/>
      <x:c r="AS96" s="49"/>
      <x:c r="AT96" s="49"/>
      <x:c r="AU96" s="49"/>
      <x:c r="AV96" s="49"/>
      <x:c r="AW96" s="49"/>
      <x:c r="AX96" s="49"/>
      <x:c r="AY96" s="49"/>
      <x:c r="AZ96" s="49"/>
    </x:row>
    <x:row r="97">
      <x:c r="A97" s="49"/>
      <x:c r="B97" s="49"/>
      <x:c r="C97" s="49"/>
      <x:c r="D97" s="49"/>
      <x:c r="E97" s="49"/>
      <x:c r="F97" s="49"/>
      <x:c r="G97" s="49"/>
      <x:c r="H97" s="49"/>
      <x:c r="I97" s="49"/>
      <x:c r="J97" s="49"/>
      <x:c r="K97" s="49"/>
      <x:c r="L97" s="49"/>
      <x:c r="M97" s="49"/>
      <x:c r="N97" s="49"/>
      <x:c r="O97" s="49"/>
      <x:c r="P97" s="49"/>
      <x:c r="Q97" s="49"/>
      <x:c r="R97" s="49"/>
      <x:c r="S97" s="49"/>
      <x:c r="T97" s="49"/>
      <x:c r="U97" s="49"/>
      <x:c r="V97" s="49"/>
      <x:c r="W97" s="49"/>
      <x:c r="X97" s="49"/>
      <x:c r="Y97" s="49"/>
      <x:c r="Z97" s="49"/>
      <x:c r="AA97" s="49"/>
      <x:c r="AB97" s="49"/>
      <x:c r="AC97" s="49"/>
      <x:c r="AD97" s="49"/>
      <x:c r="AE97" s="49"/>
      <x:c r="AF97" s="49"/>
      <x:c r="AG97" s="49"/>
      <x:c r="AH97" s="49"/>
      <x:c r="AI97" s="49"/>
      <x:c r="AJ97" s="49"/>
      <x:c r="AK97" s="49"/>
      <x:c r="AL97" s="49"/>
      <x:c r="AM97" s="49"/>
      <x:c r="AN97" s="49"/>
      <x:c r="AO97" s="49"/>
      <x:c r="AP97" s="49"/>
      <x:c r="AQ97" s="49"/>
      <x:c r="AR97" s="49"/>
      <x:c r="AS97" s="49"/>
      <x:c r="AT97" s="49"/>
      <x:c r="AU97" s="49"/>
      <x:c r="AV97" s="49"/>
      <x:c r="AW97" s="49"/>
      <x:c r="AX97" s="49"/>
      <x:c r="AY97" s="49"/>
      <x:c r="AZ97" s="49"/>
    </x:row>
    <x:row r="98">
      <x:c r="A98" s="49"/>
      <x:c r="B98" s="49"/>
      <x:c r="C98" s="49"/>
      <x:c r="D98" s="49"/>
      <x:c r="E98" s="49"/>
      <x:c r="F98" s="49"/>
      <x:c r="G98" s="49"/>
      <x:c r="H98" s="49"/>
      <x:c r="I98" s="49"/>
      <x:c r="J98" s="49"/>
      <x:c r="K98" s="49"/>
      <x:c r="L98" s="49"/>
      <x:c r="M98" s="49"/>
      <x:c r="N98" s="49"/>
      <x:c r="O98" s="49"/>
      <x:c r="P98" s="49"/>
      <x:c r="Q98" s="49"/>
      <x:c r="R98" s="49"/>
      <x:c r="S98" s="49"/>
      <x:c r="T98" s="49"/>
      <x:c r="U98" s="49"/>
      <x:c r="V98" s="49"/>
      <x:c r="W98" s="49"/>
      <x:c r="X98" s="49"/>
      <x:c r="Y98" s="49"/>
      <x:c r="Z98" s="49"/>
      <x:c r="AA98" s="49"/>
      <x:c r="AB98" s="49"/>
      <x:c r="AC98" s="49"/>
      <x:c r="AD98" s="49"/>
      <x:c r="AE98" s="49"/>
      <x:c r="AF98" s="49"/>
      <x:c r="AG98" s="49"/>
      <x:c r="AH98" s="49"/>
      <x:c r="AI98" s="49"/>
      <x:c r="AJ98" s="49"/>
      <x:c r="AK98" s="49"/>
      <x:c r="AL98" s="49"/>
      <x:c r="AM98" s="49"/>
      <x:c r="AN98" s="49"/>
      <x:c r="AO98" s="49"/>
      <x:c r="AP98" s="49"/>
      <x:c r="AQ98" s="49"/>
      <x:c r="AR98" s="49"/>
      <x:c r="AS98" s="49"/>
      <x:c r="AT98" s="49"/>
      <x:c r="AU98" s="49"/>
      <x:c r="AV98" s="49"/>
      <x:c r="AW98" s="49"/>
      <x:c r="AX98" s="49"/>
      <x:c r="AY98" s="49"/>
      <x:c r="AZ98" s="49"/>
    </x:row>
    <x:row r="99">
      <x:c r="A99" s="49"/>
      <x:c r="B99" s="49"/>
      <x:c r="C99" s="49"/>
      <x:c r="D99" s="49"/>
      <x:c r="E99" s="49"/>
      <x:c r="F99" s="49"/>
      <x:c r="G99" s="49"/>
      <x:c r="H99" s="49"/>
      <x:c r="I99" s="49"/>
      <x:c r="J99" s="49"/>
      <x:c r="K99" s="49"/>
      <x:c r="L99" s="49"/>
      <x:c r="M99" s="49"/>
      <x:c r="N99" s="49"/>
      <x:c r="O99" s="49"/>
      <x:c r="P99" s="49"/>
      <x:c r="Q99" s="49"/>
      <x:c r="R99" s="49"/>
      <x:c r="S99" s="49"/>
      <x:c r="T99" s="49"/>
      <x:c r="U99" s="49"/>
      <x:c r="V99" s="49"/>
      <x:c r="W99" s="49"/>
      <x:c r="X99" s="49"/>
      <x:c r="Y99" s="49"/>
      <x:c r="Z99" s="49"/>
      <x:c r="AA99" s="49"/>
      <x:c r="AB99" s="49"/>
      <x:c r="AC99" s="49"/>
      <x:c r="AD99" s="49"/>
      <x:c r="AE99" s="49"/>
      <x:c r="AF99" s="49"/>
      <x:c r="AG99" s="49"/>
      <x:c r="AH99" s="49"/>
      <x:c r="AI99" s="49"/>
      <x:c r="AJ99" s="49"/>
      <x:c r="AK99" s="49"/>
      <x:c r="AL99" s="49"/>
      <x:c r="AM99" s="49"/>
      <x:c r="AN99" s="49"/>
      <x:c r="AO99" s="49"/>
      <x:c r="AP99" s="49"/>
      <x:c r="AQ99" s="49"/>
      <x:c r="AR99" s="49"/>
      <x:c r="AS99" s="49"/>
      <x:c r="AT99" s="49"/>
      <x:c r="AU99" s="49"/>
      <x:c r="AV99" s="49"/>
      <x:c r="AW99" s="49"/>
      <x:c r="AX99" s="49"/>
      <x:c r="AY99" s="49"/>
      <x:c r="AZ99" s="49"/>
    </x:row>
    <x:row r="100">
      <x:c r="A100" s="49"/>
      <x:c r="B100" s="49"/>
      <x:c r="C100" s="49"/>
      <x:c r="D100" s="49"/>
      <x:c r="E100" s="49"/>
      <x:c r="F100" s="49"/>
      <x:c r="G100" s="49"/>
      <x:c r="H100" s="49"/>
      <x:c r="I100" s="49"/>
      <x:c r="J100" s="49"/>
      <x:c r="K100" s="49"/>
      <x:c r="L100" s="49"/>
      <x:c r="M100" s="49"/>
      <x:c r="N100" s="49"/>
      <x:c r="O100" s="49"/>
      <x:c r="P100" s="49"/>
      <x:c r="Q100" s="49"/>
      <x:c r="R100" s="49"/>
      <x:c r="S100" s="49"/>
      <x:c r="T100" s="49"/>
      <x:c r="U100" s="49"/>
      <x:c r="V100" s="49"/>
      <x:c r="W100" s="49"/>
      <x:c r="X100" s="49"/>
      <x:c r="Y100" s="49"/>
      <x:c r="Z100" s="49"/>
      <x:c r="AA100" s="49"/>
      <x:c r="AB100" s="49"/>
      <x:c r="AC100" s="49"/>
      <x:c r="AD100" s="49"/>
      <x:c r="AE100" s="49"/>
      <x:c r="AF100" s="49"/>
      <x:c r="AG100" s="49"/>
      <x:c r="AH100" s="49"/>
      <x:c r="AI100" s="49"/>
      <x:c r="AJ100" s="49"/>
      <x:c r="AK100" s="49"/>
      <x:c r="AL100" s="49"/>
      <x:c r="AM100" s="49"/>
      <x:c r="AN100" s="49"/>
      <x:c r="AO100" s="49"/>
      <x:c r="AP100" s="49"/>
      <x:c r="AQ100" s="49"/>
      <x:c r="AR100" s="49"/>
      <x:c r="AS100" s="49"/>
      <x:c r="AT100" s="49"/>
      <x:c r="AU100" s="49"/>
      <x:c r="AV100" s="49"/>
      <x:c r="AW100" s="49"/>
      <x:c r="AX100" s="49"/>
      <x:c r="AY100" s="49"/>
      <x:c r="AZ100" s="49"/>
    </x:row>
    <x:row r="101">
      <x:c r="A101" s="49"/>
      <x:c r="B101" s="49"/>
      <x:c r="C101" s="49"/>
      <x:c r="D101" s="49"/>
      <x:c r="E101" s="49"/>
      <x:c r="F101" s="49"/>
      <x:c r="G101" s="49"/>
      <x:c r="H101" s="49"/>
      <x:c r="I101" s="49"/>
      <x:c r="J101" s="49"/>
      <x:c r="K101" s="49"/>
      <x:c r="L101" s="49"/>
      <x:c r="M101" s="49"/>
      <x:c r="N101" s="49"/>
      <x:c r="O101" s="49"/>
      <x:c r="P101" s="49"/>
      <x:c r="Q101" s="49"/>
      <x:c r="R101" s="49"/>
      <x:c r="S101" s="49"/>
      <x:c r="T101" s="49"/>
      <x:c r="U101" s="49"/>
      <x:c r="V101" s="49"/>
      <x:c r="W101" s="49"/>
      <x:c r="X101" s="49"/>
      <x:c r="Y101" s="49"/>
      <x:c r="Z101" s="49"/>
      <x:c r="AA101" s="49"/>
      <x:c r="AB101" s="49"/>
      <x:c r="AC101" s="49"/>
      <x:c r="AD101" s="49"/>
      <x:c r="AE101" s="49"/>
      <x:c r="AF101" s="49"/>
      <x:c r="AG101" s="49"/>
      <x:c r="AH101" s="49"/>
      <x:c r="AI101" s="49"/>
      <x:c r="AJ101" s="49"/>
      <x:c r="AK101" s="49"/>
      <x:c r="AL101" s="49"/>
      <x:c r="AM101" s="49"/>
      <x:c r="AN101" s="49"/>
      <x:c r="AO101" s="49"/>
      <x:c r="AP101" s="49"/>
      <x:c r="AQ101" s="49"/>
      <x:c r="AR101" s="49"/>
      <x:c r="AS101" s="49"/>
      <x:c r="AT101" s="49"/>
      <x:c r="AU101" s="49"/>
      <x:c r="AV101" s="49"/>
      <x:c r="AW101" s="49"/>
      <x:c r="AX101" s="49"/>
      <x:c r="AY101" s="49"/>
      <x:c r="AZ101" s="49"/>
    </x:row>
    <x:row r="102">
      <x:c r="A102" s="49"/>
      <x:c r="B102" s="49"/>
      <x:c r="C102" s="49"/>
      <x:c r="D102" s="49"/>
      <x:c r="E102" s="49"/>
      <x:c r="F102" s="49"/>
      <x:c r="G102" s="49"/>
      <x:c r="H102" s="49"/>
      <x:c r="I102" s="49"/>
      <x:c r="J102" s="49"/>
      <x:c r="K102" s="49"/>
      <x:c r="L102" s="49"/>
      <x:c r="M102" s="49"/>
      <x:c r="N102" s="49"/>
      <x:c r="O102" s="49"/>
      <x:c r="P102" s="49"/>
      <x:c r="Q102" s="49"/>
      <x:c r="R102" s="49"/>
      <x:c r="S102" s="49"/>
      <x:c r="T102" s="49"/>
      <x:c r="U102" s="49"/>
      <x:c r="V102" s="49"/>
      <x:c r="W102" s="49"/>
      <x:c r="X102" s="49"/>
      <x:c r="Y102" s="49"/>
      <x:c r="Z102" s="49"/>
      <x:c r="AA102" s="49"/>
      <x:c r="AB102" s="49"/>
      <x:c r="AC102" s="49"/>
      <x:c r="AD102" s="49"/>
      <x:c r="AE102" s="49"/>
      <x:c r="AF102" s="49"/>
      <x:c r="AG102" s="49"/>
      <x:c r="AH102" s="49"/>
      <x:c r="AI102" s="49"/>
      <x:c r="AJ102" s="49"/>
      <x:c r="AK102" s="49"/>
      <x:c r="AL102" s="49"/>
      <x:c r="AM102" s="49"/>
      <x:c r="AN102" s="49"/>
      <x:c r="AO102" s="49"/>
      <x:c r="AP102" s="49"/>
      <x:c r="AQ102" s="49"/>
      <x:c r="AR102" s="49"/>
      <x:c r="AS102" s="49"/>
      <x:c r="AT102" s="49"/>
      <x:c r="AU102" s="49"/>
      <x:c r="AV102" s="49"/>
      <x:c r="AW102" s="49"/>
      <x:c r="AX102" s="49"/>
      <x:c r="AY102" s="49"/>
      <x:c r="AZ102" s="49"/>
    </x:row>
    <x:row r="103">
      <x:c r="A103" s="49"/>
      <x:c r="B103" s="49"/>
      <x:c r="C103" s="49"/>
      <x:c r="D103" s="49"/>
      <x:c r="E103" s="49"/>
      <x:c r="F103" s="49"/>
      <x:c r="G103" s="49"/>
      <x:c r="H103" s="49"/>
      <x:c r="I103" s="49"/>
      <x:c r="J103" s="49"/>
      <x:c r="K103" s="49"/>
      <x:c r="L103" s="49"/>
      <x:c r="M103" s="49"/>
      <x:c r="N103" s="49"/>
      <x:c r="O103" s="49"/>
      <x:c r="P103" s="49"/>
      <x:c r="Q103" s="49"/>
      <x:c r="R103" s="49"/>
      <x:c r="S103" s="49"/>
      <x:c r="T103" s="49"/>
      <x:c r="U103" s="49"/>
      <x:c r="V103" s="49"/>
      <x:c r="W103" s="49"/>
      <x:c r="X103" s="49"/>
      <x:c r="Y103" s="49"/>
      <x:c r="Z103" s="49"/>
      <x:c r="AA103" s="49"/>
      <x:c r="AB103" s="49"/>
      <x:c r="AC103" s="49"/>
      <x:c r="AD103" s="49"/>
      <x:c r="AE103" s="49"/>
      <x:c r="AF103" s="49"/>
      <x:c r="AG103" s="49"/>
      <x:c r="AH103" s="49"/>
      <x:c r="AI103" s="49"/>
      <x:c r="AJ103" s="49"/>
      <x:c r="AK103" s="49"/>
      <x:c r="AL103" s="49"/>
      <x:c r="AM103" s="49"/>
      <x:c r="AN103" s="49"/>
      <x:c r="AO103" s="49"/>
      <x:c r="AP103" s="49"/>
      <x:c r="AQ103" s="49"/>
      <x:c r="AR103" s="49"/>
      <x:c r="AS103" s="49"/>
      <x:c r="AT103" s="49"/>
      <x:c r="AU103" s="49"/>
      <x:c r="AV103" s="49"/>
      <x:c r="AW103" s="49"/>
      <x:c r="AX103" s="49"/>
      <x:c r="AY103" s="49"/>
      <x:c r="AZ103" s="49"/>
    </x:row>
    <x:row r="104">
      <x:c r="A104" s="49"/>
      <x:c r="B104" s="49"/>
      <x:c r="C104" s="49"/>
      <x:c r="D104" s="49"/>
      <x:c r="E104" s="49"/>
      <x:c r="F104" s="49"/>
      <x:c r="G104" s="49"/>
      <x:c r="H104" s="49"/>
      <x:c r="I104" s="49"/>
      <x:c r="J104" s="49"/>
      <x:c r="K104" s="49"/>
      <x:c r="L104" s="49"/>
      <x:c r="M104" s="49"/>
      <x:c r="N104" s="49"/>
      <x:c r="O104" s="49"/>
      <x:c r="P104" s="49"/>
      <x:c r="Q104" s="49"/>
      <x:c r="R104" s="49"/>
      <x:c r="S104" s="49"/>
      <x:c r="T104" s="49"/>
      <x:c r="U104" s="49"/>
      <x:c r="V104" s="49"/>
      <x:c r="W104" s="49"/>
      <x:c r="X104" s="49"/>
      <x:c r="Y104" s="49"/>
      <x:c r="Z104" s="49"/>
      <x:c r="AA104" s="49"/>
      <x:c r="AB104" s="49"/>
      <x:c r="AC104" s="49"/>
      <x:c r="AD104" s="49"/>
      <x:c r="AE104" s="49"/>
      <x:c r="AF104" s="49"/>
      <x:c r="AG104" s="49"/>
      <x:c r="AH104" s="49"/>
      <x:c r="AI104" s="49"/>
      <x:c r="AJ104" s="49"/>
      <x:c r="AK104" s="49"/>
      <x:c r="AL104" s="49"/>
      <x:c r="AM104" s="49"/>
      <x:c r="AN104" s="49"/>
      <x:c r="AO104" s="49"/>
      <x:c r="AP104" s="49"/>
      <x:c r="AQ104" s="49"/>
      <x:c r="AR104" s="49"/>
      <x:c r="AS104" s="49"/>
      <x:c r="AT104" s="49"/>
      <x:c r="AU104" s="49"/>
      <x:c r="AV104" s="49"/>
      <x:c r="AW104" s="49"/>
      <x:c r="AX104" s="49"/>
      <x:c r="AY104" s="49"/>
      <x:c r="AZ104" s="49"/>
    </x:row>
    <x:row r="105">
      <x:c r="A105" s="49"/>
      <x:c r="B105" s="49"/>
      <x:c r="C105" s="49"/>
      <x:c r="D105" s="49"/>
      <x:c r="E105" s="49"/>
      <x:c r="F105" s="49"/>
      <x:c r="G105" s="49"/>
      <x:c r="H105" s="49"/>
      <x:c r="I105" s="49"/>
      <x:c r="J105" s="49"/>
      <x:c r="K105" s="49"/>
      <x:c r="L105" s="49"/>
      <x:c r="M105" s="49"/>
      <x:c r="N105" s="49"/>
      <x:c r="O105" s="49"/>
      <x:c r="P105" s="49"/>
      <x:c r="Q105" s="49"/>
      <x:c r="R105" s="49"/>
      <x:c r="S105" s="49"/>
      <x:c r="T105" s="49"/>
      <x:c r="U105" s="49"/>
      <x:c r="V105" s="49"/>
      <x:c r="W105" s="49"/>
      <x:c r="X105" s="49"/>
      <x:c r="Y105" s="49"/>
      <x:c r="Z105" s="49"/>
      <x:c r="AA105" s="49"/>
      <x:c r="AB105" s="49"/>
      <x:c r="AC105" s="49"/>
      <x:c r="AD105" s="49"/>
      <x:c r="AE105" s="49"/>
      <x:c r="AF105" s="49"/>
      <x:c r="AG105" s="49"/>
      <x:c r="AH105" s="49"/>
      <x:c r="AI105" s="49"/>
      <x:c r="AJ105" s="49"/>
      <x:c r="AK105" s="49"/>
      <x:c r="AL105" s="49"/>
      <x:c r="AM105" s="49"/>
      <x:c r="AN105" s="49"/>
      <x:c r="AO105" s="49"/>
      <x:c r="AP105" s="49"/>
      <x:c r="AQ105" s="49"/>
      <x:c r="AR105" s="49"/>
      <x:c r="AS105" s="49"/>
      <x:c r="AT105" s="49"/>
      <x:c r="AU105" s="49"/>
      <x:c r="AV105" s="49"/>
      <x:c r="AW105" s="49"/>
      <x:c r="AX105" s="49"/>
      <x:c r="AY105" s="49"/>
      <x:c r="AZ105" s="49"/>
    </x:row>
    <x:row r="106">
      <x:c r="A106" s="49"/>
      <x:c r="B106" s="49"/>
      <x:c r="C106" s="49"/>
      <x:c r="D106" s="49"/>
      <x:c r="E106" s="49"/>
      <x:c r="F106" s="49"/>
      <x:c r="G106" s="49"/>
      <x:c r="H106" s="49"/>
      <x:c r="I106" s="49"/>
      <x:c r="J106" s="49"/>
      <x:c r="K106" s="49"/>
      <x:c r="L106" s="49"/>
      <x:c r="M106" s="49"/>
      <x:c r="N106" s="49"/>
      <x:c r="O106" s="49"/>
      <x:c r="P106" s="49"/>
      <x:c r="Q106" s="49"/>
      <x:c r="R106" s="49"/>
      <x:c r="S106" s="49"/>
      <x:c r="T106" s="49"/>
      <x:c r="U106" s="49"/>
      <x:c r="V106" s="49"/>
      <x:c r="W106" s="49"/>
      <x:c r="X106" s="49"/>
      <x:c r="Y106" s="49"/>
      <x:c r="Z106" s="49"/>
      <x:c r="AA106" s="49"/>
      <x:c r="AB106" s="49"/>
      <x:c r="AC106" s="49"/>
      <x:c r="AD106" s="49"/>
      <x:c r="AE106" s="49"/>
      <x:c r="AF106" s="49"/>
      <x:c r="AG106" s="49"/>
      <x:c r="AH106" s="49"/>
      <x:c r="AI106" s="49"/>
      <x:c r="AJ106" s="49"/>
      <x:c r="AK106" s="49"/>
      <x:c r="AL106" s="49"/>
      <x:c r="AM106" s="49"/>
      <x:c r="AN106" s="49"/>
      <x:c r="AO106" s="49"/>
      <x:c r="AP106" s="49"/>
      <x:c r="AQ106" s="49"/>
      <x:c r="AR106" s="49"/>
      <x:c r="AS106" s="49"/>
      <x:c r="AT106" s="49"/>
      <x:c r="AU106" s="49"/>
      <x:c r="AV106" s="49"/>
      <x:c r="AW106" s="49"/>
      <x:c r="AX106" s="49"/>
      <x:c r="AY106" s="49"/>
      <x:c r="AZ106" s="49"/>
    </x:row>
    <x:row r="107">
      <x:c r="A107" s="49"/>
      <x:c r="B107" s="49"/>
      <x:c r="C107" s="49"/>
      <x:c r="D107" s="49"/>
      <x:c r="E107" s="49"/>
      <x:c r="F107" s="49"/>
      <x:c r="G107" s="49"/>
      <x:c r="H107" s="49"/>
      <x:c r="I107" s="49"/>
      <x:c r="J107" s="49"/>
      <x:c r="K107" s="49"/>
      <x:c r="L107" s="49"/>
      <x:c r="M107" s="49"/>
      <x:c r="N107" s="49"/>
      <x:c r="O107" s="49"/>
      <x:c r="P107" s="49"/>
      <x:c r="Q107" s="49"/>
      <x:c r="R107" s="49"/>
      <x:c r="S107" s="49"/>
      <x:c r="T107" s="49"/>
      <x:c r="U107" s="49"/>
      <x:c r="V107" s="49"/>
      <x:c r="W107" s="49"/>
      <x:c r="X107" s="49"/>
      <x:c r="Y107" s="49"/>
      <x:c r="Z107" s="49"/>
      <x:c r="AA107" s="49"/>
      <x:c r="AB107" s="49"/>
      <x:c r="AC107" s="49"/>
      <x:c r="AD107" s="49"/>
      <x:c r="AE107" s="49"/>
      <x:c r="AF107" s="49"/>
      <x:c r="AG107" s="49"/>
      <x:c r="AH107" s="49"/>
      <x:c r="AI107" s="49"/>
      <x:c r="AJ107" s="49"/>
      <x:c r="AK107" s="49"/>
      <x:c r="AL107" s="49"/>
      <x:c r="AM107" s="49"/>
      <x:c r="AN107" s="49"/>
      <x:c r="AO107" s="49"/>
      <x:c r="AP107" s="49"/>
      <x:c r="AQ107" s="49"/>
      <x:c r="AR107" s="49"/>
      <x:c r="AS107" s="49"/>
      <x:c r="AT107" s="49"/>
      <x:c r="AU107" s="49"/>
      <x:c r="AV107" s="49"/>
      <x:c r="AW107" s="49"/>
      <x:c r="AX107" s="49"/>
      <x:c r="AY107" s="49"/>
      <x:c r="AZ107" s="49"/>
    </x:row>
    <x:row r="108">
      <x:c r="A108" s="49"/>
      <x:c r="B108" s="49"/>
      <x:c r="C108" s="49"/>
      <x:c r="D108" s="49"/>
      <x:c r="E108" s="49"/>
      <x:c r="F108" s="49"/>
      <x:c r="G108" s="49"/>
      <x:c r="H108" s="49"/>
      <x:c r="I108" s="49"/>
      <x:c r="J108" s="49"/>
      <x:c r="K108" s="49"/>
      <x:c r="L108" s="49"/>
      <x:c r="M108" s="49"/>
      <x:c r="N108" s="49"/>
      <x:c r="O108" s="49"/>
      <x:c r="P108" s="49"/>
      <x:c r="Q108" s="49"/>
      <x:c r="R108" s="49"/>
      <x:c r="S108" s="49"/>
      <x:c r="T108" s="49"/>
      <x:c r="U108" s="49"/>
      <x:c r="V108" s="49"/>
      <x:c r="W108" s="49"/>
      <x:c r="X108" s="49"/>
      <x:c r="Y108" s="49"/>
      <x:c r="Z108" s="49"/>
      <x:c r="AA108" s="49"/>
      <x:c r="AB108" s="49"/>
      <x:c r="AC108" s="49"/>
      <x:c r="AD108" s="49"/>
      <x:c r="AE108" s="49"/>
      <x:c r="AF108" s="49"/>
      <x:c r="AG108" s="49"/>
      <x:c r="AH108" s="49"/>
      <x:c r="AI108" s="49"/>
      <x:c r="AJ108" s="49"/>
      <x:c r="AK108" s="49"/>
      <x:c r="AL108" s="49"/>
      <x:c r="AM108" s="49"/>
      <x:c r="AN108" s="49"/>
      <x:c r="AO108" s="49"/>
      <x:c r="AP108" s="49"/>
      <x:c r="AQ108" s="49"/>
      <x:c r="AR108" s="49"/>
      <x:c r="AS108" s="49"/>
      <x:c r="AT108" s="49"/>
      <x:c r="AU108" s="49"/>
      <x:c r="AV108" s="49"/>
      <x:c r="AW108" s="49"/>
      <x:c r="AX108" s="49"/>
      <x:c r="AY108" s="49"/>
      <x:c r="AZ108" s="49"/>
    </x:row>
    <x:row r="109">
      <x:c r="A109" s="49"/>
      <x:c r="B109" s="49"/>
      <x:c r="C109" s="49"/>
      <x:c r="D109" s="49"/>
      <x:c r="E109" s="49"/>
      <x:c r="F109" s="49"/>
      <x:c r="G109" s="49"/>
      <x:c r="H109" s="49"/>
      <x:c r="I109" s="49"/>
      <x:c r="J109" s="49"/>
      <x:c r="K109" s="49"/>
      <x:c r="L109" s="49"/>
      <x:c r="M109" s="49"/>
      <x:c r="N109" s="49"/>
      <x:c r="O109" s="49"/>
      <x:c r="P109" s="49"/>
      <x:c r="Q109" s="49"/>
      <x:c r="R109" s="49"/>
      <x:c r="S109" s="49"/>
      <x:c r="T109" s="49"/>
      <x:c r="U109" s="49"/>
      <x:c r="V109" s="49"/>
      <x:c r="W109" s="49"/>
      <x:c r="X109" s="49"/>
      <x:c r="Y109" s="49"/>
      <x:c r="Z109" s="49"/>
      <x:c r="AA109" s="49"/>
      <x:c r="AB109" s="49"/>
      <x:c r="AC109" s="49"/>
      <x:c r="AD109" s="49"/>
      <x:c r="AE109" s="49"/>
      <x:c r="AF109" s="49"/>
      <x:c r="AG109" s="49"/>
      <x:c r="AH109" s="49"/>
      <x:c r="AI109" s="49"/>
      <x:c r="AJ109" s="49"/>
      <x:c r="AK109" s="49"/>
      <x:c r="AL109" s="49"/>
      <x:c r="AM109" s="49"/>
      <x:c r="AN109" s="49"/>
      <x:c r="AO109" s="49"/>
      <x:c r="AP109" s="49"/>
      <x:c r="AQ109" s="49"/>
      <x:c r="AR109" s="49"/>
      <x:c r="AS109" s="49"/>
      <x:c r="AT109" s="49"/>
      <x:c r="AU109" s="49"/>
      <x:c r="AV109" s="49"/>
      <x:c r="AW109" s="49"/>
      <x:c r="AX109" s="49"/>
      <x:c r="AY109" s="49"/>
      <x:c r="AZ109" s="49"/>
    </x:row>
    <x:row r="110">
      <x:c r="A110" s="49"/>
      <x:c r="B110" s="49"/>
      <x:c r="C110" s="49"/>
      <x:c r="D110" s="49"/>
      <x:c r="E110" s="49"/>
      <x:c r="F110" s="49"/>
      <x:c r="G110" s="49"/>
      <x:c r="H110" s="49"/>
      <x:c r="I110" s="49"/>
      <x:c r="J110" s="49"/>
      <x:c r="K110" s="49"/>
      <x:c r="L110" s="49"/>
      <x:c r="M110" s="49"/>
      <x:c r="N110" s="49"/>
      <x:c r="O110" s="49"/>
      <x:c r="P110" s="49"/>
      <x:c r="Q110" s="49"/>
      <x:c r="R110" s="49"/>
      <x:c r="S110" s="49"/>
      <x:c r="T110" s="49"/>
      <x:c r="U110" s="49"/>
      <x:c r="V110" s="49"/>
      <x:c r="W110" s="49"/>
      <x:c r="X110" s="49"/>
      <x:c r="Y110" s="49"/>
      <x:c r="Z110" s="49"/>
      <x:c r="AA110" s="49"/>
      <x:c r="AB110" s="49"/>
      <x:c r="AC110" s="49"/>
      <x:c r="AD110" s="49"/>
      <x:c r="AE110" s="49"/>
      <x:c r="AF110" s="49"/>
      <x:c r="AG110" s="49"/>
      <x:c r="AH110" s="49"/>
      <x:c r="AI110" s="49"/>
      <x:c r="AJ110" s="49"/>
      <x:c r="AK110" s="49"/>
      <x:c r="AL110" s="49"/>
      <x:c r="AM110" s="49"/>
      <x:c r="AN110" s="49"/>
      <x:c r="AO110" s="49"/>
      <x:c r="AP110" s="49"/>
      <x:c r="AQ110" s="49"/>
      <x:c r="AR110" s="49"/>
      <x:c r="AS110" s="49"/>
      <x:c r="AT110" s="49"/>
      <x:c r="AU110" s="49"/>
      <x:c r="AV110" s="49"/>
      <x:c r="AW110" s="49"/>
      <x:c r="AX110" s="49"/>
      <x:c r="AY110" s="49"/>
      <x:c r="AZ110" s="49"/>
    </x:row>
    <x:row r="111">
      <x:c r="A111" s="49"/>
      <x:c r="B111" s="49"/>
      <x:c r="C111" s="49"/>
      <x:c r="D111" s="49"/>
      <x:c r="E111" s="49"/>
      <x:c r="F111" s="49"/>
      <x:c r="G111" s="49"/>
      <x:c r="H111" s="49"/>
      <x:c r="I111" s="49"/>
      <x:c r="J111" s="49"/>
      <x:c r="K111" s="49"/>
      <x:c r="L111" s="49"/>
      <x:c r="M111" s="49"/>
      <x:c r="N111" s="49"/>
      <x:c r="O111" s="49"/>
      <x:c r="P111" s="49"/>
      <x:c r="Q111" s="49"/>
      <x:c r="R111" s="49"/>
      <x:c r="S111" s="49"/>
      <x:c r="T111" s="49"/>
      <x:c r="U111" s="49"/>
      <x:c r="V111" s="49"/>
      <x:c r="W111" s="49"/>
      <x:c r="X111" s="49"/>
      <x:c r="Y111" s="49"/>
      <x:c r="Z111" s="49"/>
      <x:c r="AA111" s="49"/>
      <x:c r="AB111" s="49"/>
      <x:c r="AC111" s="49"/>
      <x:c r="AD111" s="49"/>
      <x:c r="AE111" s="49"/>
      <x:c r="AF111" s="49"/>
      <x:c r="AG111" s="49"/>
      <x:c r="AH111" s="49"/>
      <x:c r="AI111" s="49"/>
      <x:c r="AJ111" s="49"/>
      <x:c r="AK111" s="49"/>
      <x:c r="AL111" s="49"/>
      <x:c r="AM111" s="49"/>
      <x:c r="AN111" s="49"/>
      <x:c r="AO111" s="49"/>
      <x:c r="AP111" s="49"/>
      <x:c r="AQ111" s="49"/>
      <x:c r="AR111" s="49"/>
      <x:c r="AS111" s="49"/>
      <x:c r="AT111" s="49"/>
      <x:c r="AU111" s="49"/>
      <x:c r="AV111" s="49"/>
      <x:c r="AW111" s="49"/>
      <x:c r="AX111" s="49"/>
      <x:c r="AY111" s="49"/>
      <x:c r="AZ111" s="49"/>
    </x:row>
    <x:row r="112">
      <x:c r="A112" s="49"/>
      <x:c r="B112" s="49"/>
      <x:c r="C112" s="49"/>
      <x:c r="D112" s="49"/>
      <x:c r="E112" s="49"/>
      <x:c r="F112" s="49"/>
      <x:c r="G112" s="49"/>
      <x:c r="H112" s="49"/>
      <x:c r="I112" s="49"/>
      <x:c r="J112" s="49"/>
      <x:c r="K112" s="49"/>
      <x:c r="L112" s="49"/>
      <x:c r="M112" s="49"/>
      <x:c r="N112" s="49"/>
      <x:c r="O112" s="49"/>
      <x:c r="P112" s="49"/>
      <x:c r="Q112" s="49"/>
      <x:c r="R112" s="49"/>
      <x:c r="S112" s="49"/>
      <x:c r="T112" s="49"/>
      <x:c r="U112" s="49"/>
      <x:c r="V112" s="49"/>
      <x:c r="W112" s="49"/>
      <x:c r="X112" s="49"/>
      <x:c r="Y112" s="49"/>
      <x:c r="Z112" s="49"/>
      <x:c r="AA112" s="49"/>
      <x:c r="AB112" s="49"/>
      <x:c r="AC112" s="49"/>
      <x:c r="AD112" s="49"/>
      <x:c r="AE112" s="49"/>
      <x:c r="AF112" s="49"/>
      <x:c r="AG112" s="49"/>
      <x:c r="AH112" s="49"/>
      <x:c r="AI112" s="49"/>
      <x:c r="AJ112" s="49"/>
      <x:c r="AK112" s="49"/>
      <x:c r="AL112" s="49"/>
      <x:c r="AM112" s="49"/>
      <x:c r="AN112" s="49"/>
      <x:c r="AO112" s="49"/>
      <x:c r="AP112" s="49"/>
      <x:c r="AQ112" s="49"/>
      <x:c r="AR112" s="49"/>
      <x:c r="AS112" s="49"/>
      <x:c r="AT112" s="49"/>
      <x:c r="AU112" s="49"/>
      <x:c r="AV112" s="49"/>
      <x:c r="AW112" s="49"/>
      <x:c r="AX112" s="49"/>
      <x:c r="AY112" s="49"/>
      <x:c r="AZ112" s="49"/>
    </x:row>
    <x:row r="113">
      <x:c r="A113" s="49"/>
      <x:c r="B113" s="49"/>
      <x:c r="C113" s="49"/>
      <x:c r="D113" s="49"/>
      <x:c r="E113" s="49"/>
      <x:c r="F113" s="49"/>
      <x:c r="G113" s="49"/>
      <x:c r="H113" s="49"/>
      <x:c r="I113" s="49"/>
      <x:c r="J113" s="49"/>
      <x:c r="K113" s="49"/>
      <x:c r="L113" s="49"/>
      <x:c r="M113" s="49"/>
      <x:c r="N113" s="49"/>
      <x:c r="O113" s="49"/>
      <x:c r="P113" s="49"/>
      <x:c r="Q113" s="49"/>
      <x:c r="R113" s="49"/>
      <x:c r="S113" s="49"/>
      <x:c r="T113" s="49"/>
      <x:c r="U113" s="49"/>
      <x:c r="V113" s="49"/>
      <x:c r="W113" s="49"/>
      <x:c r="X113" s="49"/>
      <x:c r="Y113" s="49"/>
      <x:c r="Z113" s="49"/>
      <x:c r="AA113" s="49"/>
      <x:c r="AB113" s="49"/>
      <x:c r="AC113" s="49"/>
      <x:c r="AD113" s="49"/>
      <x:c r="AE113" s="49"/>
      <x:c r="AF113" s="49"/>
      <x:c r="AG113" s="49"/>
      <x:c r="AH113" s="49"/>
      <x:c r="AI113" s="49"/>
      <x:c r="AJ113" s="49"/>
      <x:c r="AK113" s="49"/>
      <x:c r="AL113" s="49"/>
      <x:c r="AM113" s="49"/>
      <x:c r="AN113" s="49"/>
      <x:c r="AO113" s="49"/>
      <x:c r="AP113" s="49"/>
      <x:c r="AQ113" s="49"/>
      <x:c r="AR113" s="49"/>
      <x:c r="AS113" s="49"/>
      <x:c r="AT113" s="49"/>
      <x:c r="AU113" s="49"/>
      <x:c r="AV113" s="49"/>
      <x:c r="AW113" s="49"/>
      <x:c r="AX113" s="49"/>
      <x:c r="AY113" s="49"/>
      <x:c r="AZ113" s="49"/>
    </x:row>
    <x:row r="114">
      <x:c r="A114" s="49"/>
      <x:c r="B114" s="49"/>
      <x:c r="C114" s="49"/>
      <x:c r="D114" s="49"/>
      <x:c r="E114" s="49"/>
      <x:c r="F114" s="49"/>
      <x:c r="G114" s="49"/>
      <x:c r="H114" s="49"/>
      <x:c r="I114" s="49"/>
      <x:c r="J114" s="49"/>
      <x:c r="K114" s="49"/>
      <x:c r="L114" s="49"/>
      <x:c r="M114" s="49"/>
      <x:c r="N114" s="49"/>
      <x:c r="O114" s="49"/>
      <x:c r="P114" s="49"/>
      <x:c r="Q114" s="49"/>
      <x:c r="R114" s="49"/>
      <x:c r="S114" s="49"/>
      <x:c r="T114" s="49"/>
      <x:c r="U114" s="49"/>
      <x:c r="V114" s="49"/>
      <x:c r="W114" s="49"/>
      <x:c r="X114" s="49"/>
      <x:c r="Y114" s="49"/>
      <x:c r="Z114" s="49"/>
      <x:c r="AA114" s="49"/>
      <x:c r="AB114" s="49"/>
      <x:c r="AC114" s="49"/>
      <x:c r="AD114" s="49"/>
      <x:c r="AE114" s="49"/>
      <x:c r="AF114" s="49"/>
      <x:c r="AG114" s="49"/>
      <x:c r="AH114" s="49"/>
      <x:c r="AI114" s="49"/>
      <x:c r="AJ114" s="49"/>
      <x:c r="AK114" s="49"/>
      <x:c r="AL114" s="49"/>
      <x:c r="AM114" s="49"/>
      <x:c r="AN114" s="49"/>
      <x:c r="AO114" s="49"/>
      <x:c r="AP114" s="49"/>
      <x:c r="AQ114" s="49"/>
      <x:c r="AR114" s="49"/>
      <x:c r="AS114" s="49"/>
      <x:c r="AT114" s="49"/>
      <x:c r="AU114" s="49"/>
      <x:c r="AV114" s="49"/>
      <x:c r="AW114" s="49"/>
      <x:c r="AX114" s="49"/>
      <x:c r="AY114" s="49"/>
      <x:c r="AZ114" s="49"/>
    </x:row>
    <x:row r="115">
      <x:c r="A115" s="49"/>
      <x:c r="B115" s="49"/>
      <x:c r="C115" s="49"/>
      <x:c r="D115" s="49"/>
      <x:c r="E115" s="49"/>
      <x:c r="F115" s="49"/>
      <x:c r="G115" s="49"/>
      <x:c r="H115" s="49"/>
      <x:c r="I115" s="49"/>
      <x:c r="J115" s="49"/>
      <x:c r="K115" s="49"/>
      <x:c r="L115" s="49"/>
      <x:c r="M115" s="49"/>
      <x:c r="N115" s="49"/>
      <x:c r="O115" s="49"/>
      <x:c r="P115" s="49"/>
      <x:c r="Q115" s="49"/>
      <x:c r="R115" s="49"/>
      <x:c r="S115" s="49"/>
      <x:c r="T115" s="49"/>
      <x:c r="U115" s="49"/>
      <x:c r="V115" s="49"/>
      <x:c r="W115" s="49"/>
      <x:c r="X115" s="49"/>
      <x:c r="Y115" s="49"/>
      <x:c r="Z115" s="49"/>
      <x:c r="AA115" s="49"/>
      <x:c r="AB115" s="49"/>
      <x:c r="AC115" s="49"/>
      <x:c r="AD115" s="49"/>
      <x:c r="AE115" s="49"/>
      <x:c r="AF115" s="49"/>
      <x:c r="AG115" s="49"/>
      <x:c r="AH115" s="49"/>
      <x:c r="AI115" s="49"/>
      <x:c r="AJ115" s="49"/>
      <x:c r="AK115" s="49"/>
      <x:c r="AL115" s="49"/>
      <x:c r="AM115" s="49"/>
      <x:c r="AN115" s="49"/>
      <x:c r="AO115" s="49"/>
      <x:c r="AP115" s="49"/>
      <x:c r="AQ115" s="49"/>
      <x:c r="AR115" s="49"/>
      <x:c r="AS115" s="49"/>
      <x:c r="AT115" s="49"/>
      <x:c r="AU115" s="49"/>
      <x:c r="AV115" s="49"/>
      <x:c r="AW115" s="49"/>
      <x:c r="AX115" s="49"/>
      <x:c r="AY115" s="49"/>
      <x:c r="AZ115" s="49"/>
    </x:row>
    <x:row r="116">
      <x:c r="A116" s="49"/>
      <x:c r="B116" s="49"/>
      <x:c r="C116" s="49"/>
      <x:c r="D116" s="49"/>
      <x:c r="E116" s="49"/>
      <x:c r="F116" s="49"/>
      <x:c r="G116" s="49"/>
      <x:c r="H116" s="49"/>
      <x:c r="I116" s="49"/>
      <x:c r="J116" s="49"/>
      <x:c r="K116" s="49"/>
      <x:c r="L116" s="49"/>
      <x:c r="M116" s="49"/>
      <x:c r="N116" s="49"/>
      <x:c r="O116" s="49"/>
      <x:c r="P116" s="49"/>
      <x:c r="Q116" s="49"/>
      <x:c r="R116" s="49"/>
      <x:c r="S116" s="49"/>
      <x:c r="T116" s="49"/>
      <x:c r="U116" s="49"/>
      <x:c r="V116" s="49"/>
      <x:c r="W116" s="49"/>
      <x:c r="X116" s="49"/>
      <x:c r="Y116" s="49"/>
      <x:c r="Z116" s="49"/>
      <x:c r="AA116" s="49"/>
      <x:c r="AB116" s="49"/>
      <x:c r="AC116" s="49"/>
      <x:c r="AD116" s="49"/>
      <x:c r="AE116" s="49"/>
      <x:c r="AF116" s="49"/>
      <x:c r="AG116" s="49"/>
      <x:c r="AH116" s="49"/>
      <x:c r="AI116" s="49"/>
      <x:c r="AJ116" s="49"/>
      <x:c r="AK116" s="49"/>
      <x:c r="AL116" s="49"/>
      <x:c r="AM116" s="49"/>
      <x:c r="AN116" s="49"/>
      <x:c r="AO116" s="49"/>
      <x:c r="AP116" s="49"/>
      <x:c r="AQ116" s="49"/>
      <x:c r="AR116" s="49"/>
      <x:c r="AS116" s="49"/>
      <x:c r="AT116" s="49"/>
      <x:c r="AU116" s="49"/>
      <x:c r="AV116" s="49"/>
      <x:c r="AW116" s="49"/>
      <x:c r="AX116" s="49"/>
      <x:c r="AY116" s="49"/>
      <x:c r="AZ116" s="49"/>
    </x:row>
    <x:row r="117">
      <x:c r="A117" s="49"/>
      <x:c r="B117" s="49"/>
      <x:c r="C117" s="49"/>
      <x:c r="D117" s="49"/>
      <x:c r="E117" s="49"/>
      <x:c r="F117" s="49"/>
      <x:c r="G117" s="49"/>
      <x:c r="H117" s="49"/>
      <x:c r="I117" s="49"/>
      <x:c r="J117" s="49"/>
      <x:c r="K117" s="49"/>
      <x:c r="L117" s="49"/>
      <x:c r="M117" s="49"/>
      <x:c r="N117" s="49"/>
      <x:c r="O117" s="49"/>
      <x:c r="P117" s="49"/>
      <x:c r="Q117" s="49"/>
      <x:c r="R117" s="49"/>
      <x:c r="S117" s="49"/>
      <x:c r="T117" s="49"/>
      <x:c r="U117" s="49"/>
      <x:c r="V117" s="49"/>
      <x:c r="W117" s="49"/>
      <x:c r="X117" s="49"/>
      <x:c r="Y117" s="49"/>
      <x:c r="Z117" s="49"/>
      <x:c r="AA117" s="49"/>
      <x:c r="AB117" s="49"/>
      <x:c r="AC117" s="49"/>
      <x:c r="AD117" s="49"/>
      <x:c r="AE117" s="49"/>
      <x:c r="AF117" s="49"/>
      <x:c r="AG117" s="49"/>
      <x:c r="AH117" s="49"/>
      <x:c r="AI117" s="49"/>
      <x:c r="AJ117" s="49"/>
      <x:c r="AK117" s="49"/>
      <x:c r="AL117" s="49"/>
      <x:c r="AM117" s="49"/>
      <x:c r="AN117" s="49"/>
      <x:c r="AO117" s="49"/>
      <x:c r="AP117" s="49"/>
      <x:c r="AQ117" s="49"/>
      <x:c r="AR117" s="49"/>
      <x:c r="AS117" s="49"/>
      <x:c r="AT117" s="49"/>
      <x:c r="AU117" s="49"/>
      <x:c r="AV117" s="49"/>
      <x:c r="AW117" s="49"/>
      <x:c r="AX117" s="49"/>
      <x:c r="AY117" s="49"/>
      <x:c r="AZ117" s="49"/>
    </x:row>
    <x:row r="118">
      <x:c r="A118" s="49"/>
      <x:c r="B118" s="49"/>
      <x:c r="C118" s="49"/>
      <x:c r="D118" s="49"/>
      <x:c r="E118" s="49"/>
      <x:c r="F118" s="49"/>
      <x:c r="G118" s="49"/>
      <x:c r="H118" s="49"/>
      <x:c r="I118" s="49"/>
      <x:c r="J118" s="49"/>
      <x:c r="K118" s="49"/>
      <x:c r="L118" s="49"/>
      <x:c r="M118" s="49"/>
      <x:c r="N118" s="49"/>
      <x:c r="O118" s="49"/>
      <x:c r="P118" s="49"/>
      <x:c r="Q118" s="49"/>
      <x:c r="R118" s="49"/>
      <x:c r="S118" s="49"/>
      <x:c r="T118" s="49"/>
      <x:c r="U118" s="49"/>
      <x:c r="V118" s="49"/>
      <x:c r="W118" s="49"/>
      <x:c r="X118" s="49"/>
      <x:c r="Y118" s="49"/>
      <x:c r="Z118" s="49"/>
      <x:c r="AA118" s="49"/>
      <x:c r="AB118" s="49"/>
      <x:c r="AC118" s="49"/>
      <x:c r="AD118" s="49"/>
      <x:c r="AE118" s="49"/>
      <x:c r="AF118" s="49"/>
      <x:c r="AG118" s="49"/>
      <x:c r="AH118" s="49"/>
      <x:c r="AI118" s="49"/>
      <x:c r="AJ118" s="49"/>
      <x:c r="AK118" s="49"/>
      <x:c r="AL118" s="49"/>
      <x:c r="AM118" s="49"/>
      <x:c r="AN118" s="49"/>
      <x:c r="AO118" s="49"/>
      <x:c r="AP118" s="49"/>
      <x:c r="AQ118" s="49"/>
      <x:c r="AR118" s="49"/>
      <x:c r="AS118" s="49"/>
      <x:c r="AT118" s="49"/>
      <x:c r="AU118" s="49"/>
      <x:c r="AV118" s="49"/>
      <x:c r="AW118" s="49"/>
      <x:c r="AX118" s="49"/>
      <x:c r="AY118" s="49"/>
      <x:c r="AZ118" s="49"/>
    </x:row>
    <x:row r="119">
      <x:c r="A119" s="49"/>
      <x:c r="B119" s="49"/>
      <x:c r="C119" s="49"/>
      <x:c r="D119" s="49"/>
      <x:c r="E119" s="49"/>
      <x:c r="F119" s="49"/>
      <x:c r="G119" s="49"/>
      <x:c r="H119" s="49"/>
      <x:c r="I119" s="49"/>
      <x:c r="J119" s="49"/>
      <x:c r="K119" s="49"/>
      <x:c r="L119" s="49"/>
      <x:c r="M119" s="49"/>
      <x:c r="N119" s="49"/>
      <x:c r="O119" s="49"/>
      <x:c r="P119" s="49"/>
      <x:c r="Q119" s="49"/>
      <x:c r="R119" s="49"/>
      <x:c r="S119" s="49"/>
      <x:c r="T119" s="49"/>
      <x:c r="U119" s="49"/>
      <x:c r="V119" s="49"/>
      <x:c r="W119" s="49"/>
      <x:c r="X119" s="49"/>
      <x:c r="Y119" s="49"/>
      <x:c r="Z119" s="49"/>
      <x:c r="AA119" s="49"/>
      <x:c r="AB119" s="49"/>
      <x:c r="AC119" s="49"/>
      <x:c r="AD119" s="49"/>
      <x:c r="AE119" s="49"/>
      <x:c r="AF119" s="49"/>
      <x:c r="AG119" s="49"/>
      <x:c r="AH119" s="49"/>
      <x:c r="AI119" s="49"/>
      <x:c r="AJ119" s="49"/>
      <x:c r="AK119" s="49"/>
      <x:c r="AL119" s="49"/>
      <x:c r="AM119" s="49"/>
      <x:c r="AN119" s="49"/>
      <x:c r="AO119" s="49"/>
      <x:c r="AP119" s="49"/>
      <x:c r="AQ119" s="49"/>
      <x:c r="AR119" s="49"/>
      <x:c r="AS119" s="49"/>
      <x:c r="AT119" s="49"/>
      <x:c r="AU119" s="49"/>
      <x:c r="AV119" s="49"/>
      <x:c r="AW119" s="49"/>
      <x:c r="AX119" s="49"/>
      <x:c r="AY119" s="49"/>
      <x:c r="AZ119" s="49"/>
    </x:row>
    <x:row r="120">
      <x:c r="A120" s="49"/>
      <x:c r="B120" s="49"/>
      <x:c r="C120" s="49"/>
      <x:c r="D120" s="49"/>
      <x:c r="E120" s="49"/>
      <x:c r="F120" s="49"/>
      <x:c r="G120" s="49"/>
      <x:c r="H120" s="49"/>
      <x:c r="I120" s="49"/>
      <x:c r="J120" s="49"/>
      <x:c r="K120" s="49"/>
      <x:c r="L120" s="49"/>
      <x:c r="M120" s="49"/>
      <x:c r="N120" s="49"/>
      <x:c r="O120" s="49"/>
      <x:c r="P120" s="49"/>
      <x:c r="Q120" s="49"/>
      <x:c r="R120" s="49"/>
      <x:c r="S120" s="49"/>
      <x:c r="T120" s="49"/>
      <x:c r="U120" s="49"/>
      <x:c r="V120" s="49"/>
      <x:c r="W120" s="49"/>
      <x:c r="X120" s="49"/>
      <x:c r="Y120" s="49"/>
      <x:c r="Z120" s="49"/>
      <x:c r="AA120" s="49"/>
      <x:c r="AB120" s="49"/>
      <x:c r="AC120" s="49"/>
      <x:c r="AD120" s="49"/>
      <x:c r="AE120" s="49"/>
      <x:c r="AF120" s="49"/>
      <x:c r="AG120" s="49"/>
      <x:c r="AH120" s="49"/>
      <x:c r="AI120" s="49"/>
      <x:c r="AJ120" s="49"/>
      <x:c r="AK120" s="49"/>
      <x:c r="AL120" s="49"/>
      <x:c r="AM120" s="49"/>
      <x:c r="AN120" s="49"/>
      <x:c r="AO120" s="49"/>
      <x:c r="AP120" s="49"/>
      <x:c r="AQ120" s="49"/>
      <x:c r="AR120" s="49"/>
      <x:c r="AS120" s="49"/>
      <x:c r="AT120" s="49"/>
      <x:c r="AU120" s="49"/>
      <x:c r="AV120" s="49"/>
      <x:c r="AW120" s="49"/>
      <x:c r="AX120" s="49"/>
      <x:c r="AY120" s="49"/>
      <x:c r="AZ120" s="49"/>
    </x:row>
    <x:row r="121">
      <x:c r="A121" s="49"/>
      <x:c r="B121" s="49"/>
      <x:c r="C121" s="49"/>
      <x:c r="D121" s="49"/>
      <x:c r="E121" s="49"/>
      <x:c r="F121" s="49"/>
      <x:c r="G121" s="49"/>
      <x:c r="H121" s="49"/>
      <x:c r="I121" s="49"/>
      <x:c r="J121" s="49"/>
      <x:c r="K121" s="49"/>
      <x:c r="L121" s="49"/>
      <x:c r="M121" s="49"/>
      <x:c r="N121" s="49"/>
      <x:c r="O121" s="49"/>
      <x:c r="P121" s="49"/>
      <x:c r="Q121" s="49"/>
      <x:c r="R121" s="49"/>
      <x:c r="S121" s="49"/>
      <x:c r="T121" s="49"/>
      <x:c r="U121" s="49"/>
      <x:c r="V121" s="49"/>
      <x:c r="W121" s="49"/>
      <x:c r="X121" s="49"/>
      <x:c r="Y121" s="49"/>
      <x:c r="Z121" s="49"/>
      <x:c r="AA121" s="49"/>
      <x:c r="AB121" s="49"/>
      <x:c r="AC121" s="49"/>
      <x:c r="AD121" s="49"/>
      <x:c r="AE121" s="49"/>
      <x:c r="AF121" s="49"/>
      <x:c r="AG121" s="49"/>
      <x:c r="AH121" s="49"/>
      <x:c r="AI121" s="49"/>
      <x:c r="AJ121" s="49"/>
      <x:c r="AK121" s="49"/>
      <x:c r="AL121" s="49"/>
      <x:c r="AM121" s="49"/>
      <x:c r="AN121" s="49"/>
      <x:c r="AO121" s="49"/>
      <x:c r="AP121" s="49"/>
      <x:c r="AQ121" s="49"/>
      <x:c r="AR121" s="49"/>
      <x:c r="AS121" s="49"/>
      <x:c r="AT121" s="49"/>
      <x:c r="AU121" s="49"/>
      <x:c r="AV121" s="49"/>
      <x:c r="AW121" s="49"/>
      <x:c r="AX121" s="49"/>
      <x:c r="AY121" s="49"/>
      <x:c r="AZ121" s="49"/>
    </x:row>
    <x:row r="122">
      <x:c r="A122" s="49"/>
      <x:c r="B122" s="49"/>
      <x:c r="C122" s="49"/>
      <x:c r="D122" s="49"/>
      <x:c r="E122" s="49"/>
      <x:c r="F122" s="49"/>
      <x:c r="G122" s="49"/>
      <x:c r="H122" s="49"/>
      <x:c r="I122" s="49"/>
      <x:c r="J122" s="49"/>
      <x:c r="K122" s="49"/>
      <x:c r="L122" s="49"/>
      <x:c r="M122" s="49"/>
      <x:c r="N122" s="49"/>
      <x:c r="O122" s="49"/>
      <x:c r="P122" s="49"/>
      <x:c r="Q122" s="49"/>
      <x:c r="R122" s="49"/>
      <x:c r="S122" s="49"/>
      <x:c r="T122" s="49"/>
      <x:c r="U122" s="49"/>
      <x:c r="V122" s="49"/>
      <x:c r="W122" s="49"/>
      <x:c r="X122" s="49"/>
      <x:c r="Y122" s="49"/>
      <x:c r="Z122" s="49"/>
      <x:c r="AA122" s="49"/>
      <x:c r="AB122" s="49"/>
      <x:c r="AC122" s="49"/>
      <x:c r="AD122" s="49"/>
      <x:c r="AE122" s="49"/>
      <x:c r="AF122" s="49"/>
      <x:c r="AG122" s="49"/>
      <x:c r="AH122" s="49"/>
      <x:c r="AI122" s="49"/>
      <x:c r="AJ122" s="49"/>
      <x:c r="AK122" s="49"/>
      <x:c r="AL122" s="49"/>
      <x:c r="AM122" s="49"/>
      <x:c r="AN122" s="49"/>
      <x:c r="AO122" s="49"/>
      <x:c r="AP122" s="49"/>
      <x:c r="AQ122" s="49"/>
      <x:c r="AR122" s="49"/>
      <x:c r="AS122" s="49"/>
      <x:c r="AT122" s="49"/>
      <x:c r="AU122" s="49"/>
      <x:c r="AV122" s="49"/>
      <x:c r="AW122" s="49"/>
      <x:c r="AX122" s="49"/>
      <x:c r="AY122" s="49"/>
      <x:c r="AZ122" s="49"/>
    </x:row>
    <x:row r="123">
      <x:c r="A123" s="49"/>
      <x:c r="B123" s="49"/>
      <x:c r="C123" s="49"/>
      <x:c r="D123" s="49"/>
      <x:c r="E123" s="49"/>
      <x:c r="F123" s="49"/>
      <x:c r="G123" s="49"/>
      <x:c r="H123" s="49"/>
      <x:c r="I123" s="49"/>
      <x:c r="J123" s="49"/>
      <x:c r="K123" s="49"/>
      <x:c r="L123" s="49"/>
      <x:c r="M123" s="49"/>
      <x:c r="N123" s="49"/>
      <x:c r="O123" s="49"/>
      <x:c r="P123" s="49"/>
      <x:c r="Q123" s="49"/>
      <x:c r="R123" s="49"/>
      <x:c r="S123" s="49"/>
      <x:c r="T123" s="49"/>
      <x:c r="U123" s="49"/>
      <x:c r="V123" s="49"/>
      <x:c r="W123" s="49"/>
      <x:c r="X123" s="49"/>
      <x:c r="Y123" s="49"/>
      <x:c r="Z123" s="49"/>
      <x:c r="AA123" s="49"/>
      <x:c r="AB123" s="49"/>
      <x:c r="AC123" s="49"/>
      <x:c r="AD123" s="49"/>
      <x:c r="AE123" s="49"/>
      <x:c r="AF123" s="49"/>
      <x:c r="AG123" s="49"/>
      <x:c r="AH123" s="49"/>
      <x:c r="AI123" s="49"/>
      <x:c r="AJ123" s="49"/>
      <x:c r="AK123" s="49"/>
      <x:c r="AL123" s="49"/>
      <x:c r="AM123" s="49"/>
      <x:c r="AN123" s="49"/>
      <x:c r="AO123" s="49"/>
      <x:c r="AP123" s="49"/>
      <x:c r="AQ123" s="49"/>
      <x:c r="AR123" s="49"/>
      <x:c r="AS123" s="49"/>
      <x:c r="AT123" s="49"/>
      <x:c r="AU123" s="49"/>
      <x:c r="AV123" s="49"/>
      <x:c r="AW123" s="49"/>
      <x:c r="AX123" s="49"/>
      <x:c r="AY123" s="49"/>
      <x:c r="AZ123" s="49"/>
    </x:row>
    <x:row r="124">
      <x:c r="A124" s="49"/>
      <x:c r="B124" s="49"/>
      <x:c r="C124" s="49"/>
      <x:c r="D124" s="49"/>
      <x:c r="E124" s="49"/>
      <x:c r="F124" s="49"/>
      <x:c r="G124" s="49"/>
      <x:c r="H124" s="49"/>
      <x:c r="I124" s="49"/>
      <x:c r="J124" s="49"/>
      <x:c r="K124" s="49"/>
      <x:c r="L124" s="49"/>
      <x:c r="M124" s="49"/>
      <x:c r="N124" s="49"/>
      <x:c r="O124" s="49"/>
      <x:c r="P124" s="49"/>
      <x:c r="Q124" s="49"/>
      <x:c r="R124" s="49"/>
      <x:c r="S124" s="49"/>
      <x:c r="T124" s="49"/>
      <x:c r="U124" s="49"/>
      <x:c r="V124" s="49"/>
      <x:c r="W124" s="49"/>
      <x:c r="X124" s="49"/>
      <x:c r="Y124" s="49"/>
      <x:c r="Z124" s="49"/>
      <x:c r="AA124" s="49"/>
      <x:c r="AB124" s="49"/>
      <x:c r="AC124" s="49"/>
      <x:c r="AD124" s="49"/>
      <x:c r="AE124" s="49"/>
      <x:c r="AF124" s="49"/>
      <x:c r="AG124" s="49"/>
      <x:c r="AH124" s="49"/>
      <x:c r="AI124" s="49"/>
      <x:c r="AJ124" s="49"/>
      <x:c r="AK124" s="49"/>
      <x:c r="AL124" s="49"/>
      <x:c r="AM124" s="49"/>
      <x:c r="AN124" s="49"/>
      <x:c r="AO124" s="49"/>
      <x:c r="AP124" s="49"/>
      <x:c r="AQ124" s="49"/>
      <x:c r="AR124" s="49"/>
      <x:c r="AS124" s="49"/>
      <x:c r="AT124" s="49"/>
      <x:c r="AU124" s="49"/>
      <x:c r="AV124" s="49"/>
      <x:c r="AW124" s="49"/>
      <x:c r="AX124" s="49"/>
      <x:c r="AY124" s="49"/>
      <x:c r="AZ124" s="49"/>
    </x:row>
    <x:row r="125">
      <x:c r="A125" s="49"/>
      <x:c r="B125" s="49"/>
      <x:c r="C125" s="49"/>
      <x:c r="D125" s="49"/>
      <x:c r="E125" s="49"/>
      <x:c r="F125" s="49"/>
      <x:c r="G125" s="49"/>
      <x:c r="H125" s="49"/>
      <x:c r="I125" s="49"/>
      <x:c r="J125" s="49"/>
      <x:c r="K125" s="49"/>
      <x:c r="L125" s="49"/>
      <x:c r="M125" s="49"/>
      <x:c r="N125" s="49"/>
      <x:c r="O125" s="49"/>
      <x:c r="P125" s="49"/>
      <x:c r="Q125" s="49"/>
      <x:c r="R125" s="49"/>
      <x:c r="S125" s="49"/>
      <x:c r="T125" s="49"/>
      <x:c r="U125" s="49"/>
      <x:c r="V125" s="49"/>
      <x:c r="W125" s="49"/>
      <x:c r="X125" s="49"/>
      <x:c r="Y125" s="49"/>
      <x:c r="Z125" s="49"/>
      <x:c r="AA125" s="49"/>
      <x:c r="AB125" s="49"/>
      <x:c r="AC125" s="49"/>
      <x:c r="AD125" s="49"/>
      <x:c r="AE125" s="49"/>
      <x:c r="AF125" s="49"/>
      <x:c r="AG125" s="49"/>
      <x:c r="AH125" s="49"/>
      <x:c r="AI125" s="49"/>
      <x:c r="AJ125" s="49"/>
      <x:c r="AK125" s="49"/>
      <x:c r="AL125" s="49"/>
      <x:c r="AM125" s="49"/>
      <x:c r="AN125" s="49"/>
      <x:c r="AO125" s="49"/>
      <x:c r="AP125" s="49"/>
      <x:c r="AQ125" s="49"/>
      <x:c r="AR125" s="49"/>
      <x:c r="AS125" s="49"/>
      <x:c r="AT125" s="49"/>
      <x:c r="AU125" s="49"/>
      <x:c r="AV125" s="49"/>
      <x:c r="AW125" s="49"/>
      <x:c r="AX125" s="49"/>
      <x:c r="AY125" s="49"/>
      <x:c r="AZ125" s="49"/>
    </x:row>
    <x:row r="126">
      <x:c r="A126" s="49"/>
      <x:c r="B126" s="49"/>
      <x:c r="C126" s="49"/>
      <x:c r="D126" s="49"/>
      <x:c r="E126" s="49"/>
      <x:c r="F126" s="49"/>
      <x:c r="G126" s="49"/>
      <x:c r="H126" s="49"/>
      <x:c r="I126" s="49"/>
      <x:c r="J126" s="49"/>
      <x:c r="K126" s="49"/>
      <x:c r="L126" s="49"/>
      <x:c r="M126" s="49"/>
      <x:c r="N126" s="49"/>
      <x:c r="O126" s="49"/>
      <x:c r="P126" s="49"/>
      <x:c r="Q126" s="49"/>
      <x:c r="R126" s="49"/>
      <x:c r="S126" s="49"/>
      <x:c r="T126" s="49"/>
      <x:c r="U126" s="49"/>
      <x:c r="V126" s="49"/>
      <x:c r="W126" s="49"/>
      <x:c r="X126" s="49"/>
      <x:c r="Y126" s="49"/>
      <x:c r="Z126" s="49"/>
      <x:c r="AA126" s="49"/>
      <x:c r="AB126" s="49"/>
      <x:c r="AC126" s="49"/>
      <x:c r="AD126" s="49"/>
      <x:c r="AE126" s="49"/>
      <x:c r="AF126" s="49"/>
      <x:c r="AG126" s="49"/>
      <x:c r="AH126" s="49"/>
      <x:c r="AI126" s="49"/>
      <x:c r="AJ126" s="49"/>
      <x:c r="AK126" s="49"/>
      <x:c r="AL126" s="49"/>
      <x:c r="AM126" s="49"/>
      <x:c r="AN126" s="49"/>
      <x:c r="AO126" s="49"/>
      <x:c r="AP126" s="49"/>
      <x:c r="AQ126" s="49"/>
      <x:c r="AR126" s="49"/>
      <x:c r="AS126" s="49"/>
      <x:c r="AT126" s="49"/>
      <x:c r="AU126" s="49"/>
      <x:c r="AV126" s="49"/>
      <x:c r="AW126" s="49"/>
      <x:c r="AX126" s="49"/>
      <x:c r="AY126" s="49"/>
      <x:c r="AZ126" s="49"/>
    </x:row>
    <x:row r="127">
      <x:c r="A127" s="49"/>
      <x:c r="B127" s="49"/>
      <x:c r="C127" s="49"/>
      <x:c r="D127" s="49"/>
      <x:c r="E127" s="49"/>
      <x:c r="F127" s="49"/>
      <x:c r="G127" s="49"/>
      <x:c r="H127" s="49"/>
      <x:c r="I127" s="49"/>
      <x:c r="J127" s="49"/>
      <x:c r="K127" s="49"/>
      <x:c r="L127" s="49"/>
      <x:c r="M127" s="49"/>
      <x:c r="N127" s="49"/>
      <x:c r="O127" s="49"/>
      <x:c r="P127" s="49"/>
      <x:c r="Q127" s="49"/>
      <x:c r="R127" s="49"/>
      <x:c r="S127" s="49"/>
      <x:c r="T127" s="49"/>
      <x:c r="U127" s="49"/>
      <x:c r="V127" s="49"/>
      <x:c r="W127" s="49"/>
      <x:c r="X127" s="49"/>
      <x:c r="Y127" s="49"/>
      <x:c r="Z127" s="49"/>
      <x:c r="AA127" s="49"/>
      <x:c r="AB127" s="49"/>
      <x:c r="AC127" s="49"/>
      <x:c r="AD127" s="49"/>
      <x:c r="AE127" s="49"/>
      <x:c r="AF127" s="49"/>
      <x:c r="AG127" s="49"/>
      <x:c r="AH127" s="49"/>
      <x:c r="AI127" s="49"/>
      <x:c r="AJ127" s="49"/>
      <x:c r="AK127" s="49"/>
      <x:c r="AL127" s="49"/>
      <x:c r="AM127" s="49"/>
      <x:c r="AN127" s="49"/>
      <x:c r="AO127" s="49"/>
      <x:c r="AP127" s="49"/>
      <x:c r="AQ127" s="49"/>
      <x:c r="AR127" s="49"/>
      <x:c r="AS127" s="49"/>
      <x:c r="AT127" s="49"/>
      <x:c r="AU127" s="49"/>
      <x:c r="AV127" s="49"/>
      <x:c r="AW127" s="49"/>
      <x:c r="AX127" s="49"/>
      <x:c r="AY127" s="49"/>
      <x:c r="AZ127" s="49"/>
    </x:row>
    <x:row r="128">
      <x:c r="A128" s="49"/>
      <x:c r="B128" s="49"/>
      <x:c r="C128" s="49"/>
      <x:c r="D128" s="49"/>
      <x:c r="E128" s="49"/>
      <x:c r="F128" s="49"/>
      <x:c r="G128" s="49"/>
      <x:c r="H128" s="49"/>
      <x:c r="I128" s="49"/>
      <x:c r="J128" s="49"/>
      <x:c r="K128" s="49"/>
      <x:c r="L128" s="49"/>
      <x:c r="M128" s="49"/>
      <x:c r="N128" s="49"/>
      <x:c r="O128" s="49"/>
      <x:c r="P128" s="49"/>
      <x:c r="Q128" s="49"/>
      <x:c r="R128" s="49"/>
      <x:c r="S128" s="49"/>
      <x:c r="T128" s="49"/>
      <x:c r="U128" s="49"/>
      <x:c r="V128" s="49"/>
      <x:c r="W128" s="49"/>
      <x:c r="X128" s="49"/>
      <x:c r="Y128" s="49"/>
      <x:c r="Z128" s="49"/>
      <x:c r="AA128" s="49"/>
      <x:c r="AB128" s="49"/>
      <x:c r="AC128" s="49"/>
      <x:c r="AD128" s="49"/>
      <x:c r="AE128" s="49"/>
      <x:c r="AF128" s="49"/>
      <x:c r="AG128" s="49"/>
      <x:c r="AH128" s="49"/>
      <x:c r="AI128" s="49"/>
      <x:c r="AJ128" s="49"/>
      <x:c r="AK128" s="49"/>
      <x:c r="AL128" s="49"/>
      <x:c r="AM128" s="49"/>
      <x:c r="AN128" s="49"/>
      <x:c r="AO128" s="49"/>
      <x:c r="AP128" s="49"/>
      <x:c r="AQ128" s="49"/>
      <x:c r="AR128" s="49"/>
      <x:c r="AS128" s="49"/>
      <x:c r="AT128" s="49"/>
      <x:c r="AU128" s="49"/>
      <x:c r="AV128" s="49"/>
      <x:c r="AW128" s="49"/>
      <x:c r="AX128" s="49"/>
      <x:c r="AY128" s="49"/>
      <x:c r="AZ128" s="49"/>
    </x:row>
    <x:row r="129">
      <x:c r="A129" s="49"/>
      <x:c r="B129" s="49"/>
      <x:c r="C129" s="49"/>
      <x:c r="D129" s="49"/>
      <x:c r="E129" s="49"/>
      <x:c r="F129" s="49"/>
      <x:c r="G129" s="49"/>
      <x:c r="H129" s="49"/>
      <x:c r="I129" s="49"/>
      <x:c r="J129" s="49"/>
      <x:c r="K129" s="49"/>
      <x:c r="L129" s="49"/>
      <x:c r="M129" s="49"/>
      <x:c r="N129" s="49"/>
      <x:c r="O129" s="49"/>
      <x:c r="P129" s="49"/>
      <x:c r="Q129" s="49"/>
      <x:c r="R129" s="49"/>
      <x:c r="S129" s="49"/>
      <x:c r="T129" s="49"/>
      <x:c r="U129" s="49"/>
      <x:c r="V129" s="49"/>
      <x:c r="W129" s="49"/>
      <x:c r="X129" s="49"/>
      <x:c r="Y129" s="49"/>
      <x:c r="Z129" s="49"/>
      <x:c r="AA129" s="49"/>
      <x:c r="AB129" s="49"/>
      <x:c r="AC129" s="49"/>
      <x:c r="AD129" s="49"/>
      <x:c r="AE129" s="49"/>
      <x:c r="AF129" s="49"/>
      <x:c r="AG129" s="49"/>
      <x:c r="AH129" s="49"/>
      <x:c r="AI129" s="49"/>
      <x:c r="AJ129" s="49"/>
      <x:c r="AK129" s="49"/>
      <x:c r="AL129" s="49"/>
      <x:c r="AM129" s="49"/>
      <x:c r="AN129" s="49"/>
      <x:c r="AO129" s="49"/>
      <x:c r="AP129" s="49"/>
      <x:c r="AQ129" s="49"/>
      <x:c r="AR129" s="49"/>
      <x:c r="AS129" s="49"/>
      <x:c r="AT129" s="49"/>
      <x:c r="AU129" s="49"/>
      <x:c r="AV129" s="49"/>
      <x:c r="AW129" s="49"/>
      <x:c r="AX129" s="49"/>
      <x:c r="AY129" s="49"/>
      <x:c r="AZ129" s="49"/>
    </x:row>
    <x:row r="130">
      <x:c r="A130" s="49"/>
      <x:c r="B130" s="49"/>
      <x:c r="C130" s="49"/>
      <x:c r="D130" s="49"/>
      <x:c r="E130" s="49"/>
      <x:c r="F130" s="49"/>
      <x:c r="G130" s="49"/>
      <x:c r="H130" s="49"/>
      <x:c r="I130" s="49"/>
      <x:c r="J130" s="49"/>
      <x:c r="K130" s="49"/>
      <x:c r="L130" s="49"/>
      <x:c r="M130" s="49"/>
      <x:c r="N130" s="49"/>
      <x:c r="O130" s="49"/>
      <x:c r="P130" s="49"/>
      <x:c r="Q130" s="49"/>
      <x:c r="R130" s="49"/>
      <x:c r="S130" s="49"/>
      <x:c r="T130" s="49"/>
      <x:c r="U130" s="49"/>
      <x:c r="V130" s="49"/>
      <x:c r="W130" s="49"/>
      <x:c r="X130" s="49"/>
      <x:c r="Y130" s="49"/>
      <x:c r="Z130" s="49"/>
      <x:c r="AA130" s="49"/>
      <x:c r="AB130" s="49"/>
      <x:c r="AC130" s="49"/>
      <x:c r="AD130" s="49"/>
      <x:c r="AE130" s="49"/>
      <x:c r="AF130" s="49"/>
      <x:c r="AG130" s="49"/>
      <x:c r="AH130" s="49"/>
      <x:c r="AI130" s="49"/>
      <x:c r="AJ130" s="49"/>
      <x:c r="AK130" s="49"/>
      <x:c r="AL130" s="49"/>
      <x:c r="AM130" s="49"/>
      <x:c r="AN130" s="49"/>
      <x:c r="AO130" s="49"/>
      <x:c r="AP130" s="49"/>
      <x:c r="AQ130" s="49"/>
      <x:c r="AR130" s="49"/>
      <x:c r="AS130" s="49"/>
      <x:c r="AT130" s="49"/>
      <x:c r="AU130" s="49"/>
      <x:c r="AV130" s="49"/>
      <x:c r="AW130" s="49"/>
      <x:c r="AX130" s="49"/>
      <x:c r="AY130" s="49"/>
      <x:c r="AZ130" s="49"/>
    </x:row>
    <x:row r="131">
      <x:c r="A131" s="49"/>
      <x:c r="B131" s="49"/>
      <x:c r="C131" s="49"/>
      <x:c r="D131" s="49"/>
      <x:c r="E131" s="49"/>
      <x:c r="F131" s="49"/>
      <x:c r="G131" s="49"/>
      <x:c r="H131" s="49"/>
      <x:c r="I131" s="49"/>
      <x:c r="J131" s="49"/>
      <x:c r="K131" s="49"/>
      <x:c r="L131" s="49"/>
      <x:c r="M131" s="49"/>
      <x:c r="N131" s="49"/>
      <x:c r="O131" s="49"/>
      <x:c r="P131" s="49"/>
      <x:c r="Q131" s="49"/>
      <x:c r="R131" s="49"/>
      <x:c r="S131" s="49"/>
      <x:c r="T131" s="49"/>
      <x:c r="U131" s="49"/>
      <x:c r="V131" s="49"/>
      <x:c r="W131" s="49"/>
      <x:c r="X131" s="49"/>
      <x:c r="Y131" s="49"/>
      <x:c r="Z131" s="49"/>
      <x:c r="AA131" s="49"/>
      <x:c r="AB131" s="49"/>
      <x:c r="AC131" s="49"/>
      <x:c r="AD131" s="49"/>
      <x:c r="AE131" s="49"/>
      <x:c r="AF131" s="49"/>
      <x:c r="AG131" s="49"/>
      <x:c r="AH131" s="49"/>
      <x:c r="AI131" s="49"/>
      <x:c r="AJ131" s="49"/>
      <x:c r="AK131" s="49"/>
      <x:c r="AL131" s="49"/>
      <x:c r="AM131" s="49"/>
      <x:c r="AN131" s="49"/>
      <x:c r="AO131" s="49"/>
      <x:c r="AP131" s="49"/>
      <x:c r="AQ131" s="49"/>
      <x:c r="AR131" s="49"/>
      <x:c r="AS131" s="49"/>
      <x:c r="AT131" s="49"/>
      <x:c r="AU131" s="49"/>
      <x:c r="AV131" s="49"/>
      <x:c r="AW131" s="49"/>
      <x:c r="AX131" s="49"/>
      <x:c r="AY131" s="49"/>
      <x:c r="AZ131" s="49"/>
    </x:row>
    <x:row r="132">
      <x:c r="A132" s="49"/>
      <x:c r="B132" s="49"/>
      <x:c r="C132" s="49"/>
      <x:c r="D132" s="49"/>
      <x:c r="E132" s="49"/>
      <x:c r="F132" s="49"/>
      <x:c r="G132" s="49"/>
      <x:c r="H132" s="49"/>
      <x:c r="I132" s="49"/>
      <x:c r="J132" s="49"/>
      <x:c r="K132" s="49"/>
      <x:c r="L132" s="49"/>
      <x:c r="M132" s="49"/>
      <x:c r="N132" s="49"/>
      <x:c r="O132" s="49"/>
      <x:c r="P132" s="49"/>
      <x:c r="Q132" s="49"/>
      <x:c r="R132" s="49"/>
      <x:c r="S132" s="49"/>
      <x:c r="T132" s="49"/>
      <x:c r="U132" s="49"/>
      <x:c r="V132" s="49"/>
      <x:c r="W132" s="49"/>
      <x:c r="X132" s="49"/>
      <x:c r="Y132" s="49"/>
      <x:c r="Z132" s="49"/>
      <x:c r="AA132" s="49"/>
      <x:c r="AB132" s="49"/>
      <x:c r="AC132" s="49"/>
      <x:c r="AD132" s="49"/>
      <x:c r="AE132" s="49"/>
      <x:c r="AF132" s="49"/>
      <x:c r="AG132" s="49"/>
      <x:c r="AH132" s="49"/>
      <x:c r="AI132" s="49"/>
      <x:c r="AJ132" s="49"/>
      <x:c r="AK132" s="49"/>
      <x:c r="AL132" s="49"/>
      <x:c r="AM132" s="49"/>
      <x:c r="AN132" s="49"/>
      <x:c r="AO132" s="49"/>
      <x:c r="AP132" s="49"/>
      <x:c r="AQ132" s="49"/>
      <x:c r="AR132" s="49"/>
      <x:c r="AS132" s="49"/>
      <x:c r="AT132" s="49"/>
      <x:c r="AU132" s="49"/>
      <x:c r="AV132" s="49"/>
      <x:c r="AW132" s="49"/>
      <x:c r="AX132" s="49"/>
      <x:c r="AY132" s="49"/>
      <x:c r="AZ132" s="49"/>
    </x:row>
    <x:row r="133">
      <x:c r="A133" s="49"/>
      <x:c r="B133" s="49"/>
      <x:c r="C133" s="49"/>
      <x:c r="D133" s="49"/>
      <x:c r="E133" s="49"/>
      <x:c r="F133" s="49"/>
      <x:c r="G133" s="49"/>
      <x:c r="H133" s="49"/>
      <x:c r="I133" s="49"/>
      <x:c r="J133" s="49"/>
      <x:c r="K133" s="49"/>
      <x:c r="L133" s="49"/>
      <x:c r="M133" s="49"/>
      <x:c r="N133" s="49"/>
      <x:c r="O133" s="49"/>
      <x:c r="P133" s="49"/>
      <x:c r="Q133" s="49"/>
      <x:c r="R133" s="49"/>
      <x:c r="S133" s="49"/>
      <x:c r="T133" s="49"/>
      <x:c r="U133" s="49"/>
      <x:c r="V133" s="49"/>
      <x:c r="W133" s="49"/>
      <x:c r="X133" s="49"/>
      <x:c r="Y133" s="49"/>
      <x:c r="Z133" s="49"/>
      <x:c r="AA133" s="49"/>
      <x:c r="AB133" s="49"/>
      <x:c r="AC133" s="49"/>
      <x:c r="AD133" s="49"/>
      <x:c r="AE133" s="49"/>
      <x:c r="AF133" s="49"/>
      <x:c r="AG133" s="49"/>
      <x:c r="AH133" s="49"/>
      <x:c r="AI133" s="49"/>
      <x:c r="AJ133" s="49"/>
      <x:c r="AK133" s="49"/>
      <x:c r="AL133" s="49"/>
      <x:c r="AM133" s="49"/>
      <x:c r="AN133" s="49"/>
      <x:c r="AO133" s="49"/>
      <x:c r="AP133" s="49"/>
      <x:c r="AQ133" s="49"/>
      <x:c r="AR133" s="49"/>
      <x:c r="AS133" s="49"/>
      <x:c r="AT133" s="49"/>
      <x:c r="AU133" s="49"/>
      <x:c r="AV133" s="49"/>
      <x:c r="AW133" s="49"/>
      <x:c r="AX133" s="49"/>
      <x:c r="AY133" s="49"/>
      <x:c r="AZ133" s="49"/>
    </x:row>
    <x:row r="134">
      <x:c r="A134" s="49"/>
      <x:c r="B134" s="49"/>
      <x:c r="C134" s="49"/>
      <x:c r="D134" s="49"/>
      <x:c r="E134" s="49"/>
      <x:c r="F134" s="49"/>
      <x:c r="G134" s="49"/>
      <x:c r="H134" s="49"/>
      <x:c r="I134" s="49"/>
      <x:c r="J134" s="49"/>
      <x:c r="K134" s="49"/>
      <x:c r="L134" s="49"/>
      <x:c r="M134" s="49"/>
      <x:c r="N134" s="49"/>
      <x:c r="O134" s="49"/>
      <x:c r="P134" s="49"/>
      <x:c r="Q134" s="49"/>
      <x:c r="R134" s="49"/>
      <x:c r="S134" s="49"/>
      <x:c r="T134" s="49"/>
      <x:c r="U134" s="49"/>
      <x:c r="V134" s="49"/>
      <x:c r="W134" s="49"/>
      <x:c r="X134" s="49"/>
      <x:c r="Y134" s="49"/>
      <x:c r="Z134" s="49"/>
      <x:c r="AA134" s="49"/>
      <x:c r="AB134" s="49"/>
      <x:c r="AC134" s="49"/>
      <x:c r="AD134" s="49"/>
      <x:c r="AE134" s="49"/>
      <x:c r="AF134" s="49"/>
      <x:c r="AG134" s="49"/>
      <x:c r="AH134" s="49"/>
      <x:c r="AI134" s="49"/>
      <x:c r="AJ134" s="49"/>
      <x:c r="AK134" s="49"/>
      <x:c r="AL134" s="49"/>
      <x:c r="AM134" s="49"/>
      <x:c r="AN134" s="49"/>
      <x:c r="AO134" s="49"/>
      <x:c r="AP134" s="49"/>
      <x:c r="AQ134" s="49"/>
      <x:c r="AR134" s="49"/>
      <x:c r="AS134" s="49"/>
      <x:c r="AT134" s="49"/>
      <x:c r="AU134" s="49"/>
      <x:c r="AV134" s="49"/>
      <x:c r="AW134" s="49"/>
      <x:c r="AX134" s="49"/>
      <x:c r="AY134" s="49"/>
      <x:c r="AZ134" s="49"/>
    </x:row>
    <x:row r="135">
      <x:c r="A135" s="49"/>
      <x:c r="B135" s="49"/>
      <x:c r="C135" s="49"/>
      <x:c r="D135" s="49"/>
      <x:c r="E135" s="49"/>
      <x:c r="F135" s="49"/>
      <x:c r="G135" s="49"/>
      <x:c r="H135" s="49"/>
      <x:c r="I135" s="49"/>
      <x:c r="J135" s="49"/>
      <x:c r="K135" s="49"/>
      <x:c r="L135" s="49"/>
      <x:c r="M135" s="49"/>
      <x:c r="N135" s="49"/>
      <x:c r="O135" s="49"/>
      <x:c r="P135" s="49"/>
      <x:c r="Q135" s="49"/>
      <x:c r="R135" s="49"/>
      <x:c r="S135" s="49"/>
      <x:c r="T135" s="49"/>
      <x:c r="U135" s="49"/>
      <x:c r="V135" s="49"/>
      <x:c r="W135" s="49"/>
      <x:c r="X135" s="49"/>
      <x:c r="Y135" s="49"/>
      <x:c r="Z135" s="49"/>
      <x:c r="AA135" s="49"/>
      <x:c r="AB135" s="49"/>
      <x:c r="AC135" s="49"/>
      <x:c r="AD135" s="49"/>
      <x:c r="AE135" s="49"/>
      <x:c r="AF135" s="49"/>
      <x:c r="AG135" s="49"/>
      <x:c r="AH135" s="49"/>
      <x:c r="AI135" s="49"/>
      <x:c r="AJ135" s="49"/>
      <x:c r="AK135" s="49"/>
      <x:c r="AL135" s="49"/>
      <x:c r="AM135" s="49"/>
      <x:c r="AN135" s="49"/>
      <x:c r="AO135" s="49"/>
      <x:c r="AP135" s="49"/>
      <x:c r="AQ135" s="49"/>
      <x:c r="AR135" s="49"/>
      <x:c r="AS135" s="49"/>
      <x:c r="AT135" s="49"/>
      <x:c r="AU135" s="49"/>
      <x:c r="AV135" s="49"/>
      <x:c r="AW135" s="49"/>
      <x:c r="AX135" s="49"/>
      <x:c r="AY135" s="49"/>
      <x:c r="AZ135" s="49"/>
    </x:row>
    <x:row r="136">
      <x:c r="A136" s="49"/>
      <x:c r="B136" s="49"/>
      <x:c r="C136" s="49"/>
      <x:c r="D136" s="49"/>
      <x:c r="E136" s="49"/>
      <x:c r="F136" s="49"/>
      <x:c r="G136" s="49"/>
      <x:c r="H136" s="49"/>
      <x:c r="I136" s="49"/>
      <x:c r="J136" s="49"/>
      <x:c r="K136" s="49"/>
      <x:c r="L136" s="49"/>
      <x:c r="M136" s="49"/>
      <x:c r="N136" s="49"/>
      <x:c r="O136" s="49"/>
      <x:c r="P136" s="49"/>
      <x:c r="Q136" s="49"/>
      <x:c r="R136" s="49"/>
      <x:c r="S136" s="49"/>
      <x:c r="T136" s="49"/>
      <x:c r="U136" s="49"/>
      <x:c r="V136" s="49"/>
      <x:c r="W136" s="49"/>
      <x:c r="X136" s="49"/>
      <x:c r="Y136" s="49"/>
      <x:c r="Z136" s="49"/>
      <x:c r="AA136" s="49"/>
      <x:c r="AB136" s="49"/>
      <x:c r="AC136" s="49"/>
      <x:c r="AD136" s="49"/>
      <x:c r="AE136" s="49"/>
      <x:c r="AF136" s="49"/>
      <x:c r="AG136" s="49"/>
      <x:c r="AH136" s="49"/>
      <x:c r="AI136" s="49"/>
      <x:c r="AJ136" s="49"/>
      <x:c r="AK136" s="49"/>
      <x:c r="AL136" s="49"/>
      <x:c r="AM136" s="49"/>
      <x:c r="AN136" s="49"/>
      <x:c r="AO136" s="49"/>
      <x:c r="AP136" s="49"/>
      <x:c r="AQ136" s="49"/>
      <x:c r="AR136" s="49"/>
      <x:c r="AS136" s="49"/>
      <x:c r="AT136" s="49"/>
      <x:c r="AU136" s="49"/>
      <x:c r="AV136" s="49"/>
      <x:c r="AW136" s="49"/>
      <x:c r="AX136" s="49"/>
      <x:c r="AY136" s="49"/>
      <x:c r="AZ136" s="49"/>
    </x:row>
    <x:row r="137">
      <x:c r="A137" s="49"/>
      <x:c r="B137" s="49"/>
      <x:c r="C137" s="49"/>
      <x:c r="D137" s="49"/>
      <x:c r="E137" s="49"/>
      <x:c r="F137" s="49"/>
      <x:c r="G137" s="49"/>
      <x:c r="H137" s="49"/>
      <x:c r="I137" s="49"/>
      <x:c r="J137" s="49"/>
      <x:c r="K137" s="49"/>
      <x:c r="L137" s="49"/>
      <x:c r="M137" s="49"/>
      <x:c r="N137" s="49"/>
      <x:c r="O137" s="49"/>
      <x:c r="P137" s="49"/>
      <x:c r="Q137" s="49"/>
      <x:c r="R137" s="49"/>
      <x:c r="S137" s="49"/>
      <x:c r="T137" s="49"/>
      <x:c r="U137" s="49"/>
      <x:c r="V137" s="49"/>
      <x:c r="W137" s="49"/>
      <x:c r="X137" s="49"/>
      <x:c r="Y137" s="49"/>
      <x:c r="Z137" s="49"/>
      <x:c r="AA137" s="49"/>
      <x:c r="AB137" s="49"/>
      <x:c r="AC137" s="49"/>
      <x:c r="AD137" s="49"/>
      <x:c r="AE137" s="49"/>
      <x:c r="AF137" s="49"/>
      <x:c r="AG137" s="49"/>
      <x:c r="AH137" s="49"/>
      <x:c r="AI137" s="49"/>
      <x:c r="AJ137" s="49"/>
      <x:c r="AK137" s="49"/>
      <x:c r="AL137" s="49"/>
      <x:c r="AM137" s="49"/>
      <x:c r="AN137" s="49"/>
      <x:c r="AO137" s="49"/>
      <x:c r="AP137" s="49"/>
      <x:c r="AQ137" s="49"/>
      <x:c r="AR137" s="49"/>
      <x:c r="AS137" s="49"/>
      <x:c r="AT137" s="49"/>
      <x:c r="AU137" s="49"/>
      <x:c r="AV137" s="49"/>
      <x:c r="AW137" s="49"/>
      <x:c r="AX137" s="49"/>
      <x:c r="AY137" s="49"/>
      <x:c r="AZ137" s="49"/>
    </x:row>
    <x:row r="138">
      <x:c r="A138" s="49"/>
      <x:c r="B138" s="49"/>
      <x:c r="C138" s="49"/>
      <x:c r="D138" s="49"/>
      <x:c r="E138" s="49"/>
      <x:c r="F138" s="49"/>
      <x:c r="G138" s="49"/>
      <x:c r="H138" s="49"/>
      <x:c r="I138" s="49"/>
      <x:c r="J138" s="49"/>
      <x:c r="K138" s="49"/>
      <x:c r="L138" s="49"/>
      <x:c r="M138" s="49"/>
      <x:c r="N138" s="49"/>
      <x:c r="O138" s="49"/>
      <x:c r="P138" s="49"/>
      <x:c r="Q138" s="49"/>
      <x:c r="R138" s="49"/>
      <x:c r="S138" s="49"/>
      <x:c r="T138" s="49"/>
      <x:c r="U138" s="49"/>
      <x:c r="V138" s="49"/>
      <x:c r="W138" s="49"/>
      <x:c r="X138" s="49"/>
      <x:c r="Y138" s="49"/>
      <x:c r="Z138" s="49"/>
      <x:c r="AA138" s="49"/>
      <x:c r="AB138" s="49"/>
      <x:c r="AC138" s="49"/>
      <x:c r="AD138" s="49"/>
      <x:c r="AE138" s="49"/>
      <x:c r="AF138" s="49"/>
      <x:c r="AG138" s="49"/>
      <x:c r="AH138" s="49"/>
      <x:c r="AI138" s="49"/>
      <x:c r="AJ138" s="49"/>
      <x:c r="AK138" s="49"/>
      <x:c r="AL138" s="49"/>
      <x:c r="AM138" s="49"/>
      <x:c r="AN138" s="49"/>
      <x:c r="AO138" s="49"/>
      <x:c r="AP138" s="49"/>
      <x:c r="AQ138" s="49"/>
      <x:c r="AR138" s="49"/>
      <x:c r="AS138" s="49"/>
      <x:c r="AT138" s="49"/>
      <x:c r="AU138" s="49"/>
      <x:c r="AV138" s="49"/>
      <x:c r="AW138" s="49"/>
      <x:c r="AX138" s="49"/>
      <x:c r="AY138" s="49"/>
      <x:c r="AZ138" s="49"/>
    </x:row>
    <x:row r="139">
      <x:c r="A139" s="49"/>
      <x:c r="B139" s="49"/>
      <x:c r="C139" s="49"/>
      <x:c r="D139" s="49"/>
      <x:c r="E139" s="49"/>
      <x:c r="F139" s="49"/>
      <x:c r="G139" s="49"/>
      <x:c r="H139" s="49"/>
      <x:c r="I139" s="49"/>
      <x:c r="J139" s="49"/>
      <x:c r="K139" s="49"/>
      <x:c r="L139" s="49"/>
      <x:c r="M139" s="49"/>
      <x:c r="N139" s="49"/>
      <x:c r="O139" s="49"/>
      <x:c r="P139" s="49"/>
      <x:c r="Q139" s="49"/>
      <x:c r="R139" s="49"/>
      <x:c r="S139" s="49"/>
      <x:c r="T139" s="49"/>
      <x:c r="U139" s="49"/>
      <x:c r="V139" s="49"/>
      <x:c r="W139" s="49"/>
      <x:c r="X139" s="49"/>
      <x:c r="Y139" s="49"/>
      <x:c r="Z139" s="49"/>
      <x:c r="AA139" s="49"/>
      <x:c r="AB139" s="49"/>
      <x:c r="AC139" s="49"/>
      <x:c r="AD139" s="49"/>
      <x:c r="AE139" s="49"/>
      <x:c r="AF139" s="49"/>
      <x:c r="AG139" s="49"/>
      <x:c r="AH139" s="49"/>
      <x:c r="AI139" s="49"/>
      <x:c r="AJ139" s="49"/>
      <x:c r="AK139" s="49"/>
      <x:c r="AL139" s="49"/>
      <x:c r="AM139" s="49"/>
      <x:c r="AN139" s="49"/>
      <x:c r="AO139" s="49"/>
      <x:c r="AP139" s="49"/>
      <x:c r="AQ139" s="49"/>
      <x:c r="AR139" s="49"/>
      <x:c r="AS139" s="49"/>
      <x:c r="AT139" s="49"/>
      <x:c r="AU139" s="49"/>
      <x:c r="AV139" s="49"/>
      <x:c r="AW139" s="49"/>
      <x:c r="AX139" s="49"/>
      <x:c r="AY139" s="49"/>
      <x:c r="AZ139" s="49"/>
    </x:row>
    <x:row r="140">
      <x:c r="A140" s="49"/>
      <x:c r="B140" s="49"/>
      <x:c r="C140" s="49"/>
      <x:c r="D140" s="49"/>
      <x:c r="E140" s="49"/>
      <x:c r="F140" s="49"/>
      <x:c r="G140" s="49"/>
      <x:c r="H140" s="49"/>
      <x:c r="I140" s="49"/>
      <x:c r="J140" s="49"/>
      <x:c r="K140" s="49"/>
      <x:c r="L140" s="49"/>
      <x:c r="M140" s="49"/>
      <x:c r="N140" s="49"/>
      <x:c r="O140" s="49"/>
      <x:c r="P140" s="49"/>
      <x:c r="Q140" s="49"/>
      <x:c r="R140" s="49"/>
      <x:c r="S140" s="49"/>
      <x:c r="T140" s="49"/>
      <x:c r="U140" s="49"/>
      <x:c r="V140" s="49"/>
      <x:c r="W140" s="49"/>
      <x:c r="X140" s="49"/>
      <x:c r="Y140" s="49"/>
      <x:c r="Z140" s="49"/>
      <x:c r="AA140" s="49"/>
      <x:c r="AB140" s="49"/>
      <x:c r="AC140" s="49"/>
      <x:c r="AD140" s="49"/>
      <x:c r="AE140" s="49"/>
      <x:c r="AF140" s="49"/>
      <x:c r="AG140" s="49"/>
      <x:c r="AH140" s="49"/>
      <x:c r="AI140" s="49"/>
      <x:c r="AJ140" s="49"/>
      <x:c r="AK140" s="49"/>
      <x:c r="AL140" s="49"/>
      <x:c r="AM140" s="49"/>
      <x:c r="AN140" s="49"/>
      <x:c r="AO140" s="49"/>
      <x:c r="AP140" s="49"/>
      <x:c r="AQ140" s="49"/>
      <x:c r="AR140" s="49"/>
      <x:c r="AS140" s="49"/>
      <x:c r="AT140" s="49"/>
      <x:c r="AU140" s="49"/>
      <x:c r="AV140" s="49"/>
      <x:c r="AW140" s="49"/>
      <x:c r="AX140" s="49"/>
      <x:c r="AY140" s="49"/>
      <x:c r="AZ140" s="49"/>
    </x:row>
    <x:row r="141">
      <x:c r="A141" s="49"/>
      <x:c r="B141" s="49"/>
      <x:c r="C141" s="49"/>
      <x:c r="D141" s="49"/>
      <x:c r="E141" s="49"/>
      <x:c r="F141" s="49"/>
      <x:c r="G141" s="49"/>
      <x:c r="H141" s="49"/>
      <x:c r="I141" s="49"/>
      <x:c r="J141" s="49"/>
      <x:c r="K141" s="49"/>
      <x:c r="L141" s="49"/>
      <x:c r="M141" s="49"/>
      <x:c r="N141" s="49"/>
      <x:c r="O141" s="49"/>
      <x:c r="P141" s="49"/>
      <x:c r="Q141" s="49"/>
      <x:c r="R141" s="49"/>
      <x:c r="S141" s="49"/>
      <x:c r="T141" s="49"/>
      <x:c r="U141" s="49"/>
      <x:c r="V141" s="49"/>
      <x:c r="W141" s="49"/>
      <x:c r="X141" s="49"/>
      <x:c r="Y141" s="49"/>
      <x:c r="Z141" s="49"/>
      <x:c r="AA141" s="49"/>
      <x:c r="AB141" s="49"/>
      <x:c r="AC141" s="49"/>
      <x:c r="AD141" s="49"/>
      <x:c r="AE141" s="49"/>
      <x:c r="AF141" s="49"/>
      <x:c r="AG141" s="49"/>
      <x:c r="AH141" s="49"/>
      <x:c r="AI141" s="49"/>
      <x:c r="AJ141" s="49"/>
      <x:c r="AK141" s="49"/>
      <x:c r="AL141" s="49"/>
      <x:c r="AM141" s="49"/>
      <x:c r="AN141" s="49"/>
      <x:c r="AO141" s="49"/>
      <x:c r="AP141" s="49"/>
      <x:c r="AQ141" s="49"/>
      <x:c r="AR141" s="49"/>
      <x:c r="AS141" s="49"/>
      <x:c r="AT141" s="49"/>
      <x:c r="AU141" s="49"/>
      <x:c r="AV141" s="49"/>
      <x:c r="AW141" s="49"/>
      <x:c r="AX141" s="49"/>
      <x:c r="AY141" s="49"/>
      <x:c r="AZ141" s="49"/>
    </x:row>
    <x:row r="142">
      <x:c r="A142" s="49"/>
      <x:c r="B142" s="49"/>
      <x:c r="C142" s="49"/>
      <x:c r="D142" s="49"/>
      <x:c r="E142" s="49"/>
      <x:c r="F142" s="49"/>
      <x:c r="G142" s="49"/>
      <x:c r="H142" s="49"/>
      <x:c r="I142" s="49"/>
      <x:c r="J142" s="49"/>
      <x:c r="K142" s="49"/>
      <x:c r="L142" s="49"/>
      <x:c r="M142" s="49"/>
      <x:c r="N142" s="49"/>
      <x:c r="O142" s="49"/>
      <x:c r="P142" s="49"/>
      <x:c r="Q142" s="49"/>
      <x:c r="R142" s="49"/>
      <x:c r="S142" s="49"/>
      <x:c r="T142" s="49"/>
      <x:c r="U142" s="49"/>
      <x:c r="V142" s="49"/>
      <x:c r="W142" s="49"/>
      <x:c r="X142" s="49"/>
      <x:c r="Y142" s="49"/>
      <x:c r="Z142" s="49"/>
      <x:c r="AA142" s="49"/>
      <x:c r="AB142" s="49"/>
      <x:c r="AC142" s="49"/>
      <x:c r="AD142" s="49"/>
      <x:c r="AE142" s="49"/>
      <x:c r="AF142" s="49"/>
      <x:c r="AG142" s="49"/>
      <x:c r="AH142" s="49"/>
      <x:c r="AI142" s="49"/>
      <x:c r="AJ142" s="49"/>
      <x:c r="AK142" s="49"/>
      <x:c r="AL142" s="49"/>
      <x:c r="AM142" s="49"/>
      <x:c r="AN142" s="49"/>
      <x:c r="AO142" s="49"/>
      <x:c r="AP142" s="49"/>
      <x:c r="AQ142" s="49"/>
      <x:c r="AR142" s="49"/>
      <x:c r="AS142" s="49"/>
      <x:c r="AT142" s="49"/>
      <x:c r="AU142" s="49"/>
      <x:c r="AV142" s="49"/>
      <x:c r="AW142" s="49"/>
      <x:c r="AX142" s="49"/>
      <x:c r="AY142" s="49"/>
      <x:c r="AZ142" s="49"/>
    </x:row>
    <x:row r="143">
      <x:c r="A143" s="49"/>
      <x:c r="B143" s="49"/>
      <x:c r="C143" s="49"/>
      <x:c r="D143" s="49"/>
      <x:c r="E143" s="49"/>
      <x:c r="F143" s="49"/>
      <x:c r="G143" s="49"/>
      <x:c r="H143" s="49"/>
      <x:c r="I143" s="49"/>
      <x:c r="J143" s="49"/>
      <x:c r="K143" s="49"/>
      <x:c r="L143" s="49"/>
      <x:c r="M143" s="49"/>
      <x:c r="N143" s="49"/>
      <x:c r="O143" s="49"/>
      <x:c r="P143" s="49"/>
      <x:c r="Q143" s="49"/>
      <x:c r="R143" s="49"/>
      <x:c r="S143" s="49"/>
      <x:c r="T143" s="49"/>
      <x:c r="U143" s="49"/>
      <x:c r="V143" s="49"/>
      <x:c r="W143" s="49"/>
      <x:c r="X143" s="49"/>
      <x:c r="Y143" s="49"/>
      <x:c r="Z143" s="49"/>
      <x:c r="AA143" s="49"/>
      <x:c r="AB143" s="49"/>
      <x:c r="AC143" s="49"/>
      <x:c r="AD143" s="49"/>
      <x:c r="AE143" s="49"/>
      <x:c r="AF143" s="49"/>
      <x:c r="AG143" s="49"/>
      <x:c r="AH143" s="49"/>
      <x:c r="AI143" s="49"/>
      <x:c r="AJ143" s="49"/>
      <x:c r="AK143" s="49"/>
      <x:c r="AL143" s="49"/>
      <x:c r="AM143" s="49"/>
      <x:c r="AN143" s="49"/>
      <x:c r="AO143" s="49"/>
      <x:c r="AP143" s="49"/>
      <x:c r="AQ143" s="49"/>
      <x:c r="AR143" s="49"/>
      <x:c r="AS143" s="49"/>
      <x:c r="AT143" s="49"/>
      <x:c r="AU143" s="49"/>
      <x:c r="AV143" s="49"/>
      <x:c r="AW143" s="49"/>
      <x:c r="AX143" s="49"/>
      <x:c r="AY143" s="49"/>
      <x:c r="AZ143" s="49"/>
    </x:row>
    <x:row r="144">
      <x:c r="A144" s="49"/>
      <x:c r="B144" s="49"/>
      <x:c r="C144" s="49"/>
      <x:c r="D144" s="49"/>
      <x:c r="E144" s="49"/>
      <x:c r="F144" s="49"/>
      <x:c r="G144" s="49"/>
      <x:c r="H144" s="49"/>
      <x:c r="I144" s="49"/>
      <x:c r="J144" s="49"/>
      <x:c r="K144" s="49"/>
      <x:c r="L144" s="49"/>
      <x:c r="M144" s="49"/>
      <x:c r="N144" s="49"/>
      <x:c r="O144" s="49"/>
      <x:c r="P144" s="49"/>
      <x:c r="Q144" s="49"/>
      <x:c r="R144" s="49"/>
      <x:c r="S144" s="49"/>
      <x:c r="T144" s="49"/>
      <x:c r="U144" s="49"/>
      <x:c r="V144" s="49"/>
      <x:c r="W144" s="49"/>
      <x:c r="X144" s="49"/>
      <x:c r="Y144" s="49"/>
      <x:c r="Z144" s="49"/>
      <x:c r="AA144" s="49"/>
      <x:c r="AB144" s="49"/>
      <x:c r="AC144" s="49"/>
      <x:c r="AD144" s="49"/>
      <x:c r="AE144" s="49"/>
      <x:c r="AF144" s="49"/>
      <x:c r="AG144" s="49"/>
      <x:c r="AH144" s="49"/>
      <x:c r="AI144" s="49"/>
      <x:c r="AJ144" s="49"/>
      <x:c r="AK144" s="49"/>
      <x:c r="AL144" s="49"/>
      <x:c r="AM144" s="49"/>
      <x:c r="AN144" s="49"/>
      <x:c r="AO144" s="49"/>
      <x:c r="AP144" s="49"/>
      <x:c r="AQ144" s="49"/>
      <x:c r="AR144" s="49"/>
      <x:c r="AS144" s="49"/>
      <x:c r="AT144" s="49"/>
      <x:c r="AU144" s="49"/>
      <x:c r="AV144" s="49"/>
      <x:c r="AW144" s="49"/>
      <x:c r="AX144" s="49"/>
      <x:c r="AY144" s="49"/>
      <x:c r="AZ144" s="49"/>
    </x:row>
    <x:row r="145">
      <x:c r="A145" s="49"/>
      <x:c r="B145" s="49"/>
      <x:c r="C145" s="49"/>
      <x:c r="D145" s="49"/>
      <x:c r="E145" s="49"/>
      <x:c r="F145" s="49"/>
      <x:c r="G145" s="49"/>
      <x:c r="H145" s="49"/>
      <x:c r="I145" s="49"/>
      <x:c r="J145" s="49"/>
      <x:c r="K145" s="49"/>
      <x:c r="L145" s="49"/>
      <x:c r="M145" s="49"/>
      <x:c r="N145" s="49"/>
      <x:c r="O145" s="49"/>
      <x:c r="P145" s="49"/>
      <x:c r="Q145" s="49"/>
      <x:c r="R145" s="49"/>
      <x:c r="S145" s="49"/>
      <x:c r="T145" s="49"/>
      <x:c r="U145" s="49"/>
      <x:c r="V145" s="49"/>
      <x:c r="W145" s="49"/>
      <x:c r="X145" s="49"/>
      <x:c r="Y145" s="49"/>
      <x:c r="Z145" s="49"/>
      <x:c r="AA145" s="49"/>
      <x:c r="AB145" s="49"/>
      <x:c r="AC145" s="49"/>
      <x:c r="AD145" s="49"/>
      <x:c r="AE145" s="49"/>
      <x:c r="AF145" s="49"/>
      <x:c r="AG145" s="49"/>
      <x:c r="AH145" s="49"/>
      <x:c r="AI145" s="49"/>
      <x:c r="AJ145" s="49"/>
      <x:c r="AK145" s="49"/>
      <x:c r="AL145" s="49"/>
      <x:c r="AM145" s="49"/>
      <x:c r="AN145" s="49"/>
      <x:c r="AO145" s="49"/>
      <x:c r="AP145" s="49"/>
      <x:c r="AQ145" s="49"/>
      <x:c r="AR145" s="49"/>
      <x:c r="AS145" s="49"/>
      <x:c r="AT145" s="49"/>
      <x:c r="AU145" s="49"/>
      <x:c r="AV145" s="49"/>
      <x:c r="AW145" s="49"/>
      <x:c r="AX145" s="49"/>
      <x:c r="AY145" s="49"/>
      <x:c r="AZ145" s="49"/>
    </x:row>
    <x:row r="146">
      <x:c r="A146" s="49"/>
      <x:c r="B146" s="49"/>
      <x:c r="C146" s="49"/>
      <x:c r="D146" s="49"/>
      <x:c r="E146" s="49"/>
      <x:c r="F146" s="49"/>
      <x:c r="G146" s="49"/>
      <x:c r="H146" s="49"/>
      <x:c r="I146" s="49"/>
      <x:c r="J146" s="49"/>
      <x:c r="K146" s="49"/>
      <x:c r="L146" s="49"/>
      <x:c r="M146" s="49"/>
      <x:c r="N146" s="49"/>
      <x:c r="O146" s="49"/>
      <x:c r="P146" s="49"/>
      <x:c r="Q146" s="49"/>
      <x:c r="R146" s="49"/>
      <x:c r="S146" s="49"/>
      <x:c r="T146" s="49"/>
      <x:c r="U146" s="49"/>
      <x:c r="V146" s="49"/>
      <x:c r="W146" s="49"/>
      <x:c r="X146" s="49"/>
      <x:c r="Y146" s="49"/>
      <x:c r="Z146" s="49"/>
      <x:c r="AA146" s="49"/>
      <x:c r="AB146" s="49"/>
      <x:c r="AC146" s="49"/>
      <x:c r="AD146" s="49"/>
      <x:c r="AE146" s="49"/>
      <x:c r="AF146" s="49"/>
      <x:c r="AG146" s="49"/>
      <x:c r="AH146" s="49"/>
      <x:c r="AI146" s="49"/>
      <x:c r="AJ146" s="49"/>
      <x:c r="AK146" s="49"/>
      <x:c r="AL146" s="49"/>
      <x:c r="AM146" s="49"/>
      <x:c r="AN146" s="49"/>
      <x:c r="AO146" s="49"/>
      <x:c r="AP146" s="49"/>
      <x:c r="AQ146" s="49"/>
      <x:c r="AR146" s="49"/>
      <x:c r="AS146" s="49"/>
      <x:c r="AT146" s="49"/>
      <x:c r="AU146" s="49"/>
      <x:c r="AV146" s="49"/>
      <x:c r="AW146" s="49"/>
      <x:c r="AX146" s="49"/>
      <x:c r="AY146" s="49"/>
      <x:c r="AZ146" s="49"/>
    </x:row>
    <x:row r="147">
      <x:c r="A147" s="49"/>
      <x:c r="B147" s="49"/>
      <x:c r="C147" s="49"/>
      <x:c r="D147" s="49"/>
      <x:c r="E147" s="49"/>
      <x:c r="F147" s="49"/>
      <x:c r="G147" s="49"/>
      <x:c r="H147" s="49"/>
      <x:c r="I147" s="49"/>
      <x:c r="J147" s="49"/>
      <x:c r="K147" s="49"/>
      <x:c r="L147" s="49"/>
      <x:c r="M147" s="49"/>
      <x:c r="N147" s="49"/>
      <x:c r="O147" s="49"/>
      <x:c r="P147" s="49"/>
      <x:c r="Q147" s="49"/>
      <x:c r="R147" s="49"/>
      <x:c r="S147" s="49"/>
      <x:c r="T147" s="49"/>
      <x:c r="U147" s="49"/>
      <x:c r="V147" s="49"/>
      <x:c r="W147" s="49"/>
      <x:c r="X147" s="49"/>
      <x:c r="Y147" s="49"/>
      <x:c r="Z147" s="49"/>
      <x:c r="AA147" s="49"/>
      <x:c r="AB147" s="49"/>
      <x:c r="AC147" s="49"/>
      <x:c r="AD147" s="49"/>
      <x:c r="AE147" s="49"/>
      <x:c r="AF147" s="49"/>
      <x:c r="AG147" s="49"/>
      <x:c r="AH147" s="49"/>
      <x:c r="AI147" s="49"/>
      <x:c r="AJ147" s="49"/>
      <x:c r="AK147" s="49"/>
      <x:c r="AL147" s="49"/>
      <x:c r="AM147" s="49"/>
      <x:c r="AN147" s="49"/>
      <x:c r="AO147" s="49"/>
      <x:c r="AP147" s="49"/>
      <x:c r="AQ147" s="49"/>
      <x:c r="AR147" s="49"/>
      <x:c r="AS147" s="49"/>
      <x:c r="AT147" s="49"/>
      <x:c r="AU147" s="49"/>
      <x:c r="AV147" s="49"/>
      <x:c r="AW147" s="49"/>
      <x:c r="AX147" s="49"/>
      <x:c r="AY147" s="49"/>
      <x:c r="AZ147" s="49"/>
    </x:row>
    <x:row r="148">
      <x:c r="A148" s="49"/>
      <x:c r="B148" s="49"/>
      <x:c r="C148" s="49"/>
      <x:c r="D148" s="49"/>
      <x:c r="E148" s="49"/>
      <x:c r="F148" s="49"/>
      <x:c r="G148" s="49"/>
      <x:c r="H148" s="49"/>
      <x:c r="I148" s="49"/>
      <x:c r="J148" s="49"/>
      <x:c r="K148" s="49"/>
      <x:c r="L148" s="49"/>
      <x:c r="M148" s="49"/>
      <x:c r="N148" s="49"/>
      <x:c r="O148" s="49"/>
      <x:c r="P148" s="49"/>
      <x:c r="Q148" s="49"/>
      <x:c r="R148" s="49"/>
      <x:c r="S148" s="49"/>
      <x:c r="T148" s="49"/>
      <x:c r="U148" s="49"/>
      <x:c r="V148" s="49"/>
      <x:c r="W148" s="49"/>
      <x:c r="X148" s="49"/>
      <x:c r="Y148" s="49"/>
      <x:c r="Z148" s="49"/>
      <x:c r="AA148" s="49"/>
      <x:c r="AB148" s="49"/>
      <x:c r="AC148" s="49"/>
      <x:c r="AD148" s="49"/>
      <x:c r="AE148" s="49"/>
      <x:c r="AF148" s="49"/>
      <x:c r="AG148" s="49"/>
      <x:c r="AH148" s="49"/>
      <x:c r="AI148" s="49"/>
      <x:c r="AJ148" s="49"/>
      <x:c r="AK148" s="49"/>
      <x:c r="AL148" s="49"/>
      <x:c r="AM148" s="49"/>
      <x:c r="AN148" s="49"/>
      <x:c r="AO148" s="49"/>
      <x:c r="AP148" s="49"/>
      <x:c r="AQ148" s="49"/>
      <x:c r="AR148" s="49"/>
      <x:c r="AS148" s="49"/>
      <x:c r="AT148" s="49"/>
      <x:c r="AU148" s="49"/>
      <x:c r="AV148" s="49"/>
      <x:c r="AW148" s="49"/>
      <x:c r="AX148" s="49"/>
      <x:c r="AY148" s="49"/>
      <x:c r="AZ148" s="49"/>
    </x:row>
    <x:row r="149">
      <x:c r="A149" s="49"/>
      <x:c r="B149" s="49"/>
      <x:c r="C149" s="49"/>
      <x:c r="D149" s="49"/>
      <x:c r="E149" s="49"/>
      <x:c r="F149" s="49"/>
      <x:c r="G149" s="49"/>
      <x:c r="H149" s="49"/>
      <x:c r="I149" s="49"/>
      <x:c r="J149" s="49"/>
      <x:c r="K149" s="49"/>
      <x:c r="L149" s="49"/>
      <x:c r="M149" s="49"/>
      <x:c r="N149" s="49"/>
      <x:c r="O149" s="49"/>
      <x:c r="P149" s="49"/>
      <x:c r="Q149" s="49"/>
      <x:c r="R149" s="49"/>
      <x:c r="S149" s="49"/>
      <x:c r="T149" s="49"/>
      <x:c r="U149" s="49"/>
      <x:c r="V149" s="49"/>
      <x:c r="W149" s="49"/>
      <x:c r="X149" s="49"/>
      <x:c r="Y149" s="49"/>
      <x:c r="Z149" s="49"/>
      <x:c r="AA149" s="49"/>
      <x:c r="AB149" s="49"/>
      <x:c r="AC149" s="49"/>
      <x:c r="AD149" s="49"/>
      <x:c r="AE149" s="49"/>
      <x:c r="AF149" s="49"/>
      <x:c r="AG149" s="49"/>
      <x:c r="AH149" s="49"/>
      <x:c r="AI149" s="49"/>
      <x:c r="AJ149" s="49"/>
      <x:c r="AK149" s="49"/>
      <x:c r="AL149" s="49"/>
      <x:c r="AM149" s="49"/>
      <x:c r="AN149" s="49"/>
      <x:c r="AO149" s="49"/>
      <x:c r="AP149" s="49"/>
      <x:c r="AQ149" s="49"/>
      <x:c r="AR149" s="49"/>
      <x:c r="AS149" s="49"/>
      <x:c r="AT149" s="49"/>
      <x:c r="AU149" s="49"/>
      <x:c r="AV149" s="49"/>
      <x:c r="AW149" s="49"/>
      <x:c r="AX149" s="49"/>
      <x:c r="AY149" s="49"/>
      <x:c r="AZ149" s="49"/>
    </x:row>
    <x:row r="150">
      <x:c r="A150" s="49"/>
      <x:c r="B150" s="49"/>
      <x:c r="C150" s="49"/>
      <x:c r="D150" s="49"/>
      <x:c r="E150" s="49"/>
      <x:c r="F150" s="49"/>
      <x:c r="G150" s="49"/>
      <x:c r="H150" s="49"/>
      <x:c r="I150" s="49"/>
      <x:c r="J150" s="49"/>
      <x:c r="K150" s="49"/>
      <x:c r="L150" s="49"/>
      <x:c r="M150" s="49"/>
      <x:c r="N150" s="49"/>
      <x:c r="O150" s="49"/>
      <x:c r="P150" s="49"/>
      <x:c r="Q150" s="49"/>
      <x:c r="R150" s="49"/>
      <x:c r="S150" s="49"/>
      <x:c r="T150" s="49"/>
      <x:c r="U150" s="49"/>
      <x:c r="V150" s="49"/>
      <x:c r="W150" s="49"/>
      <x:c r="X150" s="49"/>
      <x:c r="Y150" s="49"/>
      <x:c r="Z150" s="49"/>
      <x:c r="AA150" s="49"/>
      <x:c r="AB150" s="49"/>
      <x:c r="AC150" s="49"/>
      <x:c r="AD150" s="49"/>
      <x:c r="AE150" s="49"/>
      <x:c r="AF150" s="49"/>
      <x:c r="AG150" s="49"/>
      <x:c r="AH150" s="49"/>
      <x:c r="AI150" s="49"/>
      <x:c r="AJ150" s="49"/>
      <x:c r="AK150" s="49"/>
      <x:c r="AL150" s="49"/>
      <x:c r="AM150" s="49"/>
      <x:c r="AN150" s="49"/>
      <x:c r="AO150" s="49"/>
      <x:c r="AP150" s="49"/>
      <x:c r="AQ150" s="49"/>
      <x:c r="AR150" s="49"/>
      <x:c r="AS150" s="49"/>
      <x:c r="AT150" s="49"/>
      <x:c r="AU150" s="49"/>
      <x:c r="AV150" s="49"/>
      <x:c r="AW150" s="49"/>
      <x:c r="AX150" s="49"/>
      <x:c r="AY150" s="49"/>
      <x:c r="AZ150" s="49"/>
    </x:row>
    <x:row r="151">
      <x:c r="A151" s="49"/>
      <x:c r="B151" s="49"/>
      <x:c r="C151" s="49"/>
      <x:c r="D151" s="49"/>
      <x:c r="E151" s="49"/>
      <x:c r="F151" s="49"/>
      <x:c r="G151" s="49"/>
      <x:c r="H151" s="49"/>
      <x:c r="I151" s="49"/>
      <x:c r="J151" s="49"/>
      <x:c r="K151" s="49"/>
      <x:c r="L151" s="49"/>
      <x:c r="M151" s="49"/>
      <x:c r="N151" s="49"/>
      <x:c r="O151" s="49"/>
      <x:c r="P151" s="49"/>
      <x:c r="Q151" s="49"/>
      <x:c r="R151" s="49"/>
      <x:c r="S151" s="49"/>
      <x:c r="T151" s="49"/>
      <x:c r="U151" s="49"/>
      <x:c r="V151" s="49"/>
      <x:c r="W151" s="49"/>
      <x:c r="X151" s="49"/>
      <x:c r="Y151" s="49"/>
      <x:c r="Z151" s="49"/>
      <x:c r="AA151" s="49"/>
      <x:c r="AB151" s="49"/>
      <x:c r="AC151" s="49"/>
      <x:c r="AD151" s="49"/>
      <x:c r="AE151" s="49"/>
      <x:c r="AF151" s="49"/>
      <x:c r="AG151" s="49"/>
      <x:c r="AH151" s="49"/>
      <x:c r="AI151" s="49"/>
      <x:c r="AJ151" s="49"/>
      <x:c r="AK151" s="49"/>
      <x:c r="AL151" s="49"/>
      <x:c r="AM151" s="49"/>
      <x:c r="AN151" s="49"/>
      <x:c r="AO151" s="49"/>
      <x:c r="AP151" s="49"/>
      <x:c r="AQ151" s="49"/>
      <x:c r="AR151" s="49"/>
      <x:c r="AS151" s="49"/>
      <x:c r="AT151" s="49"/>
      <x:c r="AU151" s="49"/>
      <x:c r="AV151" s="49"/>
      <x:c r="AW151" s="49"/>
      <x:c r="AX151" s="49"/>
      <x:c r="AY151" s="49"/>
      <x:c r="AZ151" s="49"/>
    </x:row>
    <x:row r="152">
      <x:c r="A152" s="49"/>
      <x:c r="B152" s="49"/>
      <x:c r="C152" s="49"/>
      <x:c r="D152" s="49"/>
      <x:c r="E152" s="49"/>
      <x:c r="F152" s="49"/>
      <x:c r="G152" s="49"/>
      <x:c r="H152" s="49"/>
      <x:c r="I152" s="49"/>
      <x:c r="J152" s="49"/>
      <x:c r="K152" s="49"/>
      <x:c r="L152" s="49"/>
      <x:c r="M152" s="49"/>
      <x:c r="N152" s="49"/>
      <x:c r="O152" s="49"/>
      <x:c r="P152" s="49"/>
      <x:c r="Q152" s="49"/>
      <x:c r="R152" s="49"/>
      <x:c r="S152" s="49"/>
      <x:c r="T152" s="49"/>
      <x:c r="U152" s="49"/>
      <x:c r="V152" s="49"/>
      <x:c r="W152" s="49"/>
      <x:c r="X152" s="49"/>
      <x:c r="Y152" s="49"/>
      <x:c r="Z152" s="49"/>
      <x:c r="AA152" s="49"/>
      <x:c r="AB152" s="49"/>
      <x:c r="AC152" s="49"/>
      <x:c r="AD152" s="49"/>
      <x:c r="AE152" s="49"/>
      <x:c r="AF152" s="49"/>
      <x:c r="AG152" s="49"/>
      <x:c r="AH152" s="49"/>
      <x:c r="AI152" s="49"/>
      <x:c r="AJ152" s="49"/>
      <x:c r="AK152" s="49"/>
      <x:c r="AL152" s="49"/>
      <x:c r="AM152" s="49"/>
      <x:c r="AN152" s="49"/>
      <x:c r="AO152" s="49"/>
      <x:c r="AP152" s="49"/>
      <x:c r="AQ152" s="49"/>
      <x:c r="AR152" s="49"/>
      <x:c r="AS152" s="49"/>
      <x:c r="AT152" s="49"/>
      <x:c r="AU152" s="49"/>
      <x:c r="AV152" s="49"/>
      <x:c r="AW152" s="49"/>
      <x:c r="AX152" s="49"/>
      <x:c r="AY152" s="49"/>
      <x:c r="AZ152" s="49"/>
    </x:row>
    <x:row r="153">
      <x:c r="A153" s="49"/>
      <x:c r="B153" s="49"/>
      <x:c r="C153" s="49"/>
      <x:c r="D153" s="49"/>
      <x:c r="E153" s="49"/>
      <x:c r="F153" s="49"/>
      <x:c r="G153" s="49"/>
      <x:c r="H153" s="49"/>
      <x:c r="I153" s="49"/>
      <x:c r="J153" s="49"/>
      <x:c r="K153" s="49"/>
      <x:c r="L153" s="49"/>
      <x:c r="M153" s="49"/>
      <x:c r="N153" s="49"/>
      <x:c r="O153" s="49"/>
      <x:c r="P153" s="49"/>
      <x:c r="Q153" s="49"/>
      <x:c r="R153" s="49"/>
      <x:c r="S153" s="49"/>
      <x:c r="T153" s="49"/>
      <x:c r="U153" s="49"/>
      <x:c r="V153" s="49"/>
      <x:c r="W153" s="49"/>
      <x:c r="X153" s="49"/>
      <x:c r="Y153" s="49"/>
      <x:c r="Z153" s="49"/>
      <x:c r="AA153" s="49"/>
      <x:c r="AB153" s="49"/>
      <x:c r="AC153" s="49"/>
      <x:c r="AD153" s="49"/>
      <x:c r="AE153" s="49"/>
      <x:c r="AF153" s="49"/>
      <x:c r="AG153" s="49"/>
      <x:c r="AH153" s="49"/>
      <x:c r="AI153" s="49"/>
      <x:c r="AJ153" s="49"/>
      <x:c r="AK153" s="49"/>
      <x:c r="AL153" s="49"/>
      <x:c r="AM153" s="49"/>
      <x:c r="AN153" s="49"/>
      <x:c r="AO153" s="49"/>
      <x:c r="AP153" s="49"/>
      <x:c r="AQ153" s="49"/>
      <x:c r="AR153" s="49"/>
      <x:c r="AS153" s="49"/>
      <x:c r="AT153" s="49"/>
      <x:c r="AU153" s="49"/>
      <x:c r="AV153" s="49"/>
      <x:c r="AW153" s="49"/>
      <x:c r="AX153" s="49"/>
      <x:c r="AY153" s="49"/>
      <x:c r="AZ153" s="49"/>
    </x:row>
    <x:row r="154">
      <x:c r="A154" s="49"/>
      <x:c r="B154" s="49"/>
      <x:c r="C154" s="49"/>
      <x:c r="D154" s="49"/>
      <x:c r="E154" s="49"/>
      <x:c r="F154" s="49"/>
      <x:c r="G154" s="49"/>
      <x:c r="H154" s="49"/>
      <x:c r="I154" s="49"/>
      <x:c r="J154" s="49"/>
      <x:c r="K154" s="49"/>
      <x:c r="L154" s="49"/>
      <x:c r="M154" s="49"/>
      <x:c r="N154" s="49"/>
      <x:c r="O154" s="49"/>
      <x:c r="P154" s="49"/>
      <x:c r="Q154" s="49"/>
      <x:c r="R154" s="49"/>
      <x:c r="S154" s="49"/>
      <x:c r="T154" s="49"/>
      <x:c r="U154" s="49"/>
      <x:c r="V154" s="49"/>
      <x:c r="W154" s="49"/>
      <x:c r="X154" s="49"/>
      <x:c r="Y154" s="49"/>
      <x:c r="Z154" s="49"/>
      <x:c r="AA154" s="49"/>
      <x:c r="AB154" s="49"/>
      <x:c r="AC154" s="49"/>
      <x:c r="AD154" s="49"/>
      <x:c r="AE154" s="49"/>
      <x:c r="AF154" s="49"/>
      <x:c r="AG154" s="49"/>
      <x:c r="AH154" s="49"/>
      <x:c r="AI154" s="49"/>
      <x:c r="AJ154" s="49"/>
      <x:c r="AK154" s="49"/>
      <x:c r="AL154" s="49"/>
      <x:c r="AM154" s="49"/>
      <x:c r="AN154" s="49"/>
      <x:c r="AO154" s="49"/>
      <x:c r="AP154" s="49"/>
      <x:c r="AQ154" s="49"/>
      <x:c r="AR154" s="49"/>
      <x:c r="AS154" s="49"/>
      <x:c r="AT154" s="49"/>
      <x:c r="AU154" s="49"/>
      <x:c r="AV154" s="49"/>
      <x:c r="AW154" s="49"/>
      <x:c r="AX154" s="49"/>
      <x:c r="AY154" s="49"/>
      <x:c r="AZ154" s="49"/>
    </x:row>
    <x:row r="155">
      <x:c r="A155" s="49"/>
      <x:c r="B155" s="49"/>
      <x:c r="C155" s="49"/>
      <x:c r="D155" s="49"/>
      <x:c r="E155" s="49"/>
      <x:c r="F155" s="49"/>
      <x:c r="G155" s="49"/>
      <x:c r="H155" s="49"/>
      <x:c r="I155" s="49"/>
      <x:c r="J155" s="49"/>
      <x:c r="K155" s="49"/>
      <x:c r="L155" s="49"/>
      <x:c r="M155" s="49"/>
      <x:c r="N155" s="49"/>
      <x:c r="O155" s="49"/>
      <x:c r="P155" s="49"/>
      <x:c r="Q155" s="49"/>
      <x:c r="R155" s="49"/>
      <x:c r="S155" s="49"/>
      <x:c r="T155" s="49"/>
      <x:c r="U155" s="49"/>
      <x:c r="V155" s="49"/>
      <x:c r="W155" s="49"/>
      <x:c r="X155" s="49"/>
      <x:c r="Y155" s="49"/>
      <x:c r="Z155" s="49"/>
      <x:c r="AA155" s="49"/>
      <x:c r="AB155" s="49"/>
      <x:c r="AC155" s="49"/>
      <x:c r="AD155" s="49"/>
      <x:c r="AE155" s="49"/>
      <x:c r="AF155" s="49"/>
      <x:c r="AG155" s="49"/>
      <x:c r="AH155" s="49"/>
      <x:c r="AI155" s="49"/>
      <x:c r="AJ155" s="49"/>
      <x:c r="AK155" s="49"/>
      <x:c r="AL155" s="49"/>
      <x:c r="AM155" s="49"/>
      <x:c r="AN155" s="49"/>
      <x:c r="AO155" s="49"/>
      <x:c r="AP155" s="49"/>
      <x:c r="AQ155" s="49"/>
      <x:c r="AR155" s="49"/>
      <x:c r="AS155" s="49"/>
      <x:c r="AT155" s="49"/>
      <x:c r="AU155" s="49"/>
      <x:c r="AV155" s="49"/>
      <x:c r="AW155" s="49"/>
      <x:c r="AX155" s="49"/>
      <x:c r="AY155" s="49"/>
      <x:c r="AZ155" s="49"/>
    </x:row>
    <x:row r="156">
      <x:c r="A156" s="49"/>
      <x:c r="B156" s="49"/>
      <x:c r="C156" s="49"/>
      <x:c r="D156" s="49"/>
      <x:c r="E156" s="49"/>
      <x:c r="F156" s="49"/>
      <x:c r="G156" s="49"/>
      <x:c r="H156" s="49"/>
      <x:c r="I156" s="49"/>
      <x:c r="J156" s="49"/>
      <x:c r="K156" s="49"/>
      <x:c r="L156" s="49"/>
      <x:c r="M156" s="49"/>
      <x:c r="N156" s="49"/>
      <x:c r="O156" s="49"/>
      <x:c r="P156" s="49"/>
      <x:c r="Q156" s="49"/>
      <x:c r="R156" s="49"/>
      <x:c r="S156" s="49"/>
      <x:c r="T156" s="49"/>
      <x:c r="U156" s="49"/>
      <x:c r="V156" s="49"/>
      <x:c r="W156" s="49"/>
      <x:c r="X156" s="49"/>
      <x:c r="Y156" s="49"/>
      <x:c r="Z156" s="49"/>
      <x:c r="AA156" s="49"/>
      <x:c r="AB156" s="49"/>
      <x:c r="AC156" s="49"/>
      <x:c r="AD156" s="49"/>
      <x:c r="AE156" s="49"/>
      <x:c r="AF156" s="49"/>
      <x:c r="AG156" s="49"/>
      <x:c r="AH156" s="49"/>
      <x:c r="AI156" s="49"/>
      <x:c r="AJ156" s="49"/>
      <x:c r="AK156" s="49"/>
      <x:c r="AL156" s="49"/>
      <x:c r="AM156" s="49"/>
      <x:c r="AN156" s="49"/>
      <x:c r="AO156" s="49"/>
      <x:c r="AP156" s="49"/>
      <x:c r="AQ156" s="49"/>
      <x:c r="AR156" s="49"/>
      <x:c r="AS156" s="49"/>
      <x:c r="AT156" s="49"/>
      <x:c r="AU156" s="49"/>
      <x:c r="AV156" s="49"/>
      <x:c r="AW156" s="49"/>
      <x:c r="AX156" s="49"/>
      <x:c r="AY156" s="49"/>
      <x:c r="AZ156" s="49"/>
    </x:row>
    <x:row r="157">
      <x:c r="A157" s="49"/>
      <x:c r="B157" s="49"/>
      <x:c r="C157" s="49"/>
      <x:c r="D157" s="49"/>
      <x:c r="E157" s="49"/>
      <x:c r="F157" s="49"/>
      <x:c r="G157" s="49"/>
      <x:c r="H157" s="49"/>
      <x:c r="I157" s="49"/>
      <x:c r="J157" s="49"/>
      <x:c r="K157" s="49"/>
      <x:c r="L157" s="49"/>
      <x:c r="M157" s="49"/>
      <x:c r="N157" s="49"/>
      <x:c r="O157" s="49"/>
      <x:c r="P157" s="49"/>
      <x:c r="Q157" s="49"/>
      <x:c r="R157" s="49"/>
      <x:c r="S157" s="49"/>
      <x:c r="T157" s="49"/>
      <x:c r="U157" s="49"/>
      <x:c r="V157" s="49"/>
      <x:c r="W157" s="49"/>
      <x:c r="X157" s="49"/>
      <x:c r="Y157" s="49"/>
      <x:c r="Z157" s="49"/>
      <x:c r="AA157" s="49"/>
      <x:c r="AB157" s="49"/>
      <x:c r="AC157" s="49"/>
      <x:c r="AD157" s="49"/>
      <x:c r="AE157" s="49"/>
      <x:c r="AF157" s="49"/>
      <x:c r="AG157" s="49"/>
      <x:c r="AH157" s="49"/>
      <x:c r="AI157" s="49"/>
      <x:c r="AJ157" s="49"/>
      <x:c r="AK157" s="49"/>
      <x:c r="AL157" s="49"/>
      <x:c r="AM157" s="49"/>
      <x:c r="AN157" s="49"/>
      <x:c r="AO157" s="49"/>
      <x:c r="AP157" s="49"/>
      <x:c r="AQ157" s="49"/>
      <x:c r="AR157" s="49"/>
      <x:c r="AS157" s="49"/>
      <x:c r="AT157" s="49"/>
      <x:c r="AU157" s="49"/>
      <x:c r="AV157" s="49"/>
      <x:c r="AW157" s="49"/>
      <x:c r="AX157" s="49"/>
      <x:c r="AY157" s="49"/>
      <x:c r="AZ157" s="49"/>
    </x:row>
    <x:row r="158">
      <x:c r="A158" s="49"/>
      <x:c r="B158" s="49"/>
      <x:c r="C158" s="49"/>
      <x:c r="D158" s="49"/>
      <x:c r="E158" s="49"/>
      <x:c r="F158" s="49"/>
      <x:c r="G158" s="49"/>
      <x:c r="H158" s="49"/>
      <x:c r="I158" s="49"/>
      <x:c r="J158" s="49"/>
      <x:c r="K158" s="49"/>
      <x:c r="L158" s="49"/>
      <x:c r="M158" s="49"/>
      <x:c r="N158" s="49"/>
      <x:c r="O158" s="49"/>
      <x:c r="P158" s="49"/>
      <x:c r="Q158" s="49"/>
      <x:c r="R158" s="49"/>
      <x:c r="S158" s="49"/>
      <x:c r="T158" s="49"/>
      <x:c r="U158" s="49"/>
      <x:c r="V158" s="49"/>
      <x:c r="W158" s="49"/>
      <x:c r="X158" s="49"/>
      <x:c r="Y158" s="49"/>
      <x:c r="Z158" s="49"/>
      <x:c r="AA158" s="49"/>
      <x:c r="AB158" s="49"/>
      <x:c r="AC158" s="49"/>
      <x:c r="AD158" s="49"/>
      <x:c r="AE158" s="49"/>
      <x:c r="AF158" s="49"/>
      <x:c r="AG158" s="49"/>
      <x:c r="AH158" s="49"/>
      <x:c r="AI158" s="49"/>
      <x:c r="AJ158" s="49"/>
      <x:c r="AK158" s="49"/>
      <x:c r="AL158" s="49"/>
      <x:c r="AM158" s="49"/>
      <x:c r="AN158" s="49"/>
      <x:c r="AO158" s="49"/>
      <x:c r="AP158" s="49"/>
      <x:c r="AQ158" s="49"/>
      <x:c r="AR158" s="49"/>
      <x:c r="AS158" s="49"/>
      <x:c r="AT158" s="49"/>
      <x:c r="AU158" s="49"/>
      <x:c r="AV158" s="49"/>
      <x:c r="AW158" s="49"/>
      <x:c r="AX158" s="49"/>
      <x:c r="AY158" s="49"/>
      <x:c r="AZ158" s="49"/>
    </x:row>
    <x:row r="159">
      <x:c r="A159" s="49"/>
      <x:c r="B159" s="49"/>
      <x:c r="C159" s="49"/>
      <x:c r="D159" s="49"/>
      <x:c r="E159" s="49"/>
      <x:c r="F159" s="49"/>
      <x:c r="G159" s="49"/>
      <x:c r="H159" s="49"/>
      <x:c r="I159" s="49"/>
      <x:c r="J159" s="49"/>
      <x:c r="K159" s="49"/>
      <x:c r="L159" s="49"/>
      <x:c r="M159" s="49"/>
      <x:c r="N159" s="49"/>
      <x:c r="O159" s="49"/>
      <x:c r="P159" s="49"/>
      <x:c r="Q159" s="49"/>
      <x:c r="R159" s="49"/>
      <x:c r="S159" s="49"/>
      <x:c r="T159" s="49"/>
      <x:c r="U159" s="49"/>
      <x:c r="V159" s="49"/>
      <x:c r="W159" s="49"/>
      <x:c r="X159" s="49"/>
      <x:c r="Y159" s="49"/>
      <x:c r="Z159" s="49"/>
      <x:c r="AA159" s="49"/>
      <x:c r="AB159" s="49"/>
      <x:c r="AC159" s="49"/>
      <x:c r="AD159" s="49"/>
      <x:c r="AE159" s="49"/>
      <x:c r="AF159" s="49"/>
      <x:c r="AG159" s="49"/>
      <x:c r="AH159" s="49"/>
      <x:c r="AI159" s="49"/>
      <x:c r="AJ159" s="49"/>
      <x:c r="AK159" s="49"/>
      <x:c r="AL159" s="49"/>
      <x:c r="AM159" s="49"/>
      <x:c r="AN159" s="49"/>
      <x:c r="AO159" s="49"/>
      <x:c r="AP159" s="49"/>
      <x:c r="AQ159" s="49"/>
      <x:c r="AR159" s="49"/>
      <x:c r="AS159" s="49"/>
      <x:c r="AT159" s="49"/>
      <x:c r="AU159" s="49"/>
      <x:c r="AV159" s="49"/>
      <x:c r="AW159" s="49"/>
      <x:c r="AX159" s="49"/>
      <x:c r="AY159" s="49"/>
      <x:c r="AZ159" s="49"/>
    </x:row>
    <x:row r="160">
      <x:c r="A160" s="49"/>
      <x:c r="B160" s="49"/>
      <x:c r="C160" s="49"/>
      <x:c r="D160" s="49"/>
      <x:c r="E160" s="49"/>
      <x:c r="F160" s="49"/>
      <x:c r="G160" s="49"/>
      <x:c r="H160" s="49"/>
      <x:c r="I160" s="49"/>
      <x:c r="J160" s="49"/>
      <x:c r="K160" s="49"/>
      <x:c r="L160" s="49"/>
      <x:c r="M160" s="49"/>
      <x:c r="N160" s="49"/>
      <x:c r="O160" s="49"/>
      <x:c r="P160" s="49"/>
      <x:c r="Q160" s="49"/>
      <x:c r="R160" s="49"/>
      <x:c r="S160" s="49"/>
      <x:c r="T160" s="49"/>
      <x:c r="U160" s="49"/>
      <x:c r="V160" s="49"/>
      <x:c r="W160" s="49"/>
      <x:c r="X160" s="49"/>
      <x:c r="Y160" s="49"/>
      <x:c r="Z160" s="49"/>
      <x:c r="AA160" s="49"/>
      <x:c r="AB160" s="49"/>
      <x:c r="AC160" s="49"/>
      <x:c r="AD160" s="49"/>
      <x:c r="AE160" s="49"/>
      <x:c r="AF160" s="49"/>
      <x:c r="AG160" s="49"/>
      <x:c r="AH160" s="49"/>
      <x:c r="AI160" s="49"/>
      <x:c r="AJ160" s="49"/>
      <x:c r="AK160" s="49"/>
      <x:c r="AL160" s="49"/>
      <x:c r="AM160" s="49"/>
      <x:c r="AN160" s="49"/>
      <x:c r="AO160" s="49"/>
      <x:c r="AP160" s="49"/>
      <x:c r="AQ160" s="49"/>
      <x:c r="AR160" s="49"/>
      <x:c r="AS160" s="49"/>
      <x:c r="AT160" s="49"/>
      <x:c r="AU160" s="49"/>
      <x:c r="AV160" s="49"/>
      <x:c r="AW160" s="49"/>
      <x:c r="AX160" s="49"/>
      <x:c r="AY160" s="49"/>
      <x:c r="AZ160" s="49"/>
    </x:row>
    <x:row r="161">
      <x:c r="A161" s="49"/>
      <x:c r="B161" s="49"/>
      <x:c r="C161" s="49"/>
      <x:c r="D161" s="49"/>
      <x:c r="E161" s="49"/>
      <x:c r="F161" s="49"/>
      <x:c r="G161" s="49"/>
      <x:c r="H161" s="49"/>
      <x:c r="I161" s="49"/>
      <x:c r="J161" s="49"/>
      <x:c r="K161" s="49"/>
      <x:c r="L161" s="49"/>
      <x:c r="M161" s="49"/>
      <x:c r="N161" s="49"/>
      <x:c r="O161" s="49"/>
      <x:c r="P161" s="49"/>
      <x:c r="Q161" s="49"/>
      <x:c r="R161" s="49"/>
      <x:c r="S161" s="49"/>
      <x:c r="T161" s="49"/>
      <x:c r="U161" s="49"/>
      <x:c r="V161" s="49"/>
      <x:c r="W161" s="49"/>
      <x:c r="X161" s="49"/>
      <x:c r="Y161" s="49"/>
      <x:c r="Z161" s="49"/>
      <x:c r="AA161" s="49"/>
      <x:c r="AB161" s="49"/>
      <x:c r="AC161" s="49"/>
      <x:c r="AD161" s="49"/>
      <x:c r="AE161" s="49"/>
      <x:c r="AF161" s="49"/>
      <x:c r="AG161" s="49"/>
      <x:c r="AH161" s="49"/>
      <x:c r="AI161" s="49"/>
      <x:c r="AJ161" s="49"/>
      <x:c r="AK161" s="49"/>
      <x:c r="AL161" s="49"/>
      <x:c r="AM161" s="49"/>
      <x:c r="AN161" s="49"/>
      <x:c r="AO161" s="49"/>
      <x:c r="AP161" s="49"/>
      <x:c r="AQ161" s="49"/>
      <x:c r="AR161" s="49"/>
      <x:c r="AS161" s="49"/>
      <x:c r="AT161" s="49"/>
      <x:c r="AU161" s="49"/>
      <x:c r="AV161" s="49"/>
      <x:c r="AW161" s="49"/>
      <x:c r="AX161" s="49"/>
      <x:c r="AY161" s="49"/>
      <x:c r="AZ161" s="49"/>
    </x:row>
    <x:row r="162">
      <x:c r="A162" s="49"/>
      <x:c r="B162" s="49"/>
      <x:c r="C162" s="49"/>
      <x:c r="D162" s="49"/>
      <x:c r="E162" s="49"/>
      <x:c r="F162" s="49"/>
      <x:c r="G162" s="49"/>
      <x:c r="H162" s="49"/>
      <x:c r="I162" s="49"/>
      <x:c r="J162" s="49"/>
      <x:c r="K162" s="49"/>
      <x:c r="L162" s="49"/>
      <x:c r="M162" s="49"/>
      <x:c r="N162" s="49"/>
      <x:c r="O162" s="49"/>
      <x:c r="P162" s="49"/>
      <x:c r="Q162" s="49"/>
      <x:c r="R162" s="49"/>
      <x:c r="S162" s="49"/>
      <x:c r="T162" s="49"/>
      <x:c r="U162" s="49"/>
      <x:c r="V162" s="49"/>
      <x:c r="W162" s="49"/>
      <x:c r="X162" s="49"/>
      <x:c r="Y162" s="49"/>
      <x:c r="Z162" s="49"/>
      <x:c r="AA162" s="49"/>
      <x:c r="AB162" s="49"/>
      <x:c r="AC162" s="49"/>
      <x:c r="AD162" s="49"/>
      <x:c r="AE162" s="49"/>
      <x:c r="AF162" s="49"/>
      <x:c r="AG162" s="49"/>
      <x:c r="AH162" s="49"/>
      <x:c r="AI162" s="49"/>
      <x:c r="AJ162" s="49"/>
      <x:c r="AK162" s="49"/>
      <x:c r="AL162" s="49"/>
      <x:c r="AM162" s="49"/>
      <x:c r="AN162" s="49"/>
      <x:c r="AO162" s="49"/>
      <x:c r="AP162" s="49"/>
      <x:c r="AQ162" s="49"/>
      <x:c r="AR162" s="49"/>
      <x:c r="AS162" s="49"/>
      <x:c r="AT162" s="49"/>
      <x:c r="AU162" s="49"/>
      <x:c r="AV162" s="49"/>
      <x:c r="AW162" s="49"/>
      <x:c r="AX162" s="49"/>
      <x:c r="AY162" s="49"/>
      <x:c r="AZ162" s="49"/>
    </x:row>
    <x:row r="163">
      <x:c r="A163" s="49"/>
      <x:c r="B163" s="49"/>
      <x:c r="C163" s="49"/>
      <x:c r="D163" s="49"/>
      <x:c r="E163" s="49"/>
      <x:c r="F163" s="49"/>
      <x:c r="G163" s="49"/>
      <x:c r="H163" s="49"/>
      <x:c r="I163" s="49"/>
      <x:c r="J163" s="49"/>
      <x:c r="K163" s="49"/>
      <x:c r="L163" s="49"/>
      <x:c r="M163" s="49"/>
      <x:c r="N163" s="49"/>
      <x:c r="O163" s="49"/>
      <x:c r="P163" s="49"/>
      <x:c r="Q163" s="49"/>
      <x:c r="R163" s="49"/>
      <x:c r="S163" s="49"/>
      <x:c r="T163" s="49"/>
      <x:c r="U163" s="49"/>
      <x:c r="V163" s="49"/>
      <x:c r="W163" s="49"/>
      <x:c r="X163" s="49"/>
      <x:c r="Y163" s="49"/>
      <x:c r="Z163" s="49"/>
      <x:c r="AA163" s="49"/>
      <x:c r="AB163" s="49"/>
      <x:c r="AC163" s="49"/>
      <x:c r="AD163" s="49"/>
      <x:c r="AE163" s="49"/>
      <x:c r="AF163" s="49"/>
      <x:c r="AG163" s="49"/>
      <x:c r="AH163" s="49"/>
      <x:c r="AI163" s="49"/>
      <x:c r="AJ163" s="49"/>
      <x:c r="AK163" s="49"/>
      <x:c r="AL163" s="49"/>
      <x:c r="AM163" s="49"/>
      <x:c r="AN163" s="49"/>
      <x:c r="AO163" s="49"/>
      <x:c r="AP163" s="49"/>
      <x:c r="AQ163" s="49"/>
      <x:c r="AR163" s="49"/>
      <x:c r="AS163" s="49"/>
      <x:c r="AT163" s="49"/>
      <x:c r="AU163" s="49"/>
      <x:c r="AV163" s="49"/>
      <x:c r="AW163" s="49"/>
      <x:c r="AX163" s="49"/>
      <x:c r="AY163" s="49"/>
      <x:c r="AZ163" s="49"/>
    </x:row>
    <x:row r="164">
      <x:c r="A164" s="49"/>
      <x:c r="B164" s="49"/>
      <x:c r="C164" s="49"/>
      <x:c r="D164" s="49"/>
      <x:c r="E164" s="49"/>
      <x:c r="F164" s="49"/>
      <x:c r="G164" s="49"/>
      <x:c r="H164" s="49"/>
      <x:c r="I164" s="49"/>
      <x:c r="J164" s="49"/>
      <x:c r="K164" s="49"/>
      <x:c r="L164" s="49"/>
      <x:c r="M164" s="49"/>
      <x:c r="N164" s="49"/>
      <x:c r="O164" s="49"/>
      <x:c r="P164" s="49"/>
      <x:c r="Q164" s="49"/>
      <x:c r="R164" s="49"/>
      <x:c r="S164" s="49"/>
      <x:c r="T164" s="49"/>
      <x:c r="U164" s="49"/>
      <x:c r="V164" s="49"/>
      <x:c r="W164" s="49"/>
      <x:c r="X164" s="49"/>
      <x:c r="Y164" s="49"/>
      <x:c r="Z164" s="49"/>
      <x:c r="AA164" s="49"/>
      <x:c r="AB164" s="49"/>
      <x:c r="AC164" s="49"/>
      <x:c r="AD164" s="49"/>
      <x:c r="AE164" s="49"/>
      <x:c r="AF164" s="49"/>
      <x:c r="AG164" s="49"/>
      <x:c r="AH164" s="49"/>
      <x:c r="AI164" s="49"/>
      <x:c r="AJ164" s="49"/>
      <x:c r="AK164" s="49"/>
      <x:c r="AL164" s="49"/>
      <x:c r="AM164" s="49"/>
      <x:c r="AN164" s="49"/>
      <x:c r="AO164" s="49"/>
      <x:c r="AP164" s="49"/>
      <x:c r="AQ164" s="49"/>
      <x:c r="AR164" s="49"/>
      <x:c r="AS164" s="49"/>
      <x:c r="AT164" s="49"/>
      <x:c r="AU164" s="49"/>
      <x:c r="AV164" s="49"/>
      <x:c r="AW164" s="49"/>
      <x:c r="AX164" s="49"/>
      <x:c r="AY164" s="49"/>
      <x:c r="AZ164" s="49"/>
    </x:row>
    <x:row r="165">
      <x:c r="A165" s="49"/>
      <x:c r="B165" s="49"/>
      <x:c r="C165" s="49"/>
      <x:c r="D165" s="49"/>
      <x:c r="E165" s="49"/>
      <x:c r="F165" s="49"/>
      <x:c r="G165" s="49"/>
      <x:c r="H165" s="49"/>
      <x:c r="I165" s="49"/>
      <x:c r="J165" s="49"/>
      <x:c r="K165" s="49"/>
      <x:c r="L165" s="49"/>
      <x:c r="M165" s="49"/>
      <x:c r="N165" s="49"/>
      <x:c r="O165" s="49"/>
      <x:c r="P165" s="49"/>
      <x:c r="Q165" s="49"/>
      <x:c r="R165" s="49"/>
      <x:c r="S165" s="49"/>
      <x:c r="T165" s="49"/>
      <x:c r="U165" s="49"/>
      <x:c r="V165" s="49"/>
      <x:c r="W165" s="49"/>
      <x:c r="X165" s="49"/>
      <x:c r="Y165" s="49"/>
      <x:c r="Z165" s="49"/>
      <x:c r="AA165" s="49"/>
      <x:c r="AB165" s="49"/>
      <x:c r="AC165" s="49"/>
      <x:c r="AD165" s="49"/>
      <x:c r="AE165" s="49"/>
      <x:c r="AF165" s="49"/>
      <x:c r="AG165" s="49"/>
      <x:c r="AH165" s="49"/>
      <x:c r="AI165" s="49"/>
      <x:c r="AJ165" s="49"/>
      <x:c r="AK165" s="49"/>
      <x:c r="AL165" s="49"/>
      <x:c r="AM165" s="49"/>
      <x:c r="AN165" s="49"/>
      <x:c r="AO165" s="49"/>
      <x:c r="AP165" s="49"/>
      <x:c r="AQ165" s="49"/>
      <x:c r="AR165" s="49"/>
      <x:c r="AS165" s="49"/>
      <x:c r="AT165" s="49"/>
      <x:c r="AU165" s="49"/>
      <x:c r="AV165" s="49"/>
      <x:c r="AW165" s="49"/>
      <x:c r="AX165" s="49"/>
      <x:c r="AY165" s="49"/>
      <x:c r="AZ165" s="49"/>
    </x:row>
    <x:row r="166">
      <x:c r="A166" s="49"/>
      <x:c r="B166" s="49"/>
      <x:c r="C166" s="49"/>
      <x:c r="D166" s="49"/>
      <x:c r="E166" s="49"/>
      <x:c r="F166" s="49"/>
      <x:c r="G166" s="49"/>
      <x:c r="H166" s="49"/>
      <x:c r="I166" s="49"/>
      <x:c r="J166" s="49"/>
      <x:c r="K166" s="49"/>
      <x:c r="L166" s="49"/>
      <x:c r="M166" s="49"/>
      <x:c r="N166" s="49"/>
      <x:c r="O166" s="49"/>
      <x:c r="P166" s="49"/>
      <x:c r="Q166" s="49"/>
      <x:c r="R166" s="49"/>
      <x:c r="S166" s="49"/>
      <x:c r="T166" s="49"/>
      <x:c r="U166" s="49"/>
      <x:c r="V166" s="49"/>
      <x:c r="W166" s="49"/>
      <x:c r="X166" s="49"/>
      <x:c r="Y166" s="49"/>
      <x:c r="Z166" s="49"/>
      <x:c r="AA166" s="49"/>
      <x:c r="AB166" s="49"/>
      <x:c r="AC166" s="49"/>
      <x:c r="AD166" s="49"/>
      <x:c r="AE166" s="49"/>
      <x:c r="AF166" s="49"/>
      <x:c r="AG166" s="49"/>
      <x:c r="AH166" s="49"/>
      <x:c r="AI166" s="49"/>
      <x:c r="AJ166" s="49"/>
      <x:c r="AK166" s="49"/>
      <x:c r="AL166" s="49"/>
      <x:c r="AM166" s="49"/>
      <x:c r="AN166" s="49"/>
      <x:c r="AO166" s="49"/>
      <x:c r="AP166" s="49"/>
      <x:c r="AQ166" s="49"/>
      <x:c r="AR166" s="49"/>
      <x:c r="AS166" s="49"/>
      <x:c r="AT166" s="49"/>
      <x:c r="AU166" s="49"/>
      <x:c r="AV166" s="49"/>
      <x:c r="AW166" s="49"/>
      <x:c r="AX166" s="49"/>
      <x:c r="AY166" s="49"/>
      <x:c r="AZ166" s="49"/>
    </x:row>
    <x:row r="167">
      <x:c r="A167" s="49"/>
      <x:c r="B167" s="49"/>
      <x:c r="C167" s="49"/>
      <x:c r="D167" s="49"/>
      <x:c r="E167" s="49"/>
      <x:c r="F167" s="49"/>
      <x:c r="G167" s="49"/>
      <x:c r="H167" s="49"/>
      <x:c r="I167" s="49"/>
      <x:c r="J167" s="49"/>
      <x:c r="K167" s="49"/>
      <x:c r="L167" s="49"/>
      <x:c r="M167" s="49"/>
      <x:c r="N167" s="49"/>
      <x:c r="O167" s="49"/>
      <x:c r="P167" s="49"/>
      <x:c r="Q167" s="49"/>
      <x:c r="R167" s="49"/>
      <x:c r="S167" s="49"/>
      <x:c r="T167" s="49"/>
      <x:c r="U167" s="49"/>
      <x:c r="V167" s="49"/>
      <x:c r="W167" s="49"/>
      <x:c r="X167" s="49"/>
      <x:c r="Y167" s="49"/>
      <x:c r="Z167" s="49"/>
      <x:c r="AA167" s="49"/>
      <x:c r="AB167" s="49"/>
      <x:c r="AC167" s="49"/>
      <x:c r="AD167" s="49"/>
      <x:c r="AE167" s="49"/>
      <x:c r="AF167" s="49"/>
      <x:c r="AG167" s="49"/>
      <x:c r="AH167" s="49"/>
      <x:c r="AI167" s="49"/>
      <x:c r="AJ167" s="49"/>
      <x:c r="AK167" s="49"/>
      <x:c r="AL167" s="49"/>
      <x:c r="AM167" s="49"/>
      <x:c r="AN167" s="49"/>
      <x:c r="AO167" s="49"/>
      <x:c r="AP167" s="49"/>
      <x:c r="AQ167" s="49"/>
      <x:c r="AR167" s="49"/>
      <x:c r="AS167" s="49"/>
      <x:c r="AT167" s="49"/>
      <x:c r="AU167" s="49"/>
      <x:c r="AV167" s="49"/>
      <x:c r="AW167" s="49"/>
      <x:c r="AX167" s="49"/>
      <x:c r="AY167" s="49"/>
      <x:c r="AZ167" s="49"/>
    </x:row>
    <x:row r="168">
      <x:c r="A168" s="49"/>
      <x:c r="B168" s="49"/>
      <x:c r="C168" s="49"/>
      <x:c r="D168" s="49"/>
      <x:c r="E168" s="49"/>
      <x:c r="F168" s="49"/>
      <x:c r="G168" s="49"/>
      <x:c r="H168" s="49"/>
      <x:c r="I168" s="49"/>
      <x:c r="J168" s="49"/>
      <x:c r="K168" s="49"/>
      <x:c r="L168" s="49"/>
      <x:c r="M168" s="49"/>
      <x:c r="N168" s="49"/>
      <x:c r="O168" s="49"/>
      <x:c r="P168" s="49"/>
      <x:c r="Q168" s="49"/>
      <x:c r="R168" s="49"/>
      <x:c r="S168" s="49"/>
      <x:c r="T168" s="49"/>
      <x:c r="U168" s="49"/>
      <x:c r="V168" s="49"/>
      <x:c r="W168" s="49"/>
      <x:c r="X168" s="49"/>
      <x:c r="Y168" s="49"/>
      <x:c r="Z168" s="49"/>
      <x:c r="AA168" s="49"/>
      <x:c r="AB168" s="49"/>
      <x:c r="AC168" s="49"/>
      <x:c r="AD168" s="49"/>
      <x:c r="AE168" s="49"/>
      <x:c r="AF168" s="49"/>
      <x:c r="AG168" s="49"/>
      <x:c r="AH168" s="49"/>
      <x:c r="AI168" s="49"/>
      <x:c r="AJ168" s="49"/>
      <x:c r="AK168" s="49"/>
      <x:c r="AL168" s="49"/>
      <x:c r="AM168" s="49"/>
      <x:c r="AN168" s="49"/>
      <x:c r="AO168" s="49"/>
      <x:c r="AP168" s="49"/>
      <x:c r="AQ168" s="49"/>
      <x:c r="AR168" s="49"/>
      <x:c r="AS168" s="49"/>
      <x:c r="AT168" s="49"/>
      <x:c r="AU168" s="49"/>
      <x:c r="AV168" s="49"/>
      <x:c r="AW168" s="49"/>
      <x:c r="AX168" s="49"/>
      <x:c r="AY168" s="49"/>
      <x:c r="AZ168" s="49"/>
    </x:row>
    <x:row r="169">
      <x:c r="A169" s="49"/>
      <x:c r="B169" s="49"/>
      <x:c r="C169" s="49"/>
      <x:c r="D169" s="49"/>
      <x:c r="E169" s="49"/>
      <x:c r="F169" s="49"/>
      <x:c r="G169" s="49"/>
      <x:c r="H169" s="49"/>
      <x:c r="I169" s="49"/>
      <x:c r="J169" s="49"/>
      <x:c r="K169" s="49"/>
      <x:c r="L169" s="49"/>
      <x:c r="M169" s="49"/>
      <x:c r="N169" s="49"/>
      <x:c r="O169" s="49"/>
      <x:c r="P169" s="49"/>
      <x:c r="Q169" s="49"/>
      <x:c r="R169" s="49"/>
      <x:c r="S169" s="49"/>
      <x:c r="T169" s="49"/>
      <x:c r="U169" s="49"/>
      <x:c r="V169" s="49"/>
      <x:c r="W169" s="49"/>
      <x:c r="X169" s="49"/>
      <x:c r="Y169" s="49"/>
      <x:c r="Z169" s="49"/>
      <x:c r="AA169" s="49"/>
      <x:c r="AB169" s="49"/>
      <x:c r="AC169" s="49"/>
      <x:c r="AD169" s="49"/>
      <x:c r="AE169" s="49"/>
      <x:c r="AF169" s="49"/>
      <x:c r="AG169" s="49"/>
      <x:c r="AH169" s="49"/>
      <x:c r="AI169" s="49"/>
      <x:c r="AJ169" s="49"/>
      <x:c r="AK169" s="49"/>
      <x:c r="AL169" s="49"/>
      <x:c r="AM169" s="49"/>
      <x:c r="AN169" s="49"/>
      <x:c r="AO169" s="49"/>
      <x:c r="AP169" s="49"/>
      <x:c r="AQ169" s="49"/>
      <x:c r="AR169" s="49"/>
      <x:c r="AS169" s="49"/>
      <x:c r="AT169" s="49"/>
      <x:c r="AU169" s="49"/>
      <x:c r="AV169" s="49"/>
      <x:c r="AW169" s="49"/>
      <x:c r="AX169" s="49"/>
      <x:c r="AY169" s="49"/>
      <x:c r="AZ169" s="49"/>
    </x:row>
    <x:row r="170">
      <x:c r="A170" s="49"/>
      <x:c r="B170" s="49"/>
      <x:c r="C170" s="49"/>
      <x:c r="D170" s="49"/>
      <x:c r="E170" s="49"/>
      <x:c r="F170" s="49"/>
      <x:c r="G170" s="49"/>
      <x:c r="H170" s="49"/>
      <x:c r="I170" s="49"/>
      <x:c r="J170" s="49"/>
      <x:c r="K170" s="49"/>
      <x:c r="L170" s="49"/>
      <x:c r="M170" s="49"/>
      <x:c r="N170" s="49"/>
      <x:c r="O170" s="49"/>
      <x:c r="P170" s="49"/>
      <x:c r="Q170" s="49"/>
      <x:c r="R170" s="49"/>
      <x:c r="S170" s="49"/>
      <x:c r="T170" s="49"/>
      <x:c r="U170" s="49"/>
      <x:c r="V170" s="49"/>
      <x:c r="W170" s="49"/>
      <x:c r="X170" s="49"/>
      <x:c r="Y170" s="49"/>
      <x:c r="Z170" s="49"/>
      <x:c r="AA170" s="49"/>
      <x:c r="AB170" s="49"/>
      <x:c r="AC170" s="49"/>
      <x:c r="AD170" s="49"/>
      <x:c r="AE170" s="49"/>
      <x:c r="AF170" s="49"/>
      <x:c r="AG170" s="49"/>
      <x:c r="AH170" s="49"/>
      <x:c r="AI170" s="49"/>
      <x:c r="AJ170" s="49"/>
      <x:c r="AK170" s="49"/>
      <x:c r="AL170" s="49"/>
      <x:c r="AM170" s="49"/>
      <x:c r="AN170" s="49"/>
      <x:c r="AO170" s="49"/>
      <x:c r="AP170" s="49"/>
      <x:c r="AQ170" s="49"/>
      <x:c r="AR170" s="49"/>
      <x:c r="AS170" s="49"/>
      <x:c r="AT170" s="49"/>
      <x:c r="AU170" s="49"/>
      <x:c r="AV170" s="49"/>
      <x:c r="AW170" s="49"/>
      <x:c r="AX170" s="49"/>
      <x:c r="AY170" s="49"/>
      <x:c r="AZ170" s="49"/>
    </x:row>
    <x:row r="171">
      <x:c r="A171" s="49"/>
      <x:c r="B171" s="49"/>
      <x:c r="C171" s="49"/>
      <x:c r="D171" s="49"/>
      <x:c r="E171" s="49"/>
      <x:c r="F171" s="49"/>
      <x:c r="G171" s="49"/>
      <x:c r="H171" s="49"/>
      <x:c r="I171" s="49"/>
      <x:c r="J171" s="49"/>
      <x:c r="K171" s="49"/>
      <x:c r="L171" s="49"/>
      <x:c r="M171" s="49"/>
      <x:c r="N171" s="49"/>
      <x:c r="O171" s="49"/>
      <x:c r="P171" s="49"/>
      <x:c r="Q171" s="49"/>
      <x:c r="R171" s="49"/>
      <x:c r="S171" s="49"/>
      <x:c r="T171" s="49"/>
      <x:c r="U171" s="49"/>
      <x:c r="V171" s="49"/>
      <x:c r="W171" s="49"/>
      <x:c r="X171" s="49"/>
      <x:c r="Y171" s="49"/>
      <x:c r="Z171" s="49"/>
      <x:c r="AA171" s="49"/>
      <x:c r="AB171" s="49"/>
      <x:c r="AC171" s="49"/>
      <x:c r="AD171" s="49"/>
      <x:c r="AE171" s="49"/>
      <x:c r="AF171" s="49"/>
      <x:c r="AG171" s="49"/>
      <x:c r="AH171" s="49"/>
      <x:c r="AI171" s="49"/>
      <x:c r="AJ171" s="49"/>
      <x:c r="AK171" s="49"/>
      <x:c r="AL171" s="49"/>
      <x:c r="AM171" s="49"/>
      <x:c r="AN171" s="49"/>
      <x:c r="AO171" s="49"/>
      <x:c r="AP171" s="49"/>
      <x:c r="AQ171" s="49"/>
      <x:c r="AR171" s="49"/>
      <x:c r="AS171" s="49"/>
      <x:c r="AT171" s="49"/>
      <x:c r="AU171" s="49"/>
      <x:c r="AV171" s="49"/>
      <x:c r="AW171" s="49"/>
      <x:c r="AX171" s="49"/>
      <x:c r="AY171" s="49"/>
      <x:c r="AZ171" s="49"/>
    </x:row>
    <x:row r="172">
      <x:c r="A172" s="49"/>
      <x:c r="B172" s="49"/>
      <x:c r="C172" s="49"/>
      <x:c r="D172" s="49"/>
      <x:c r="E172" s="49"/>
      <x:c r="F172" s="49"/>
      <x:c r="G172" s="49"/>
      <x:c r="H172" s="49"/>
      <x:c r="I172" s="49"/>
      <x:c r="J172" s="49"/>
      <x:c r="K172" s="49"/>
      <x:c r="L172" s="49"/>
      <x:c r="M172" s="49"/>
      <x:c r="N172" s="49"/>
      <x:c r="O172" s="49"/>
      <x:c r="P172" s="49"/>
      <x:c r="Q172" s="49"/>
      <x:c r="R172" s="49"/>
      <x:c r="S172" s="49"/>
      <x:c r="T172" s="49"/>
      <x:c r="U172" s="49"/>
      <x:c r="V172" s="49"/>
      <x:c r="W172" s="49"/>
      <x:c r="X172" s="49"/>
      <x:c r="Y172" s="49"/>
      <x:c r="Z172" s="49"/>
      <x:c r="AA172" s="49"/>
      <x:c r="AB172" s="49"/>
      <x:c r="AC172" s="49"/>
      <x:c r="AD172" s="49"/>
      <x:c r="AE172" s="49"/>
      <x:c r="AF172" s="49"/>
      <x:c r="AG172" s="49"/>
      <x:c r="AH172" s="49"/>
      <x:c r="AI172" s="49"/>
      <x:c r="AJ172" s="49"/>
      <x:c r="AK172" s="49"/>
      <x:c r="AL172" s="49"/>
      <x:c r="AM172" s="49"/>
      <x:c r="AN172" s="49"/>
      <x:c r="AO172" s="49"/>
      <x:c r="AP172" s="49"/>
      <x:c r="AQ172" s="49"/>
      <x:c r="AR172" s="49"/>
      <x:c r="AS172" s="49"/>
      <x:c r="AT172" s="49"/>
      <x:c r="AU172" s="49"/>
      <x:c r="AV172" s="49"/>
      <x:c r="AW172" s="49"/>
      <x:c r="AX172" s="49"/>
      <x:c r="AY172" s="49"/>
      <x:c r="AZ172" s="49"/>
    </x:row>
    <x:row r="173">
      <x:c r="A173" s="49"/>
      <x:c r="B173" s="49"/>
      <x:c r="C173" s="49"/>
      <x:c r="D173" s="49"/>
      <x:c r="E173" s="49"/>
      <x:c r="F173" s="49"/>
      <x:c r="G173" s="49"/>
      <x:c r="H173" s="49"/>
      <x:c r="I173" s="49"/>
      <x:c r="J173" s="49"/>
      <x:c r="K173" s="49"/>
      <x:c r="L173" s="49"/>
      <x:c r="M173" s="49"/>
      <x:c r="N173" s="49"/>
      <x:c r="O173" s="49"/>
      <x:c r="P173" s="49"/>
      <x:c r="Q173" s="49"/>
      <x:c r="R173" s="49"/>
      <x:c r="S173" s="49"/>
      <x:c r="T173" s="49"/>
      <x:c r="U173" s="49"/>
      <x:c r="V173" s="49"/>
      <x:c r="W173" s="49"/>
      <x:c r="X173" s="49"/>
      <x:c r="Y173" s="49"/>
      <x:c r="Z173" s="49"/>
      <x:c r="AA173" s="49"/>
      <x:c r="AB173" s="49"/>
      <x:c r="AC173" s="49"/>
      <x:c r="AD173" s="49"/>
      <x:c r="AE173" s="49"/>
      <x:c r="AF173" s="49"/>
      <x:c r="AG173" s="49"/>
      <x:c r="AH173" s="49"/>
      <x:c r="AI173" s="49"/>
      <x:c r="AJ173" s="49"/>
      <x:c r="AK173" s="49"/>
      <x:c r="AL173" s="49"/>
      <x:c r="AM173" s="49"/>
      <x:c r="AN173" s="49"/>
      <x:c r="AO173" s="49"/>
      <x:c r="AP173" s="49"/>
      <x:c r="AQ173" s="49"/>
      <x:c r="AR173" s="49"/>
      <x:c r="AS173" s="49"/>
      <x:c r="AT173" s="49"/>
      <x:c r="AU173" s="49"/>
      <x:c r="AV173" s="49"/>
      <x:c r="AW173" s="49"/>
      <x:c r="AX173" s="49"/>
      <x:c r="AY173" s="49"/>
      <x:c r="AZ173" s="49"/>
    </x:row>
    <x:row r="174">
      <x:c r="A174" s="49"/>
      <x:c r="B174" s="49"/>
      <x:c r="C174" s="49"/>
      <x:c r="D174" s="49"/>
      <x:c r="E174" s="49"/>
      <x:c r="F174" s="49"/>
      <x:c r="G174" s="49"/>
      <x:c r="H174" s="49"/>
      <x:c r="I174" s="49"/>
      <x:c r="J174" s="49"/>
      <x:c r="K174" s="49"/>
      <x:c r="L174" s="49"/>
      <x:c r="M174" s="49"/>
      <x:c r="N174" s="49"/>
      <x:c r="O174" s="49"/>
      <x:c r="P174" s="49"/>
      <x:c r="Q174" s="49"/>
      <x:c r="R174" s="49"/>
      <x:c r="S174" s="49"/>
      <x:c r="T174" s="49"/>
      <x:c r="U174" s="49"/>
      <x:c r="V174" s="49"/>
      <x:c r="W174" s="49"/>
      <x:c r="X174" s="49"/>
      <x:c r="Y174" s="49"/>
      <x:c r="Z174" s="49"/>
      <x:c r="AA174" s="49"/>
      <x:c r="AB174" s="49"/>
      <x:c r="AC174" s="49"/>
      <x:c r="AD174" s="49"/>
      <x:c r="AE174" s="49"/>
      <x:c r="AF174" s="49"/>
      <x:c r="AG174" s="49"/>
      <x:c r="AH174" s="49"/>
      <x:c r="AI174" s="49"/>
      <x:c r="AJ174" s="49"/>
      <x:c r="AK174" s="49"/>
      <x:c r="AL174" s="49"/>
      <x:c r="AM174" s="49"/>
      <x:c r="AN174" s="49"/>
      <x:c r="AO174" s="49"/>
      <x:c r="AP174" s="49"/>
      <x:c r="AQ174" s="49"/>
      <x:c r="AR174" s="49"/>
      <x:c r="AS174" s="49"/>
      <x:c r="AT174" s="49"/>
      <x:c r="AU174" s="49"/>
      <x:c r="AV174" s="49"/>
      <x:c r="AW174" s="49"/>
      <x:c r="AX174" s="49"/>
      <x:c r="AY174" s="49"/>
      <x:c r="AZ174" s="49"/>
    </x:row>
    <x:row r="175">
      <x:c r="A175" s="49"/>
      <x:c r="B175" s="49"/>
      <x:c r="C175" s="49"/>
      <x:c r="D175" s="49"/>
      <x:c r="E175" s="49"/>
      <x:c r="F175" s="49"/>
      <x:c r="G175" s="49"/>
      <x:c r="H175" s="49"/>
      <x:c r="I175" s="49"/>
      <x:c r="J175" s="49"/>
      <x:c r="K175" s="49"/>
      <x:c r="L175" s="49"/>
      <x:c r="M175" s="49"/>
      <x:c r="N175" s="49"/>
      <x:c r="O175" s="49"/>
      <x:c r="P175" s="49"/>
      <x:c r="Q175" s="49"/>
      <x:c r="R175" s="49"/>
      <x:c r="S175" s="49"/>
      <x:c r="T175" s="49"/>
      <x:c r="U175" s="49"/>
      <x:c r="V175" s="49"/>
      <x:c r="W175" s="49"/>
      <x:c r="X175" s="49"/>
      <x:c r="Y175" s="49"/>
      <x:c r="Z175" s="49"/>
      <x:c r="AA175" s="49"/>
      <x:c r="AB175" s="49"/>
      <x:c r="AC175" s="49"/>
      <x:c r="AD175" s="49"/>
      <x:c r="AE175" s="49"/>
      <x:c r="AF175" s="49"/>
      <x:c r="AG175" s="49"/>
      <x:c r="AH175" s="49"/>
      <x:c r="AI175" s="49"/>
      <x:c r="AJ175" s="49"/>
      <x:c r="AK175" s="49"/>
      <x:c r="AL175" s="49"/>
      <x:c r="AM175" s="49"/>
      <x:c r="AN175" s="49"/>
      <x:c r="AO175" s="49"/>
      <x:c r="AP175" s="49"/>
      <x:c r="AQ175" s="49"/>
      <x:c r="AR175" s="49"/>
      <x:c r="AS175" s="49"/>
      <x:c r="AT175" s="49"/>
      <x:c r="AU175" s="49"/>
      <x:c r="AV175" s="49"/>
      <x:c r="AW175" s="49"/>
      <x:c r="AX175" s="49"/>
      <x:c r="AY175" s="49"/>
      <x:c r="AZ175" s="49"/>
    </x:row>
    <x:row r="176">
      <x:c r="A176" s="49"/>
      <x:c r="B176" s="49"/>
      <x:c r="C176" s="49"/>
      <x:c r="D176" s="49"/>
      <x:c r="E176" s="49"/>
      <x:c r="F176" s="49"/>
      <x:c r="G176" s="49"/>
      <x:c r="H176" s="49"/>
      <x:c r="I176" s="49"/>
      <x:c r="J176" s="49"/>
      <x:c r="K176" s="49"/>
      <x:c r="L176" s="49"/>
      <x:c r="M176" s="49"/>
      <x:c r="N176" s="49"/>
      <x:c r="O176" s="49"/>
      <x:c r="P176" s="49"/>
      <x:c r="Q176" s="49"/>
      <x:c r="R176" s="49"/>
      <x:c r="S176" s="49"/>
      <x:c r="T176" s="49"/>
      <x:c r="U176" s="49"/>
      <x:c r="V176" s="49"/>
      <x:c r="W176" s="49"/>
      <x:c r="X176" s="49"/>
      <x:c r="Y176" s="49"/>
      <x:c r="Z176" s="49"/>
      <x:c r="AA176" s="49"/>
      <x:c r="AB176" s="49"/>
      <x:c r="AC176" s="49"/>
      <x:c r="AD176" s="49"/>
      <x:c r="AE176" s="49"/>
      <x:c r="AF176" s="49"/>
      <x:c r="AG176" s="49"/>
      <x:c r="AH176" s="49"/>
      <x:c r="AI176" s="49"/>
      <x:c r="AJ176" s="49"/>
      <x:c r="AK176" s="49"/>
      <x:c r="AL176" s="49"/>
      <x:c r="AM176" s="49"/>
      <x:c r="AN176" s="49"/>
      <x:c r="AO176" s="49"/>
      <x:c r="AP176" s="49"/>
      <x:c r="AQ176" s="49"/>
      <x:c r="AR176" s="49"/>
      <x:c r="AS176" s="49"/>
      <x:c r="AT176" s="49"/>
      <x:c r="AU176" s="49"/>
      <x:c r="AV176" s="49"/>
      <x:c r="AW176" s="49"/>
      <x:c r="AX176" s="49"/>
      <x:c r="AY176" s="49"/>
      <x:c r="AZ176" s="49"/>
    </x:row>
    <x:row r="177">
      <x:c r="A177" s="49"/>
      <x:c r="B177" s="49"/>
      <x:c r="C177" s="49"/>
      <x:c r="D177" s="49"/>
      <x:c r="E177" s="49"/>
      <x:c r="F177" s="49"/>
      <x:c r="G177" s="49"/>
      <x:c r="H177" s="49"/>
      <x:c r="I177" s="49"/>
      <x:c r="J177" s="49"/>
      <x:c r="K177" s="49"/>
      <x:c r="L177" s="49"/>
      <x:c r="M177" s="49"/>
      <x:c r="N177" s="49"/>
      <x:c r="O177" s="49"/>
      <x:c r="P177" s="49"/>
      <x:c r="Q177" s="49"/>
      <x:c r="R177" s="49"/>
      <x:c r="S177" s="49"/>
      <x:c r="T177" s="49"/>
      <x:c r="U177" s="49"/>
      <x:c r="V177" s="49"/>
      <x:c r="W177" s="49"/>
      <x:c r="X177" s="49"/>
      <x:c r="Y177" s="49"/>
      <x:c r="Z177" s="49"/>
      <x:c r="AA177" s="49"/>
      <x:c r="AB177" s="49"/>
      <x:c r="AC177" s="49"/>
      <x:c r="AD177" s="49"/>
      <x:c r="AE177" s="49"/>
      <x:c r="AF177" s="49"/>
      <x:c r="AG177" s="49"/>
      <x:c r="AH177" s="49"/>
      <x:c r="AI177" s="49"/>
      <x:c r="AJ177" s="49"/>
      <x:c r="AK177" s="49"/>
      <x:c r="AL177" s="49"/>
      <x:c r="AM177" s="49"/>
      <x:c r="AN177" s="49"/>
      <x:c r="AO177" s="49"/>
      <x:c r="AP177" s="49"/>
      <x:c r="AQ177" s="49"/>
      <x:c r="AR177" s="49"/>
      <x:c r="AS177" s="49"/>
      <x:c r="AT177" s="49"/>
      <x:c r="AU177" s="49"/>
      <x:c r="AV177" s="49"/>
      <x:c r="AW177" s="49"/>
      <x:c r="AX177" s="49"/>
      <x:c r="AY177" s="49"/>
      <x:c r="AZ177" s="49"/>
    </x:row>
    <x:row r="178">
      <x:c r="A178" s="49"/>
      <x:c r="B178" s="49"/>
      <x:c r="C178" s="49"/>
      <x:c r="D178" s="49"/>
      <x:c r="E178" s="49"/>
      <x:c r="F178" s="49"/>
      <x:c r="G178" s="49"/>
      <x:c r="H178" s="49"/>
      <x:c r="I178" s="49"/>
      <x:c r="J178" s="49"/>
      <x:c r="K178" s="49"/>
      <x:c r="L178" s="49"/>
      <x:c r="M178" s="49"/>
      <x:c r="N178" s="49"/>
      <x:c r="O178" s="49"/>
      <x:c r="P178" s="49"/>
      <x:c r="Q178" s="49"/>
      <x:c r="R178" s="49"/>
      <x:c r="S178" s="49"/>
      <x:c r="T178" s="49"/>
      <x:c r="U178" s="49"/>
      <x:c r="V178" s="49"/>
      <x:c r="W178" s="49"/>
      <x:c r="X178" s="49"/>
      <x:c r="Y178" s="49"/>
      <x:c r="Z178" s="49"/>
      <x:c r="AA178" s="49"/>
      <x:c r="AB178" s="49"/>
      <x:c r="AC178" s="49"/>
      <x:c r="AD178" s="49"/>
      <x:c r="AE178" s="49"/>
      <x:c r="AF178" s="49"/>
      <x:c r="AG178" s="49"/>
      <x:c r="AH178" s="49"/>
      <x:c r="AI178" s="49"/>
      <x:c r="AJ178" s="49"/>
      <x:c r="AK178" s="49"/>
      <x:c r="AL178" s="49"/>
      <x:c r="AM178" s="49"/>
      <x:c r="AN178" s="49"/>
      <x:c r="AO178" s="49"/>
      <x:c r="AP178" s="49"/>
      <x:c r="AQ178" s="49"/>
      <x:c r="AR178" s="49"/>
      <x:c r="AS178" s="49"/>
      <x:c r="AT178" s="49"/>
      <x:c r="AU178" s="49"/>
      <x:c r="AV178" s="49"/>
      <x:c r="AW178" s="49"/>
      <x:c r="AX178" s="49"/>
      <x:c r="AY178" s="49"/>
      <x:c r="AZ178" s="49"/>
    </x:row>
    <x:row r="179">
      <x:c r="A179" s="49"/>
      <x:c r="B179" s="49"/>
      <x:c r="C179" s="49"/>
      <x:c r="D179" s="49"/>
      <x:c r="E179" s="49"/>
      <x:c r="F179" s="49"/>
      <x:c r="G179" s="49"/>
      <x:c r="H179" s="49"/>
      <x:c r="I179" s="49"/>
      <x:c r="J179" s="49"/>
      <x:c r="K179" s="49"/>
      <x:c r="L179" s="49"/>
      <x:c r="M179" s="49"/>
      <x:c r="N179" s="49"/>
      <x:c r="O179" s="49"/>
      <x:c r="P179" s="49"/>
      <x:c r="Q179" s="49"/>
      <x:c r="R179" s="49"/>
      <x:c r="S179" s="49"/>
      <x:c r="T179" s="49"/>
      <x:c r="U179" s="49"/>
      <x:c r="V179" s="49"/>
      <x:c r="W179" s="49"/>
      <x:c r="X179" s="49"/>
      <x:c r="Y179" s="49"/>
      <x:c r="Z179" s="49"/>
      <x:c r="AA179" s="49"/>
      <x:c r="AB179" s="49"/>
      <x:c r="AC179" s="49"/>
      <x:c r="AD179" s="49"/>
      <x:c r="AE179" s="49"/>
      <x:c r="AF179" s="49"/>
      <x:c r="AG179" s="49"/>
      <x:c r="AH179" s="49"/>
      <x:c r="AI179" s="49"/>
      <x:c r="AJ179" s="49"/>
      <x:c r="AK179" s="49"/>
      <x:c r="AL179" s="49"/>
      <x:c r="AM179" s="49"/>
      <x:c r="AN179" s="49"/>
      <x:c r="AO179" s="49"/>
      <x:c r="AP179" s="49"/>
      <x:c r="AQ179" s="49"/>
      <x:c r="AR179" s="49"/>
      <x:c r="AS179" s="49"/>
      <x:c r="AT179" s="49"/>
      <x:c r="AU179" s="49"/>
      <x:c r="AV179" s="49"/>
      <x:c r="AW179" s="49"/>
      <x:c r="AX179" s="49"/>
      <x:c r="AY179" s="49"/>
      <x:c r="AZ179" s="49"/>
    </x:row>
    <x:row r="180">
      <x:c r="A180" s="49"/>
      <x:c r="B180" s="49"/>
      <x:c r="C180" s="49"/>
      <x:c r="D180" s="49"/>
      <x:c r="E180" s="49"/>
      <x:c r="F180" s="49"/>
      <x:c r="G180" s="49"/>
      <x:c r="H180" s="49"/>
      <x:c r="I180" s="49"/>
      <x:c r="J180" s="49"/>
      <x:c r="K180" s="49"/>
      <x:c r="L180" s="49"/>
      <x:c r="M180" s="49"/>
      <x:c r="N180" s="49"/>
      <x:c r="O180" s="49"/>
      <x:c r="P180" s="49"/>
      <x:c r="Q180" s="49"/>
      <x:c r="R180" s="49"/>
      <x:c r="S180" s="49"/>
      <x:c r="T180" s="49"/>
      <x:c r="U180" s="49"/>
      <x:c r="V180" s="49"/>
      <x:c r="W180" s="49"/>
      <x:c r="X180" s="49"/>
      <x:c r="Y180" s="49"/>
      <x:c r="Z180" s="49"/>
      <x:c r="AA180" s="49"/>
      <x:c r="AB180" s="49"/>
      <x:c r="AC180" s="49"/>
      <x:c r="AD180" s="49"/>
      <x:c r="AE180" s="49"/>
      <x:c r="AF180" s="49"/>
      <x:c r="AG180" s="49"/>
      <x:c r="AH180" s="49"/>
      <x:c r="AI180" s="49"/>
      <x:c r="AJ180" s="49"/>
      <x:c r="AK180" s="49"/>
      <x:c r="AL180" s="49"/>
      <x:c r="AM180" s="49"/>
      <x:c r="AN180" s="49"/>
      <x:c r="AO180" s="49"/>
      <x:c r="AP180" s="49"/>
      <x:c r="AQ180" s="49"/>
      <x:c r="AR180" s="49"/>
      <x:c r="AS180" s="49"/>
      <x:c r="AT180" s="49"/>
      <x:c r="AU180" s="49"/>
      <x:c r="AV180" s="49"/>
      <x:c r="AW180" s="49"/>
      <x:c r="AX180" s="49"/>
      <x:c r="AY180" s="49"/>
      <x:c r="AZ180" s="49"/>
    </x:row>
    <x:row r="181">
      <x:c r="A181" s="49"/>
      <x:c r="B181" s="49"/>
      <x:c r="C181" s="49"/>
      <x:c r="D181" s="49"/>
      <x:c r="E181" s="49"/>
      <x:c r="F181" s="49"/>
      <x:c r="G181" s="49"/>
      <x:c r="H181" s="49"/>
      <x:c r="I181" s="49"/>
      <x:c r="J181" s="49"/>
      <x:c r="K181" s="49"/>
      <x:c r="L181" s="49"/>
      <x:c r="M181" s="49"/>
      <x:c r="N181" s="49"/>
      <x:c r="O181" s="49"/>
      <x:c r="P181" s="49"/>
      <x:c r="Q181" s="49"/>
      <x:c r="R181" s="49"/>
      <x:c r="S181" s="49"/>
      <x:c r="T181" s="49"/>
      <x:c r="U181" s="49"/>
      <x:c r="V181" s="49"/>
      <x:c r="W181" s="49"/>
      <x:c r="X181" s="49"/>
      <x:c r="Y181" s="49"/>
      <x:c r="Z181" s="49"/>
      <x:c r="AA181" s="49"/>
      <x:c r="AB181" s="49"/>
      <x:c r="AC181" s="49"/>
      <x:c r="AD181" s="49"/>
      <x:c r="AE181" s="49"/>
      <x:c r="AF181" s="49"/>
      <x:c r="AG181" s="49"/>
      <x:c r="AH181" s="49"/>
      <x:c r="AI181" s="49"/>
      <x:c r="AJ181" s="49"/>
      <x:c r="AK181" s="49"/>
      <x:c r="AL181" s="49"/>
      <x:c r="AM181" s="49"/>
      <x:c r="AN181" s="49"/>
      <x:c r="AO181" s="49"/>
      <x:c r="AP181" s="49"/>
      <x:c r="AQ181" s="49"/>
      <x:c r="AR181" s="49"/>
      <x:c r="AS181" s="49"/>
      <x:c r="AT181" s="49"/>
      <x:c r="AU181" s="49"/>
      <x:c r="AV181" s="49"/>
      <x:c r="AW181" s="49"/>
      <x:c r="AX181" s="49"/>
      <x:c r="AY181" s="49"/>
      <x:c r="AZ181" s="49"/>
    </x:row>
    <x:row r="182">
      <x:c r="A182" s="49"/>
      <x:c r="B182" s="49"/>
      <x:c r="C182" s="49"/>
      <x:c r="D182" s="49"/>
      <x:c r="E182" s="49"/>
      <x:c r="F182" s="49"/>
      <x:c r="G182" s="49"/>
      <x:c r="H182" s="49"/>
      <x:c r="I182" s="49"/>
      <x:c r="J182" s="49"/>
      <x:c r="K182" s="49"/>
      <x:c r="L182" s="49"/>
      <x:c r="M182" s="49"/>
      <x:c r="N182" s="49"/>
      <x:c r="O182" s="49"/>
      <x:c r="P182" s="49"/>
      <x:c r="Q182" s="49"/>
      <x:c r="R182" s="49"/>
      <x:c r="S182" s="49"/>
      <x:c r="T182" s="49"/>
      <x:c r="U182" s="49"/>
      <x:c r="V182" s="49"/>
      <x:c r="W182" s="49"/>
      <x:c r="X182" s="49"/>
      <x:c r="Y182" s="49"/>
      <x:c r="Z182" s="49"/>
      <x:c r="AA182" s="49"/>
      <x:c r="AB182" s="49"/>
      <x:c r="AC182" s="49"/>
      <x:c r="AD182" s="49"/>
      <x:c r="AE182" s="49"/>
      <x:c r="AF182" s="49"/>
      <x:c r="AG182" s="49"/>
      <x:c r="AH182" s="49"/>
      <x:c r="AI182" s="49"/>
      <x:c r="AJ182" s="49"/>
      <x:c r="AK182" s="49"/>
      <x:c r="AL182" s="49"/>
      <x:c r="AM182" s="49"/>
      <x:c r="AN182" s="49"/>
      <x:c r="AO182" s="49"/>
      <x:c r="AP182" s="49"/>
      <x:c r="AQ182" s="49"/>
      <x:c r="AR182" s="49"/>
      <x:c r="AS182" s="49"/>
      <x:c r="AT182" s="49"/>
      <x:c r="AU182" s="49"/>
      <x:c r="AV182" s="49"/>
      <x:c r="AW182" s="49"/>
      <x:c r="AX182" s="49"/>
      <x:c r="AY182" s="49"/>
      <x:c r="AZ182" s="49"/>
    </x:row>
    <x:row r="183">
      <x:c r="A183" s="49"/>
      <x:c r="B183" s="49"/>
      <x:c r="C183" s="49"/>
      <x:c r="D183" s="49"/>
      <x:c r="E183" s="49"/>
      <x:c r="F183" s="49"/>
      <x:c r="G183" s="49"/>
      <x:c r="H183" s="49"/>
      <x:c r="I183" s="49"/>
      <x:c r="J183" s="49"/>
      <x:c r="K183" s="49"/>
      <x:c r="L183" s="49"/>
      <x:c r="M183" s="49"/>
      <x:c r="N183" s="49"/>
      <x:c r="O183" s="49"/>
      <x:c r="P183" s="49"/>
      <x:c r="Q183" s="49"/>
      <x:c r="R183" s="49"/>
      <x:c r="S183" s="49"/>
      <x:c r="T183" s="49"/>
      <x:c r="U183" s="49"/>
      <x:c r="V183" s="49"/>
      <x:c r="W183" s="49"/>
      <x:c r="X183" s="49"/>
      <x:c r="Y183" s="49"/>
      <x:c r="Z183" s="49"/>
      <x:c r="AA183" s="49"/>
      <x:c r="AB183" s="49"/>
      <x:c r="AC183" s="49"/>
      <x:c r="AD183" s="49"/>
      <x:c r="AE183" s="49"/>
      <x:c r="AF183" s="49"/>
      <x:c r="AG183" s="49"/>
      <x:c r="AH183" s="49"/>
      <x:c r="AI183" s="49"/>
      <x:c r="AJ183" s="49"/>
      <x:c r="AK183" s="49"/>
      <x:c r="AL183" s="49"/>
      <x:c r="AM183" s="49"/>
      <x:c r="AN183" s="49"/>
      <x:c r="AO183" s="49"/>
      <x:c r="AP183" s="49"/>
      <x:c r="AQ183" s="49"/>
      <x:c r="AR183" s="49"/>
      <x:c r="AS183" s="49"/>
      <x:c r="AT183" s="49"/>
      <x:c r="AU183" s="49"/>
      <x:c r="AV183" s="49"/>
      <x:c r="AW183" s="49"/>
      <x:c r="AX183" s="49"/>
      <x:c r="AY183" s="49"/>
      <x:c r="AZ183" s="49"/>
    </x:row>
    <x:row r="184">
      <x:c r="A184" s="49"/>
      <x:c r="B184" s="49"/>
      <x:c r="C184" s="49"/>
      <x:c r="D184" s="49"/>
      <x:c r="E184" s="49"/>
      <x:c r="F184" s="49"/>
      <x:c r="G184" s="49"/>
      <x:c r="H184" s="49"/>
      <x:c r="I184" s="49"/>
      <x:c r="J184" s="49"/>
      <x:c r="K184" s="49"/>
      <x:c r="L184" s="49"/>
      <x:c r="M184" s="49"/>
      <x:c r="N184" s="49"/>
      <x:c r="O184" s="49"/>
      <x:c r="P184" s="49"/>
      <x:c r="Q184" s="49"/>
      <x:c r="R184" s="49"/>
      <x:c r="S184" s="49"/>
      <x:c r="T184" s="49"/>
      <x:c r="U184" s="49"/>
      <x:c r="V184" s="49"/>
      <x:c r="W184" s="49"/>
      <x:c r="X184" s="49"/>
      <x:c r="Y184" s="49"/>
      <x:c r="Z184" s="49"/>
      <x:c r="AA184" s="49"/>
      <x:c r="AB184" s="49"/>
      <x:c r="AC184" s="49"/>
      <x:c r="AD184" s="49"/>
      <x:c r="AE184" s="49"/>
      <x:c r="AF184" s="49"/>
      <x:c r="AG184" s="49"/>
      <x:c r="AH184" s="49"/>
      <x:c r="AI184" s="49"/>
      <x:c r="AJ184" s="49"/>
      <x:c r="AK184" s="49"/>
      <x:c r="AL184" s="49"/>
      <x:c r="AM184" s="49"/>
      <x:c r="AN184" s="49"/>
      <x:c r="AO184" s="49"/>
      <x:c r="AP184" s="49"/>
      <x:c r="AQ184" s="49"/>
      <x:c r="AR184" s="49"/>
      <x:c r="AS184" s="49"/>
      <x:c r="AT184" s="49"/>
      <x:c r="AU184" s="49"/>
      <x:c r="AV184" s="49"/>
      <x:c r="AW184" s="49"/>
      <x:c r="AX184" s="49"/>
      <x:c r="AY184" s="49"/>
      <x:c r="AZ184" s="49"/>
    </x:row>
    <x:row r="185">
      <x:c r="A185" s="49"/>
      <x:c r="B185" s="49"/>
      <x:c r="C185" s="49"/>
      <x:c r="D185" s="49"/>
      <x:c r="E185" s="49"/>
      <x:c r="F185" s="49"/>
      <x:c r="G185" s="49"/>
      <x:c r="H185" s="49"/>
      <x:c r="I185" s="49"/>
      <x:c r="J185" s="49"/>
      <x:c r="K185" s="49"/>
      <x:c r="L185" s="49"/>
      <x:c r="M185" s="49"/>
      <x:c r="N185" s="49"/>
      <x:c r="O185" s="49"/>
      <x:c r="P185" s="49"/>
      <x:c r="Q185" s="49"/>
      <x:c r="R185" s="49"/>
      <x:c r="S185" s="49"/>
      <x:c r="T185" s="49"/>
      <x:c r="U185" s="49"/>
      <x:c r="V185" s="49"/>
      <x:c r="W185" s="49"/>
      <x:c r="X185" s="49"/>
      <x:c r="Y185" s="49"/>
      <x:c r="Z185" s="49"/>
      <x:c r="AA185" s="49"/>
      <x:c r="AB185" s="49"/>
      <x:c r="AC185" s="49"/>
      <x:c r="AD185" s="49"/>
      <x:c r="AE185" s="49"/>
      <x:c r="AF185" s="49"/>
      <x:c r="AG185" s="49"/>
      <x:c r="AH185" s="49"/>
      <x:c r="AI185" s="49"/>
      <x:c r="AJ185" s="49"/>
      <x:c r="AK185" s="49"/>
      <x:c r="AL185" s="49"/>
      <x:c r="AM185" s="49"/>
      <x:c r="AN185" s="49"/>
      <x:c r="AO185" s="49"/>
      <x:c r="AP185" s="49"/>
      <x:c r="AQ185" s="49"/>
      <x:c r="AR185" s="49"/>
      <x:c r="AS185" s="49"/>
      <x:c r="AT185" s="49"/>
      <x:c r="AU185" s="49"/>
      <x:c r="AV185" s="49"/>
      <x:c r="AW185" s="49"/>
      <x:c r="AX185" s="49"/>
      <x:c r="AY185" s="49"/>
      <x:c r="AZ185" s="49"/>
    </x:row>
    <x:row r="186">
      <x:c r="A186" s="49"/>
      <x:c r="B186" s="49"/>
      <x:c r="C186" s="49"/>
      <x:c r="D186" s="49"/>
      <x:c r="E186" s="49"/>
      <x:c r="F186" s="49"/>
      <x:c r="G186" s="49"/>
      <x:c r="H186" s="49"/>
      <x:c r="I186" s="49"/>
      <x:c r="J186" s="49"/>
      <x:c r="K186" s="49"/>
      <x:c r="L186" s="49"/>
      <x:c r="M186" s="49"/>
      <x:c r="N186" s="49"/>
      <x:c r="O186" s="49"/>
      <x:c r="P186" s="49"/>
      <x:c r="Q186" s="49"/>
      <x:c r="R186" s="49"/>
      <x:c r="S186" s="49"/>
      <x:c r="T186" s="49"/>
      <x:c r="U186" s="49"/>
      <x:c r="V186" s="49"/>
      <x:c r="W186" s="49"/>
      <x:c r="X186" s="49"/>
      <x:c r="Y186" s="49"/>
      <x:c r="Z186" s="49"/>
      <x:c r="AA186" s="49"/>
      <x:c r="AB186" s="49"/>
      <x:c r="AC186" s="49"/>
      <x:c r="AD186" s="49"/>
      <x:c r="AE186" s="49"/>
      <x:c r="AF186" s="49"/>
      <x:c r="AG186" s="49"/>
      <x:c r="AH186" s="49"/>
      <x:c r="AI186" s="49"/>
      <x:c r="AJ186" s="49"/>
      <x:c r="AK186" s="49"/>
      <x:c r="AL186" s="49"/>
      <x:c r="AM186" s="49"/>
      <x:c r="AN186" s="49"/>
      <x:c r="AO186" s="49"/>
      <x:c r="AP186" s="49"/>
      <x:c r="AQ186" s="49"/>
      <x:c r="AR186" s="49"/>
      <x:c r="AS186" s="49"/>
      <x:c r="AT186" s="49"/>
      <x:c r="AU186" s="49"/>
      <x:c r="AV186" s="49"/>
      <x:c r="AW186" s="49"/>
      <x:c r="AX186" s="49"/>
      <x:c r="AY186" s="49"/>
      <x:c r="AZ186" s="49"/>
    </x:row>
    <x:row r="187">
      <x:c r="A187" s="49"/>
      <x:c r="B187" s="49"/>
      <x:c r="C187" s="49"/>
      <x:c r="D187" s="49"/>
      <x:c r="E187" s="49"/>
      <x:c r="F187" s="49"/>
      <x:c r="G187" s="49"/>
      <x:c r="H187" s="49"/>
      <x:c r="I187" s="49"/>
      <x:c r="J187" s="49"/>
      <x:c r="K187" s="49"/>
      <x:c r="L187" s="49"/>
      <x:c r="M187" s="49"/>
      <x:c r="N187" s="49"/>
      <x:c r="O187" s="49"/>
      <x:c r="P187" s="49"/>
      <x:c r="Q187" s="49"/>
      <x:c r="R187" s="49"/>
      <x:c r="S187" s="49"/>
      <x:c r="T187" s="49"/>
      <x:c r="U187" s="49"/>
      <x:c r="V187" s="49"/>
      <x:c r="W187" s="49"/>
      <x:c r="X187" s="49"/>
      <x:c r="Y187" s="49"/>
      <x:c r="Z187" s="49"/>
      <x:c r="AA187" s="49"/>
      <x:c r="AB187" s="49"/>
      <x:c r="AC187" s="49"/>
      <x:c r="AD187" s="49"/>
      <x:c r="AE187" s="49"/>
      <x:c r="AF187" s="49"/>
      <x:c r="AG187" s="49"/>
      <x:c r="AH187" s="49"/>
      <x:c r="AI187" s="49"/>
      <x:c r="AJ187" s="49"/>
      <x:c r="AK187" s="49"/>
      <x:c r="AL187" s="49"/>
      <x:c r="AM187" s="49"/>
      <x:c r="AN187" s="49"/>
      <x:c r="AO187" s="49"/>
      <x:c r="AP187" s="49"/>
      <x:c r="AQ187" s="49"/>
      <x:c r="AR187" s="49"/>
      <x:c r="AS187" s="49"/>
      <x:c r="AT187" s="49"/>
      <x:c r="AU187" s="49"/>
      <x:c r="AV187" s="49"/>
      <x:c r="AW187" s="49"/>
      <x:c r="AX187" s="49"/>
      <x:c r="AY187" s="49"/>
      <x:c r="AZ187" s="49"/>
    </x:row>
    <x:row r="188">
      <x:c r="A188" s="49"/>
      <x:c r="B188" s="49"/>
      <x:c r="C188" s="49"/>
      <x:c r="D188" s="49"/>
      <x:c r="E188" s="49"/>
      <x:c r="F188" s="49"/>
      <x:c r="G188" s="49"/>
      <x:c r="H188" s="49"/>
      <x:c r="I188" s="49"/>
      <x:c r="J188" s="49"/>
      <x:c r="K188" s="49"/>
      <x:c r="L188" s="49"/>
      <x:c r="M188" s="49"/>
      <x:c r="N188" s="49"/>
      <x:c r="O188" s="49"/>
      <x:c r="P188" s="49"/>
      <x:c r="Q188" s="49"/>
      <x:c r="R188" s="49"/>
      <x:c r="S188" s="49"/>
      <x:c r="T188" s="49"/>
      <x:c r="U188" s="49"/>
      <x:c r="V188" s="49"/>
      <x:c r="W188" s="49"/>
      <x:c r="X188" s="49"/>
      <x:c r="Y188" s="49"/>
      <x:c r="Z188" s="49"/>
      <x:c r="AA188" s="49"/>
      <x:c r="AB188" s="49"/>
      <x:c r="AC188" s="49"/>
      <x:c r="AD188" s="49"/>
      <x:c r="AE188" s="49"/>
      <x:c r="AF188" s="49"/>
      <x:c r="AG188" s="49"/>
      <x:c r="AH188" s="49"/>
      <x:c r="AI188" s="49"/>
      <x:c r="AJ188" s="49"/>
      <x:c r="AK188" s="49"/>
      <x:c r="AL188" s="49"/>
      <x:c r="AM188" s="49"/>
      <x:c r="AN188" s="49"/>
      <x:c r="AO188" s="49"/>
      <x:c r="AP188" s="49"/>
      <x:c r="AQ188" s="49"/>
      <x:c r="AR188" s="49"/>
      <x:c r="AS188" s="49"/>
      <x:c r="AT188" s="49"/>
      <x:c r="AU188" s="49"/>
      <x:c r="AV188" s="49"/>
      <x:c r="AW188" s="49"/>
      <x:c r="AX188" s="49"/>
      <x:c r="AY188" s="49"/>
      <x:c r="AZ188" s="49"/>
    </x:row>
    <x:row r="189">
      <x:c r="A189" s="49"/>
      <x:c r="B189" s="49"/>
      <x:c r="C189" s="49"/>
      <x:c r="D189" s="49"/>
      <x:c r="E189" s="49"/>
      <x:c r="F189" s="49"/>
      <x:c r="G189" s="49"/>
      <x:c r="H189" s="49"/>
      <x:c r="I189" s="49"/>
      <x:c r="J189" s="49"/>
      <x:c r="K189" s="49"/>
      <x:c r="L189" s="49"/>
      <x:c r="M189" s="49"/>
      <x:c r="N189" s="49"/>
      <x:c r="O189" s="49"/>
      <x:c r="P189" s="49"/>
      <x:c r="Q189" s="49"/>
      <x:c r="R189" s="49"/>
      <x:c r="S189" s="49"/>
      <x:c r="T189" s="49"/>
      <x:c r="U189" s="49"/>
      <x:c r="V189" s="49"/>
      <x:c r="W189" s="49"/>
      <x:c r="X189" s="49"/>
      <x:c r="Y189" s="49"/>
      <x:c r="Z189" s="49"/>
      <x:c r="AA189" s="49"/>
      <x:c r="AB189" s="49"/>
      <x:c r="AC189" s="49"/>
      <x:c r="AD189" s="49"/>
      <x:c r="AE189" s="49"/>
      <x:c r="AF189" s="49"/>
      <x:c r="AG189" s="49"/>
      <x:c r="AH189" s="49"/>
      <x:c r="AI189" s="49"/>
      <x:c r="AJ189" s="49"/>
      <x:c r="AK189" s="49"/>
      <x:c r="AL189" s="49"/>
      <x:c r="AM189" s="49"/>
      <x:c r="AN189" s="49"/>
      <x:c r="AO189" s="49"/>
      <x:c r="AP189" s="49"/>
      <x:c r="AQ189" s="49"/>
      <x:c r="AR189" s="49"/>
      <x:c r="AS189" s="49"/>
      <x:c r="AT189" s="49"/>
      <x:c r="AU189" s="49"/>
      <x:c r="AV189" s="49"/>
      <x:c r="AW189" s="49"/>
      <x:c r="AX189" s="49"/>
      <x:c r="AY189" s="49"/>
      <x:c r="AZ189" s="49"/>
    </x:row>
    <x:row r="190">
      <x:c r="A190" s="49"/>
      <x:c r="B190" s="49"/>
      <x:c r="C190" s="49"/>
      <x:c r="D190" s="49"/>
      <x:c r="E190" s="49"/>
      <x:c r="F190" s="49"/>
      <x:c r="G190" s="49"/>
      <x:c r="H190" s="49"/>
      <x:c r="I190" s="49"/>
      <x:c r="J190" s="49"/>
      <x:c r="K190" s="49"/>
      <x:c r="L190" s="49"/>
      <x:c r="M190" s="49"/>
      <x:c r="N190" s="49"/>
      <x:c r="O190" s="49"/>
      <x:c r="P190" s="49"/>
      <x:c r="Q190" s="49"/>
      <x:c r="R190" s="49"/>
      <x:c r="S190" s="49"/>
      <x:c r="T190" s="49"/>
      <x:c r="U190" s="49"/>
      <x:c r="V190" s="49"/>
      <x:c r="W190" s="49"/>
      <x:c r="X190" s="49"/>
      <x:c r="Y190" s="49"/>
      <x:c r="Z190" s="49"/>
      <x:c r="AA190" s="49"/>
      <x:c r="AB190" s="49"/>
      <x:c r="AC190" s="49"/>
      <x:c r="AD190" s="49"/>
      <x:c r="AE190" s="49"/>
      <x:c r="AF190" s="49"/>
      <x:c r="AG190" s="49"/>
      <x:c r="AH190" s="49"/>
      <x:c r="AI190" s="49"/>
      <x:c r="AJ190" s="49"/>
      <x:c r="AK190" s="49"/>
      <x:c r="AL190" s="49"/>
      <x:c r="AM190" s="49"/>
      <x:c r="AN190" s="49"/>
      <x:c r="AO190" s="49"/>
      <x:c r="AP190" s="49"/>
      <x:c r="AQ190" s="49"/>
      <x:c r="AR190" s="49"/>
      <x:c r="AS190" s="49"/>
      <x:c r="AT190" s="49"/>
      <x:c r="AU190" s="49"/>
      <x:c r="AV190" s="49"/>
      <x:c r="AW190" s="49"/>
      <x:c r="AX190" s="49"/>
      <x:c r="AY190" s="49"/>
      <x:c r="AZ190" s="49"/>
    </x:row>
    <x:row r="191">
      <x:c r="A191" s="49"/>
      <x:c r="B191" s="49"/>
      <x:c r="C191" s="49"/>
      <x:c r="D191" s="49"/>
      <x:c r="E191" s="49"/>
      <x:c r="F191" s="49"/>
      <x:c r="G191" s="49"/>
      <x:c r="H191" s="49"/>
      <x:c r="I191" s="49"/>
      <x:c r="J191" s="49"/>
      <x:c r="K191" s="49"/>
      <x:c r="L191" s="49"/>
      <x:c r="M191" s="49"/>
      <x:c r="N191" s="49"/>
      <x:c r="O191" s="49"/>
      <x:c r="P191" s="49"/>
      <x:c r="Q191" s="49"/>
      <x:c r="R191" s="49"/>
      <x:c r="S191" s="49"/>
      <x:c r="T191" s="49"/>
      <x:c r="U191" s="49"/>
      <x:c r="V191" s="49"/>
      <x:c r="W191" s="49"/>
      <x:c r="X191" s="49"/>
      <x:c r="Y191" s="49"/>
      <x:c r="Z191" s="49"/>
      <x:c r="AA191" s="49"/>
      <x:c r="AB191" s="49"/>
      <x:c r="AC191" s="49"/>
      <x:c r="AD191" s="49"/>
      <x:c r="AE191" s="49"/>
      <x:c r="AF191" s="49"/>
      <x:c r="AG191" s="49"/>
      <x:c r="AH191" s="49"/>
      <x:c r="AI191" s="49"/>
      <x:c r="AJ191" s="49"/>
      <x:c r="AK191" s="49"/>
      <x:c r="AL191" s="49"/>
      <x:c r="AM191" s="49"/>
      <x:c r="AN191" s="49"/>
      <x:c r="AO191" s="49"/>
      <x:c r="AP191" s="49"/>
      <x:c r="AQ191" s="49"/>
      <x:c r="AR191" s="49"/>
      <x:c r="AS191" s="49"/>
      <x:c r="AT191" s="49"/>
      <x:c r="AU191" s="49"/>
      <x:c r="AV191" s="49"/>
      <x:c r="AW191" s="49"/>
      <x:c r="AX191" s="49"/>
      <x:c r="AY191" s="49"/>
      <x:c r="AZ191" s="49"/>
    </x:row>
    <x:row r="192">
      <x:c r="A192" s="49"/>
      <x:c r="B192" s="49"/>
      <x:c r="C192" s="49"/>
      <x:c r="D192" s="49"/>
      <x:c r="E192" s="49"/>
      <x:c r="F192" s="49"/>
      <x:c r="G192" s="49"/>
      <x:c r="H192" s="49"/>
      <x:c r="I192" s="49"/>
      <x:c r="J192" s="49"/>
      <x:c r="K192" s="49"/>
      <x:c r="L192" s="49"/>
      <x:c r="M192" s="49"/>
      <x:c r="N192" s="49"/>
      <x:c r="O192" s="49"/>
      <x:c r="P192" s="49"/>
      <x:c r="Q192" s="49"/>
      <x:c r="R192" s="49"/>
      <x:c r="S192" s="49"/>
      <x:c r="T192" s="49"/>
      <x:c r="U192" s="49"/>
      <x:c r="V192" s="49"/>
      <x:c r="W192" s="49"/>
      <x:c r="X192" s="49"/>
      <x:c r="Y192" s="49"/>
      <x:c r="Z192" s="49"/>
      <x:c r="AA192" s="49"/>
      <x:c r="AB192" s="49"/>
      <x:c r="AC192" s="49"/>
      <x:c r="AD192" s="49"/>
      <x:c r="AE192" s="49"/>
      <x:c r="AF192" s="49"/>
      <x:c r="AG192" s="49"/>
      <x:c r="AH192" s="49"/>
      <x:c r="AI192" s="49"/>
      <x:c r="AJ192" s="49"/>
      <x:c r="AK192" s="49"/>
      <x:c r="AL192" s="49"/>
      <x:c r="AM192" s="49"/>
      <x:c r="AN192" s="49"/>
      <x:c r="AO192" s="49"/>
      <x:c r="AP192" s="49"/>
      <x:c r="AQ192" s="49"/>
      <x:c r="AR192" s="49"/>
      <x:c r="AS192" s="49"/>
      <x:c r="AT192" s="49"/>
      <x:c r="AU192" s="49"/>
      <x:c r="AV192" s="49"/>
      <x:c r="AW192" s="49"/>
      <x:c r="AX192" s="49"/>
      <x:c r="AY192" s="49"/>
      <x:c r="AZ192" s="49"/>
    </x:row>
    <x:row r="193">
      <x:c r="A193" s="49"/>
      <x:c r="B193" s="49"/>
      <x:c r="C193" s="49"/>
      <x:c r="D193" s="49"/>
      <x:c r="E193" s="49"/>
      <x:c r="F193" s="49"/>
      <x:c r="G193" s="49"/>
      <x:c r="H193" s="49"/>
      <x:c r="I193" s="49"/>
      <x:c r="J193" s="49"/>
      <x:c r="K193" s="49"/>
      <x:c r="L193" s="49"/>
      <x:c r="M193" s="49"/>
      <x:c r="N193" s="49"/>
      <x:c r="O193" s="49"/>
      <x:c r="P193" s="49"/>
      <x:c r="Q193" s="49"/>
      <x:c r="R193" s="49"/>
      <x:c r="S193" s="49"/>
      <x:c r="T193" s="49"/>
      <x:c r="U193" s="49"/>
      <x:c r="V193" s="49"/>
      <x:c r="W193" s="49"/>
      <x:c r="X193" s="49"/>
      <x:c r="Y193" s="49"/>
      <x:c r="Z193" s="49"/>
      <x:c r="AA193" s="49"/>
      <x:c r="AB193" s="49"/>
      <x:c r="AC193" s="49"/>
      <x:c r="AD193" s="49"/>
      <x:c r="AE193" s="49"/>
      <x:c r="AF193" s="49"/>
      <x:c r="AG193" s="49"/>
      <x:c r="AH193" s="49"/>
      <x:c r="AI193" s="49"/>
      <x:c r="AJ193" s="49"/>
      <x:c r="AK193" s="49"/>
      <x:c r="AL193" s="49"/>
      <x:c r="AM193" s="49"/>
      <x:c r="AN193" s="49"/>
      <x:c r="AO193" s="49"/>
      <x:c r="AP193" s="49"/>
      <x:c r="AQ193" s="49"/>
      <x:c r="AR193" s="49"/>
      <x:c r="AS193" s="49"/>
      <x:c r="AT193" s="49"/>
      <x:c r="AU193" s="49"/>
      <x:c r="AV193" s="49"/>
      <x:c r="AW193" s="49"/>
      <x:c r="AX193" s="49"/>
      <x:c r="AY193" s="49"/>
      <x:c r="AZ193" s="49"/>
    </x:row>
    <x:row r="194">
      <x:c r="A194" s="49"/>
      <x:c r="B194" s="49"/>
      <x:c r="C194" s="49"/>
      <x:c r="D194" s="49"/>
      <x:c r="E194" s="49"/>
      <x:c r="F194" s="49"/>
      <x:c r="G194" s="49"/>
      <x:c r="H194" s="49"/>
      <x:c r="I194" s="49"/>
      <x:c r="J194" s="49"/>
      <x:c r="K194" s="49"/>
      <x:c r="L194" s="49"/>
      <x:c r="M194" s="49"/>
      <x:c r="N194" s="49"/>
      <x:c r="O194" s="49"/>
      <x:c r="P194" s="49"/>
      <x:c r="Q194" s="49"/>
      <x:c r="R194" s="49"/>
      <x:c r="S194" s="49"/>
      <x:c r="T194" s="49"/>
      <x:c r="U194" s="49"/>
      <x:c r="V194" s="49"/>
      <x:c r="W194" s="49"/>
      <x:c r="X194" s="49"/>
      <x:c r="Y194" s="49"/>
      <x:c r="Z194" s="49"/>
      <x:c r="AA194" s="49"/>
      <x:c r="AB194" s="49"/>
      <x:c r="AC194" s="49"/>
      <x:c r="AD194" s="49"/>
      <x:c r="AE194" s="49"/>
      <x:c r="AF194" s="49"/>
      <x:c r="AG194" s="49"/>
      <x:c r="AH194" s="49"/>
      <x:c r="AI194" s="49"/>
      <x:c r="AJ194" s="49"/>
      <x:c r="AK194" s="49"/>
      <x:c r="AL194" s="49"/>
      <x:c r="AM194" s="49"/>
      <x:c r="AN194" s="49"/>
      <x:c r="AO194" s="49"/>
      <x:c r="AP194" s="49"/>
      <x:c r="AQ194" s="49"/>
      <x:c r="AR194" s="49"/>
      <x:c r="AS194" s="49"/>
      <x:c r="AT194" s="49"/>
      <x:c r="AU194" s="49"/>
      <x:c r="AV194" s="49"/>
      <x:c r="AW194" s="49"/>
      <x:c r="AX194" s="49"/>
      <x:c r="AY194" s="49"/>
      <x:c r="AZ194" s="49"/>
    </x:row>
    <x:row r="195">
      <x:c r="A195" s="49"/>
      <x:c r="B195" s="49"/>
      <x:c r="C195" s="49"/>
      <x:c r="D195" s="49"/>
      <x:c r="E195" s="49"/>
      <x:c r="F195" s="49"/>
      <x:c r="G195" s="49"/>
      <x:c r="H195" s="49"/>
      <x:c r="I195" s="49"/>
      <x:c r="J195" s="49"/>
      <x:c r="K195" s="49"/>
      <x:c r="L195" s="49"/>
      <x:c r="M195" s="49"/>
      <x:c r="N195" s="49"/>
      <x:c r="O195" s="49"/>
      <x:c r="P195" s="49"/>
      <x:c r="Q195" s="49"/>
      <x:c r="R195" s="49"/>
      <x:c r="S195" s="49"/>
      <x:c r="T195" s="49"/>
      <x:c r="U195" s="49"/>
      <x:c r="V195" s="49"/>
      <x:c r="W195" s="49"/>
      <x:c r="X195" s="49"/>
      <x:c r="Y195" s="49"/>
      <x:c r="Z195" s="49"/>
      <x:c r="AA195" s="49"/>
      <x:c r="AB195" s="49"/>
      <x:c r="AC195" s="49"/>
      <x:c r="AD195" s="49"/>
      <x:c r="AE195" s="49"/>
      <x:c r="AF195" s="49"/>
      <x:c r="AG195" s="49"/>
      <x:c r="AH195" s="49"/>
      <x:c r="AI195" s="49"/>
      <x:c r="AJ195" s="49"/>
      <x:c r="AK195" s="49"/>
      <x:c r="AL195" s="49"/>
      <x:c r="AM195" s="49"/>
      <x:c r="AN195" s="49"/>
      <x:c r="AO195" s="49"/>
      <x:c r="AP195" s="49"/>
      <x:c r="AQ195" s="49"/>
      <x:c r="AR195" s="49"/>
      <x:c r="AS195" s="49"/>
      <x:c r="AT195" s="49"/>
      <x:c r="AU195" s="49"/>
      <x:c r="AV195" s="49"/>
      <x:c r="AW195" s="49"/>
      <x:c r="AX195" s="49"/>
      <x:c r="AY195" s="49"/>
      <x:c r="AZ195" s="49"/>
    </x:row>
    <x:row r="196">
      <x:c r="A196" s="49"/>
      <x:c r="B196" s="49"/>
      <x:c r="C196" s="49"/>
      <x:c r="D196" s="49"/>
      <x:c r="E196" s="49"/>
      <x:c r="F196" s="49"/>
      <x:c r="G196" s="49"/>
      <x:c r="H196" s="49"/>
      <x:c r="I196" s="49"/>
      <x:c r="J196" s="49"/>
      <x:c r="K196" s="49"/>
      <x:c r="L196" s="49"/>
      <x:c r="M196" s="49"/>
      <x:c r="N196" s="49"/>
      <x:c r="O196" s="49"/>
      <x:c r="P196" s="49"/>
      <x:c r="Q196" s="49"/>
      <x:c r="R196" s="49"/>
      <x:c r="S196" s="49"/>
      <x:c r="T196" s="49"/>
      <x:c r="U196" s="49"/>
      <x:c r="V196" s="49"/>
      <x:c r="W196" s="49"/>
      <x:c r="X196" s="49"/>
      <x:c r="Y196" s="49"/>
      <x:c r="Z196" s="49"/>
      <x:c r="AA196" s="49"/>
      <x:c r="AB196" s="49"/>
      <x:c r="AC196" s="49"/>
      <x:c r="AD196" s="49"/>
      <x:c r="AE196" s="49"/>
      <x:c r="AF196" s="49"/>
      <x:c r="AG196" s="49"/>
      <x:c r="AH196" s="49"/>
      <x:c r="AI196" s="49"/>
      <x:c r="AJ196" s="49"/>
      <x:c r="AK196" s="49"/>
      <x:c r="AL196" s="49"/>
      <x:c r="AM196" s="49"/>
      <x:c r="AN196" s="49"/>
      <x:c r="AO196" s="49"/>
      <x:c r="AP196" s="49"/>
      <x:c r="AQ196" s="49"/>
      <x:c r="AR196" s="49"/>
      <x:c r="AS196" s="49"/>
      <x:c r="AT196" s="49"/>
      <x:c r="AU196" s="49"/>
      <x:c r="AV196" s="49"/>
      <x:c r="AW196" s="49"/>
      <x:c r="AX196" s="49"/>
      <x:c r="AY196" s="49"/>
      <x:c r="AZ196" s="49"/>
    </x:row>
    <x:row r="197">
      <x:c r="A197" s="49"/>
      <x:c r="B197" s="49"/>
      <x:c r="C197" s="49"/>
      <x:c r="D197" s="49"/>
      <x:c r="E197" s="49"/>
      <x:c r="F197" s="49"/>
      <x:c r="G197" s="49"/>
      <x:c r="H197" s="49"/>
      <x:c r="I197" s="49"/>
      <x:c r="J197" s="49"/>
      <x:c r="K197" s="49"/>
      <x:c r="L197" s="49"/>
      <x:c r="M197" s="49"/>
      <x:c r="N197" s="49"/>
      <x:c r="O197" s="49"/>
      <x:c r="P197" s="49"/>
      <x:c r="Q197" s="49"/>
      <x:c r="R197" s="49"/>
      <x:c r="S197" s="49"/>
      <x:c r="T197" s="49"/>
      <x:c r="U197" s="49"/>
      <x:c r="V197" s="49"/>
      <x:c r="W197" s="49"/>
      <x:c r="X197" s="49"/>
      <x:c r="Y197" s="49"/>
      <x:c r="Z197" s="49"/>
      <x:c r="AA197" s="49"/>
      <x:c r="AB197" s="49"/>
      <x:c r="AC197" s="49"/>
      <x:c r="AD197" s="49"/>
      <x:c r="AE197" s="49"/>
      <x:c r="AF197" s="49"/>
      <x:c r="AG197" s="49"/>
      <x:c r="AH197" s="49"/>
      <x:c r="AI197" s="49"/>
      <x:c r="AJ197" s="49"/>
      <x:c r="AK197" s="49"/>
      <x:c r="AL197" s="49"/>
      <x:c r="AM197" s="49"/>
      <x:c r="AN197" s="49"/>
      <x:c r="AO197" s="49"/>
      <x:c r="AP197" s="49"/>
      <x:c r="AQ197" s="49"/>
      <x:c r="AR197" s="49"/>
      <x:c r="AS197" s="49"/>
      <x:c r="AT197" s="49"/>
      <x:c r="AU197" s="49"/>
      <x:c r="AV197" s="49"/>
      <x:c r="AW197" s="49"/>
      <x:c r="AX197" s="49"/>
      <x:c r="AY197" s="49"/>
      <x:c r="AZ197" s="49"/>
    </x:row>
    <x:row r="198">
      <x:c r="A198" s="49"/>
      <x:c r="B198" s="49"/>
      <x:c r="C198" s="49"/>
      <x:c r="D198" s="49"/>
      <x:c r="E198" s="49"/>
      <x:c r="F198" s="49"/>
      <x:c r="G198" s="49"/>
      <x:c r="H198" s="49"/>
      <x:c r="I198" s="49"/>
      <x:c r="J198" s="49"/>
      <x:c r="K198" s="49"/>
      <x:c r="L198" s="49"/>
      <x:c r="M198" s="49"/>
      <x:c r="N198" s="49"/>
      <x:c r="O198" s="49"/>
      <x:c r="P198" s="49"/>
      <x:c r="Q198" s="49"/>
      <x:c r="R198" s="49"/>
      <x:c r="S198" s="49"/>
      <x:c r="T198" s="49"/>
      <x:c r="U198" s="49"/>
      <x:c r="V198" s="49"/>
      <x:c r="W198" s="49"/>
      <x:c r="X198" s="49"/>
      <x:c r="Y198" s="49"/>
      <x:c r="Z198" s="49"/>
      <x:c r="AA198" s="49"/>
      <x:c r="AB198" s="49"/>
      <x:c r="AC198" s="49"/>
      <x:c r="AD198" s="49"/>
      <x:c r="AE198" s="49"/>
      <x:c r="AF198" s="49"/>
      <x:c r="AG198" s="49"/>
      <x:c r="AH198" s="49"/>
      <x:c r="AI198" s="49"/>
      <x:c r="AJ198" s="49"/>
      <x:c r="AK198" s="49"/>
      <x:c r="AL198" s="49"/>
      <x:c r="AM198" s="49"/>
      <x:c r="AN198" s="49"/>
      <x:c r="AO198" s="49"/>
      <x:c r="AP198" s="49"/>
      <x:c r="AQ198" s="49"/>
      <x:c r="AR198" s="49"/>
      <x:c r="AS198" s="49"/>
      <x:c r="AT198" s="49"/>
      <x:c r="AU198" s="49"/>
      <x:c r="AV198" s="49"/>
      <x:c r="AW198" s="49"/>
      <x:c r="AX198" s="49"/>
      <x:c r="AY198" s="49"/>
      <x:c r="AZ198" s="49"/>
    </x:row>
    <x:row r="199">
      <x:c r="A199" s="49"/>
      <x:c r="B199" s="49"/>
      <x:c r="C199" s="49"/>
      <x:c r="D199" s="49"/>
      <x:c r="E199" s="49"/>
      <x:c r="F199" s="49"/>
      <x:c r="G199" s="49"/>
      <x:c r="H199" s="49"/>
      <x:c r="I199" s="49"/>
      <x:c r="J199" s="49"/>
      <x:c r="K199" s="49"/>
      <x:c r="L199" s="49"/>
      <x:c r="M199" s="49"/>
      <x:c r="N199" s="49"/>
      <x:c r="O199" s="49"/>
      <x:c r="P199" s="49"/>
      <x:c r="Q199" s="49"/>
      <x:c r="R199" s="49"/>
      <x:c r="S199" s="49"/>
      <x:c r="T199" s="49"/>
      <x:c r="U199" s="49"/>
      <x:c r="V199" s="49"/>
      <x:c r="W199" s="49"/>
      <x:c r="X199" s="49"/>
      <x:c r="Y199" s="49"/>
      <x:c r="Z199" s="49"/>
      <x:c r="AA199" s="49"/>
      <x:c r="AB199" s="49"/>
      <x:c r="AC199" s="49"/>
      <x:c r="AD199" s="49"/>
      <x:c r="AE199" s="49"/>
      <x:c r="AF199" s="49"/>
      <x:c r="AG199" s="49"/>
      <x:c r="AH199" s="49"/>
      <x:c r="AI199" s="49"/>
      <x:c r="AJ199" s="49"/>
      <x:c r="AK199" s="49"/>
      <x:c r="AL199" s="49"/>
      <x:c r="AM199" s="49"/>
      <x:c r="AN199" s="49"/>
      <x:c r="AO199" s="49"/>
      <x:c r="AP199" s="49"/>
      <x:c r="AQ199" s="49"/>
      <x:c r="AR199" s="49"/>
      <x:c r="AS199" s="49"/>
      <x:c r="AT199" s="49"/>
      <x:c r="AU199" s="49"/>
      <x:c r="AV199" s="49"/>
      <x:c r="AW199" s="49"/>
      <x:c r="AX199" s="49"/>
      <x:c r="AY199" s="49"/>
      <x:c r="AZ199" s="49"/>
    </x:row>
    <x:row r="200">
      <x:c r="A200" s="49"/>
      <x:c r="B200" s="49"/>
      <x:c r="C200" s="49"/>
      <x:c r="D200" s="49"/>
      <x:c r="E200" s="49"/>
      <x:c r="F200" s="49"/>
      <x:c r="G200" s="49"/>
      <x:c r="H200" s="49"/>
      <x:c r="I200" s="49"/>
      <x:c r="J200" s="49"/>
      <x:c r="K200" s="49"/>
      <x:c r="L200" s="49"/>
      <x:c r="M200" s="49"/>
      <x:c r="N200" s="49"/>
      <x:c r="O200" s="49"/>
      <x:c r="P200" s="49"/>
      <x:c r="Q200" s="49"/>
      <x:c r="R200" s="49"/>
      <x:c r="S200" s="49"/>
      <x:c r="T200" s="49"/>
      <x:c r="U200" s="49"/>
      <x:c r="V200" s="49"/>
      <x:c r="W200" s="49"/>
      <x:c r="X200" s="49"/>
      <x:c r="Y200" s="49"/>
      <x:c r="Z200" s="49"/>
      <x:c r="AA200" s="49"/>
      <x:c r="AB200" s="49"/>
      <x:c r="AC200" s="49"/>
      <x:c r="AD200" s="49"/>
      <x:c r="AE200" s="49"/>
      <x:c r="AF200" s="49"/>
      <x:c r="AG200" s="49"/>
      <x:c r="AH200" s="49"/>
      <x:c r="AI200" s="49"/>
      <x:c r="AJ200" s="49"/>
      <x:c r="AK200" s="49"/>
      <x:c r="AL200" s="49"/>
      <x:c r="AM200" s="49"/>
      <x:c r="AN200" s="49"/>
      <x:c r="AO200" s="49"/>
      <x:c r="AP200" s="49"/>
      <x:c r="AQ200" s="49"/>
      <x:c r="AR200" s="49"/>
      <x:c r="AS200" s="49"/>
      <x:c r="AT200" s="49"/>
      <x:c r="AU200" s="49"/>
      <x:c r="AV200" s="49"/>
      <x:c r="AW200" s="49"/>
      <x:c r="AX200" s="49"/>
      <x:c r="AY200" s="49"/>
      <x:c r="AZ200" s="49"/>
    </x:row>
  </x:sheetData>
  <x:mergeCells>
    <x:mergeCell ref="A1:K1"/>
    <x:mergeCell ref="A2:K3"/>
  </x:mergeCells>
  <x:pageMargins left="0.7" right="0.7" top="0.75" bottom="0.75" header="0.3" footer="0.3"/>
  <x:drawing xmlns:r="http://schemas.openxmlformats.org/officeDocument/2006/relationships" r:id="R9625e1ec57f1483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7" hidden="0" customWidth="1"/>
    <x:col min="3" max="3" width="17" hidden="0" customWidth="1"/>
    <x:col min="4" max="4" width="17" hidden="0" customWidth="1"/>
    <x:col min="5" max="5" width="22" hidden="0" customWidth="1"/>
    <x:col min="6" max="6" width="23" hidden="0" customWidth="1"/>
    <x:col min="7" max="7" width="22" hidden="0" customWidth="1"/>
    <x:col min="8" max="8" width="20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28" customHeight="1">
      <x:c r="A1" s="226" t="str">
        <x:v>Monte Carlo 压力测试</x:v>
      </x:c>
      <x:c r="B1" s="132"/>
      <x:c r="C1" s="132"/>
      <x:c r="D1" s="132"/>
      <x:c r="E1" s="132"/>
      <x:c r="F1" s="132"/>
      <x:c r="G1" s="132"/>
      <x:c r="H1" s="132"/>
      <x:c r="I1" s="132"/>
      <x:c r="J1" s="132"/>
      <x:c r="K1" s="49"/>
      <x:c r="L1" s="49"/>
      <x:c r="M1" s="49"/>
      <x:c r="N1" s="49"/>
      <x:c r="O1" s="49"/>
      <x:c r="P1" s="49"/>
      <x:c r="Q1" s="49"/>
      <x:c r="R1" s="49"/>
      <x:c r="S1" s="49"/>
      <x:c r="T1" s="49"/>
      <x:c r="U1" s="49"/>
      <x:c r="V1" s="49"/>
      <x:c r="W1" s="49"/>
      <x:c r="X1" s="49"/>
      <x:c r="Y1" s="49"/>
      <x:c r="Z1" s="49"/>
      <x:c r="AA1" s="49"/>
      <x:c r="AB1" s="49"/>
      <x:c r="AC1" s="49"/>
      <x:c r="AD1" s="49"/>
      <x:c r="AE1" s="49"/>
      <x:c r="AF1" s="49"/>
      <x:c r="AG1" s="49"/>
      <x:c r="AH1" s="49"/>
      <x:c r="AI1" s="49"/>
      <x:c r="AJ1" s="49"/>
      <x:c r="AK1" s="49"/>
      <x:c r="AL1" s="49"/>
      <x:c r="AM1" s="49"/>
      <x:c r="AN1" s="49"/>
      <x:c r="AO1" s="49"/>
      <x:c r="AP1" s="49"/>
      <x:c r="AQ1" s="49"/>
      <x:c r="AR1" s="49"/>
      <x:c r="AS1" s="49"/>
      <x:c r="AT1" s="49"/>
      <x:c r="AU1" s="49"/>
      <x:c r="AV1" s="49"/>
      <x:c r="AW1" s="49"/>
      <x:c r="AX1" s="49"/>
      <x:c r="AY1" s="49"/>
      <x:c r="AZ1" s="49"/>
    </x:row>
    <x:row r="2" ht="22" customHeight="1">
      <x:c r="A2" s="45" t="str">
        <x:v>600 次 Python 模拟，随机扰动需求、价格、汇率、供应商产能及低概率供应中断。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9"/>
      <x:c r="L2" s="49"/>
      <x:c r="M2" s="49"/>
      <x:c r="N2" s="49"/>
      <x:c r="O2" s="49"/>
      <x:c r="P2" s="49"/>
      <x:c r="Q2" s="49"/>
      <x:c r="R2" s="49"/>
      <x:c r="S2" s="49"/>
      <x:c r="T2" s="49"/>
      <x:c r="U2" s="49"/>
      <x:c r="V2" s="49"/>
      <x:c r="W2" s="49"/>
      <x:c r="X2" s="49"/>
      <x:c r="Y2" s="49"/>
      <x:c r="Z2" s="49"/>
      <x:c r="AA2" s="49"/>
      <x:c r="AB2" s="49"/>
      <x:c r="AC2" s="49"/>
      <x:c r="AD2" s="49"/>
      <x:c r="AE2" s="49"/>
      <x:c r="AF2" s="49"/>
      <x:c r="AG2" s="49"/>
      <x:c r="AH2" s="49"/>
      <x:c r="AI2" s="49"/>
      <x:c r="AJ2" s="49"/>
      <x:c r="AK2" s="49"/>
      <x:c r="AL2" s="49"/>
      <x:c r="AM2" s="49"/>
      <x:c r="AN2" s="49"/>
      <x:c r="AO2" s="49"/>
      <x:c r="AP2" s="49"/>
      <x:c r="AQ2" s="49"/>
      <x:c r="AR2" s="49"/>
      <x:c r="AS2" s="49"/>
      <x:c r="AT2" s="49"/>
      <x:c r="AU2" s="49"/>
      <x:c r="AV2" s="49"/>
      <x:c r="AW2" s="49"/>
      <x:c r="AX2" s="49"/>
      <x:c r="AY2" s="49"/>
      <x:c r="AZ2" s="49"/>
    </x:row>
    <x:row r="3" ht="22" customHeight="1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9"/>
      <x:c r="L3" s="49"/>
      <x:c r="M3" s="49"/>
      <x:c r="N3" s="49"/>
      <x:c r="O3" s="49"/>
      <x:c r="P3" s="49"/>
      <x:c r="Q3" s="49"/>
      <x:c r="R3" s="49"/>
      <x:c r="S3" s="49"/>
      <x:c r="T3" s="49"/>
      <x:c r="U3" s="49"/>
      <x:c r="V3" s="49"/>
      <x:c r="W3" s="49"/>
      <x:c r="X3" s="49"/>
      <x:c r="Y3" s="49"/>
      <x:c r="Z3" s="49"/>
      <x:c r="AA3" s="49"/>
      <x:c r="AB3" s="49"/>
      <x:c r="AC3" s="49"/>
      <x:c r="AD3" s="49"/>
      <x:c r="AE3" s="49"/>
      <x:c r="AF3" s="49"/>
      <x:c r="AG3" s="49"/>
      <x:c r="AH3" s="49"/>
      <x:c r="AI3" s="49"/>
      <x:c r="AJ3" s="49"/>
      <x:c r="AK3" s="49"/>
      <x:c r="AL3" s="49"/>
      <x:c r="AM3" s="49"/>
      <x:c r="AN3" s="49"/>
      <x:c r="AO3" s="49"/>
      <x:c r="AP3" s="49"/>
      <x:c r="AQ3" s="49"/>
      <x:c r="AR3" s="49"/>
      <x:c r="AS3" s="49"/>
      <x:c r="AT3" s="49"/>
      <x:c r="AU3" s="49"/>
      <x:c r="AV3" s="49"/>
      <x:c r="AW3" s="49"/>
      <x:c r="AX3" s="49"/>
      <x:c r="AY3" s="49"/>
      <x:c r="AZ3" s="49"/>
    </x:row>
    <x:row r="4">
      <x:c r="A4" s="49"/>
      <x:c r="B4" s="49"/>
      <x:c r="C4" s="49"/>
      <x:c r="D4" s="49"/>
      <x:c r="E4" s="49"/>
      <x:c r="F4" s="49"/>
      <x:c r="G4" s="49"/>
      <x:c r="H4" s="49"/>
      <x:c r="I4" s="49"/>
      <x:c r="J4" s="49"/>
      <x:c r="K4" s="49"/>
      <x:c r="L4" s="49"/>
      <x:c r="M4" s="49"/>
      <x:c r="N4" s="49"/>
      <x:c r="O4" s="49"/>
      <x:c r="P4" s="49"/>
      <x:c r="Q4" s="49"/>
      <x:c r="R4" s="49"/>
      <x:c r="S4" s="49"/>
      <x:c r="T4" s="49"/>
      <x:c r="U4" s="49"/>
      <x:c r="V4" s="49"/>
      <x:c r="W4" s="49"/>
      <x:c r="X4" s="49"/>
      <x:c r="Y4" s="49"/>
      <x:c r="Z4" s="49"/>
      <x:c r="AA4" s="49"/>
      <x:c r="AB4" s="49"/>
      <x:c r="AC4" s="49"/>
      <x:c r="AD4" s="49"/>
      <x:c r="AE4" s="49"/>
      <x:c r="AF4" s="49"/>
      <x:c r="AG4" s="49"/>
      <x:c r="AH4" s="49"/>
      <x:c r="AI4" s="49"/>
      <x:c r="AJ4" s="49"/>
      <x:c r="AK4" s="49"/>
      <x:c r="AL4" s="49"/>
      <x:c r="AM4" s="49"/>
      <x:c r="AN4" s="49"/>
      <x:c r="AO4" s="49"/>
      <x:c r="AP4" s="49"/>
      <x:c r="AQ4" s="49"/>
      <x:c r="AR4" s="49"/>
      <x:c r="AS4" s="49"/>
      <x:c r="AT4" s="49"/>
      <x:c r="AU4" s="49"/>
      <x:c r="AV4" s="49"/>
      <x:c r="AW4" s="49"/>
      <x:c r="AX4" s="49"/>
      <x:c r="AY4" s="49"/>
      <x:c r="AZ4" s="49"/>
    </x:row>
    <x:row r="5">
      <x:c r="A5" s="144" t="str">
        <x:v>策略</x:v>
      </x:c>
      <x:c r="B5" s="144" t="str">
        <x:v>平均成本(CNY)</x:v>
      </x:c>
      <x:c r="C5" s="144" t="str">
        <x:v>P50 成本(CNY)</x:v>
      </x:c>
      <x:c r="D5" s="144" t="str">
        <x:v>P90 成本(CNY)</x:v>
      </x:c>
      <x:c r="E5" s="144" t="str">
        <x:v>平均物料缺口率</x:v>
      </x:c>
      <x:c r="F5" s="144" t="str">
        <x:v>任一物料出现缺货的概率</x:v>
      </x:c>
      <x:c r="G5" s="144" t="str">
        <x:v>P90 最大物料缺口率</x:v>
      </x:c>
      <x:c r="H5" s="144" t="str">
        <x:v>平均成本加权风险</x:v>
      </x:c>
      <x:c r="I5" s="49"/>
      <x:c r="J5" s="144" t="str">
        <x:v>策略</x:v>
      </x:c>
      <x:c r="K5" s="144" t="str">
        <x:v>平均成本（百万元）</x:v>
      </x:c>
      <x:c r="L5" s="144" t="str">
        <x:v>任一物料缺货概率</x:v>
      </x:c>
      <x:c r="M5" s="144" t="str">
        <x:v>平均风险</x:v>
      </x:c>
      <x:c r="N5" s="49"/>
      <x:c r="O5" s="231" t="str">
        <x:v>策略</x:v>
      </x:c>
      <x:c r="P5" s="231" t="str">
        <x:v>任一物料缺货概率</x:v>
      </x:c>
      <x:c r="Q5" s="49"/>
      <x:c r="R5" s="49"/>
      <x:c r="S5" s="49"/>
      <x:c r="T5" s="49"/>
      <x:c r="U5" s="49"/>
      <x:c r="V5" s="49"/>
      <x:c r="W5" s="49"/>
      <x:c r="X5" s="49"/>
      <x:c r="Y5" s="49"/>
      <x:c r="Z5" s="49"/>
      <x:c r="AA5" s="49"/>
      <x:c r="AB5" s="49"/>
      <x:c r="AC5" s="49"/>
      <x:c r="AD5" s="49"/>
      <x:c r="AE5" s="49"/>
      <x:c r="AF5" s="49"/>
      <x:c r="AG5" s="49"/>
      <x:c r="AH5" s="49"/>
      <x:c r="AI5" s="49"/>
      <x:c r="AJ5" s="49"/>
      <x:c r="AK5" s="49"/>
      <x:c r="AL5" s="49"/>
      <x:c r="AM5" s="49"/>
      <x:c r="AN5" s="49"/>
      <x:c r="AO5" s="49"/>
      <x:c r="AP5" s="49"/>
      <x:c r="AQ5" s="49"/>
      <x:c r="AR5" s="49"/>
      <x:c r="AS5" s="49"/>
      <x:c r="AT5" s="49"/>
      <x:c r="AU5" s="49"/>
      <x:c r="AV5" s="49"/>
      <x:c r="AW5" s="49"/>
      <x:c r="AX5" s="49"/>
      <x:c r="AY5" s="49"/>
      <x:c r="AZ5" s="49"/>
    </x:row>
    <x:row r="6">
      <x:c r="A6" s="49" t="str">
        <x:v>均衡</x:v>
      </x:c>
      <x:c r="B6" s="175" t="n">
        <x:v>170462250.00065535</x:v>
      </x:c>
      <x:c r="C6" s="175" t="n">
        <x:v>171109794.81462866</x:v>
      </x:c>
      <x:c r="D6" s="175" t="n">
        <x:v>194134351.48848507</x:v>
      </x:c>
      <x:c r="E6" s="214" t="n">
        <x:v>0.022207182309745666</x:v>
      </x:c>
      <x:c r="F6" s="214" t="n">
        <x:v>0.5183333333333333</x:v>
      </x:c>
      <x:c r="G6" s="214" t="n">
        <x:v>0.433277815709879</x:v>
      </x:c>
      <x:c r="H6" s="216" t="n">
        <x:v>35.16055717551175</x:v>
      </x:c>
      <x:c r="I6" s="49"/>
      <x:c r="J6" s="49" t="str">
        <x:v>均衡</x:v>
      </x:c>
      <x:c r="K6" s="216" t="n">
        <x:v>170.46225000065536</x:v>
      </x:c>
      <x:c r="L6" s="214" t="n">
        <x:v>0.5183333333333333</x:v>
      </x:c>
      <x:c r="M6" s="216" t="n">
        <x:v>35.16055717551175</x:v>
      </x:c>
      <x:c r="N6" s="49"/>
      <x:c r="O6" s="49" t="str">
        <x:v>均衡</x:v>
      </x:c>
      <x:c r="P6" s="214" t="n">
        <x:v>0.5183333333333333</x:v>
      </x:c>
      <x:c r="Q6" s="49"/>
      <x:c r="R6" s="49"/>
      <x:c r="S6" s="49"/>
      <x:c r="T6" s="49"/>
      <x:c r="U6" s="49"/>
      <x:c r="V6" s="49"/>
      <x:c r="W6" s="49"/>
      <x:c r="X6" s="49"/>
      <x:c r="Y6" s="49"/>
      <x:c r="Z6" s="49"/>
      <x:c r="AA6" s="49"/>
      <x:c r="AB6" s="49"/>
      <x:c r="AC6" s="49"/>
      <x:c r="AD6" s="49"/>
      <x:c r="AE6" s="49"/>
      <x:c r="AF6" s="49"/>
      <x:c r="AG6" s="49"/>
      <x:c r="AH6" s="49"/>
      <x:c r="AI6" s="49"/>
      <x:c r="AJ6" s="49"/>
      <x:c r="AK6" s="49"/>
      <x:c r="AL6" s="49"/>
      <x:c r="AM6" s="49"/>
      <x:c r="AN6" s="49"/>
      <x:c r="AO6" s="49"/>
      <x:c r="AP6" s="49"/>
      <x:c r="AQ6" s="49"/>
      <x:c r="AR6" s="49"/>
      <x:c r="AS6" s="49"/>
      <x:c r="AT6" s="49"/>
      <x:c r="AU6" s="49"/>
      <x:c r="AV6" s="49"/>
      <x:c r="AW6" s="49"/>
      <x:c r="AX6" s="49"/>
      <x:c r="AY6" s="49"/>
      <x:c r="AZ6" s="49"/>
    </x:row>
    <x:row r="7">
      <x:c r="A7" s="49" t="str">
        <x:v>最低成本</x:v>
      </x:c>
      <x:c r="B7" s="175" t="n">
        <x:v>168621405.267616</x:v>
      </x:c>
      <x:c r="C7" s="175" t="n">
        <x:v>169302099.27349657</x:v>
      </x:c>
      <x:c r="D7" s="175" t="n">
        <x:v>192548276.81816494</x:v>
      </x:c>
      <x:c r="E7" s="214" t="n">
        <x:v>0.025355186244643235</x:v>
      </x:c>
      <x:c r="F7" s="214" t="n">
        <x:v>0.49166666666666664</x:v>
      </x:c>
      <x:c r="G7" s="214" t="n">
        <x:v>0.5314252715820077</x:v>
      </x:c>
      <x:c r="H7" s="216" t="n">
        <x:v>38.54159604654156</x:v>
      </x:c>
      <x:c r="I7" s="49"/>
      <x:c r="J7" s="49" t="str">
        <x:v>最低成本</x:v>
      </x:c>
      <x:c r="K7" s="216" t="n">
        <x:v>168.621405267616</x:v>
      </x:c>
      <x:c r="L7" s="214" t="n">
        <x:v>0.49166666666666664</x:v>
      </x:c>
      <x:c r="M7" s="216" t="n">
        <x:v>38.54159604654156</x:v>
      </x:c>
      <x:c r="N7" s="49"/>
      <x:c r="O7" s="49" t="str">
        <x:v>最低成本</x:v>
      </x:c>
      <x:c r="P7" s="214" t="n">
        <x:v>0.49166666666666664</x:v>
      </x:c>
      <x:c r="Q7" s="49"/>
      <x:c r="R7" s="49"/>
      <x:c r="S7" s="49"/>
      <x:c r="T7" s="49"/>
      <x:c r="U7" s="49"/>
      <x:c r="V7" s="49"/>
      <x:c r="W7" s="49"/>
      <x:c r="X7" s="49"/>
      <x:c r="Y7" s="49"/>
      <x:c r="Z7" s="49"/>
      <x:c r="AA7" s="49"/>
      <x:c r="AB7" s="49"/>
      <x:c r="AC7" s="49"/>
      <x:c r="AD7" s="49"/>
      <x:c r="AE7" s="49"/>
      <x:c r="AF7" s="49"/>
      <x:c r="AG7" s="49"/>
      <x:c r="AH7" s="49"/>
      <x:c r="AI7" s="49"/>
      <x:c r="AJ7" s="49"/>
      <x:c r="AK7" s="49"/>
      <x:c r="AL7" s="49"/>
      <x:c r="AM7" s="49"/>
      <x:c r="AN7" s="49"/>
      <x:c r="AO7" s="49"/>
      <x:c r="AP7" s="49"/>
      <x:c r="AQ7" s="49"/>
      <x:c r="AR7" s="49"/>
      <x:c r="AS7" s="49"/>
      <x:c r="AT7" s="49"/>
      <x:c r="AU7" s="49"/>
      <x:c r="AV7" s="49"/>
      <x:c r="AW7" s="49"/>
      <x:c r="AX7" s="49"/>
      <x:c r="AY7" s="49"/>
      <x:c r="AZ7" s="49"/>
    </x:row>
    <x:row r="8">
      <x:c r="A8" s="49" t="str">
        <x:v>韧性优先</x:v>
      </x:c>
      <x:c r="B8" s="175" t="n">
        <x:v>175404914.52181703</x:v>
      </x:c>
      <x:c r="C8" s="175" t="n">
        <x:v>176208191.8377857</x:v>
      </x:c>
      <x:c r="D8" s="175" t="n">
        <x:v>199413080.14512908</x:v>
      </x:c>
      <x:c r="E8" s="214" t="n">
        <x:v>0.02090004091334995</x:v>
      </x:c>
      <x:c r="F8" s="214" t="n">
        <x:v>0.5</x:v>
      </x:c>
      <x:c r="G8" s="214" t="n">
        <x:v>0.3446831137556994</x:v>
      </x:c>
      <x:c r="H8" s="216" t="n">
        <x:v>30.600473087149215</x:v>
      </x:c>
      <x:c r="I8" s="49"/>
      <x:c r="J8" s="49" t="str">
        <x:v>韧性优先</x:v>
      </x:c>
      <x:c r="K8" s="216" t="n">
        <x:v>175.40491452181703</x:v>
      </x:c>
      <x:c r="L8" s="214" t="n">
        <x:v>0.5</x:v>
      </x:c>
      <x:c r="M8" s="216" t="n">
        <x:v>30.600473087149215</x:v>
      </x:c>
      <x:c r="N8" s="49"/>
      <x:c r="O8" s="49" t="str">
        <x:v>韧性优先</x:v>
      </x:c>
      <x:c r="P8" s="214" t="n">
        <x:v>0.5</x:v>
      </x:c>
      <x:c r="Q8" s="49"/>
      <x:c r="R8" s="49"/>
      <x:c r="S8" s="49"/>
      <x:c r="T8" s="49"/>
      <x:c r="U8" s="49"/>
      <x:c r="V8" s="49"/>
      <x:c r="W8" s="49"/>
      <x:c r="X8" s="49"/>
      <x:c r="Y8" s="49"/>
      <x:c r="Z8" s="49"/>
      <x:c r="AA8" s="49"/>
      <x:c r="AB8" s="49"/>
      <x:c r="AC8" s="49"/>
      <x:c r="AD8" s="49"/>
      <x:c r="AE8" s="49"/>
      <x:c r="AF8" s="49"/>
      <x:c r="AG8" s="49"/>
      <x:c r="AH8" s="49"/>
      <x:c r="AI8" s="49"/>
      <x:c r="AJ8" s="49"/>
      <x:c r="AK8" s="49"/>
      <x:c r="AL8" s="49"/>
      <x:c r="AM8" s="49"/>
      <x:c r="AN8" s="49"/>
      <x:c r="AO8" s="49"/>
      <x:c r="AP8" s="49"/>
      <x:c r="AQ8" s="49"/>
      <x:c r="AR8" s="49"/>
      <x:c r="AS8" s="49"/>
      <x:c r="AT8" s="49"/>
      <x:c r="AU8" s="49"/>
      <x:c r="AV8" s="49"/>
      <x:c r="AW8" s="49"/>
      <x:c r="AX8" s="49"/>
      <x:c r="AY8" s="49"/>
      <x:c r="AZ8" s="49"/>
    </x:row>
    <x:row r="9">
      <x:c r="A9" s="49"/>
      <x:c r="B9" s="49"/>
      <x:c r="C9" s="49"/>
      <x:c r="D9" s="49"/>
      <x:c r="E9" s="49"/>
      <x:c r="F9" s="49"/>
      <x:c r="G9" s="49"/>
      <x:c r="H9" s="49"/>
      <x:c r="I9" s="49"/>
      <x:c r="J9" s="49"/>
      <x:c r="K9" s="49"/>
      <x:c r="L9" s="49"/>
      <x:c r="M9" s="49"/>
      <x:c r="N9" s="49"/>
      <x:c r="O9" s="49"/>
      <x:c r="P9" s="49"/>
      <x:c r="Q9" s="49"/>
      <x:c r="R9" s="49"/>
      <x:c r="S9" s="49"/>
      <x:c r="T9" s="49"/>
      <x:c r="U9" s="49"/>
      <x:c r="V9" s="49"/>
      <x:c r="W9" s="49"/>
      <x:c r="X9" s="49"/>
      <x:c r="Y9" s="49"/>
      <x:c r="Z9" s="49"/>
      <x:c r="AA9" s="49"/>
      <x:c r="AB9" s="49"/>
      <x:c r="AC9" s="49"/>
      <x:c r="AD9" s="49"/>
      <x:c r="AE9" s="49"/>
      <x:c r="AF9" s="49"/>
      <x:c r="AG9" s="49"/>
      <x:c r="AH9" s="49"/>
      <x:c r="AI9" s="49"/>
      <x:c r="AJ9" s="49"/>
      <x:c r="AK9" s="49"/>
      <x:c r="AL9" s="49"/>
      <x:c r="AM9" s="49"/>
      <x:c r="AN9" s="49"/>
      <x:c r="AO9" s="49"/>
      <x:c r="AP9" s="49"/>
      <x:c r="AQ9" s="49"/>
      <x:c r="AR9" s="49"/>
      <x:c r="AS9" s="49"/>
      <x:c r="AT9" s="49"/>
      <x:c r="AU9" s="49"/>
      <x:c r="AV9" s="49"/>
      <x:c r="AW9" s="49"/>
      <x:c r="AX9" s="49"/>
      <x:c r="AY9" s="49"/>
      <x:c r="AZ9" s="49"/>
    </x:row>
    <x:row r="10">
      <x:c r="A10" s="49"/>
      <x:c r="B10" s="49"/>
      <x:c r="C10" s="49"/>
      <x:c r="D10" s="49"/>
      <x:c r="E10" s="49"/>
      <x:c r="F10" s="49"/>
      <x:c r="G10" s="49"/>
      <x:c r="H10" s="49"/>
      <x:c r="I10" s="49"/>
      <x:c r="J10" s="49"/>
      <x:c r="K10" s="49"/>
      <x:c r="L10" s="49"/>
      <x:c r="M10" s="49"/>
      <x:c r="N10" s="49"/>
      <x:c r="O10" s="49"/>
      <x:c r="P10" s="49"/>
      <x:c r="Q10" s="49"/>
      <x:c r="R10" s="49"/>
      <x:c r="S10" s="49"/>
      <x:c r="T10" s="49"/>
      <x:c r="U10" s="49"/>
      <x:c r="V10" s="49"/>
      <x:c r="W10" s="49"/>
      <x:c r="X10" s="49"/>
      <x:c r="Y10" s="49"/>
      <x:c r="Z10" s="49"/>
      <x:c r="AA10" s="49"/>
      <x:c r="AB10" s="49"/>
      <x:c r="AC10" s="49"/>
      <x:c r="AD10" s="49"/>
      <x:c r="AE10" s="49"/>
      <x:c r="AF10" s="49"/>
      <x:c r="AG10" s="49"/>
      <x:c r="AH10" s="49"/>
      <x:c r="AI10" s="49"/>
      <x:c r="AJ10" s="49"/>
      <x:c r="AK10" s="49"/>
      <x:c r="AL10" s="49"/>
      <x:c r="AM10" s="49"/>
      <x:c r="AN10" s="49"/>
      <x:c r="AO10" s="49"/>
      <x:c r="AP10" s="49"/>
      <x:c r="AQ10" s="49"/>
      <x:c r="AR10" s="49"/>
      <x:c r="AS10" s="49"/>
      <x:c r="AT10" s="49"/>
      <x:c r="AU10" s="49"/>
      <x:c r="AV10" s="49"/>
      <x:c r="AW10" s="49"/>
      <x:c r="AX10" s="49"/>
      <x:c r="AY10" s="49"/>
      <x:c r="AZ10" s="49"/>
    </x:row>
    <x:row r="11">
      <x:c r="A11" s="45" t="str">
        <x:v>说明：本压力测试不是预测，而是基于模拟参数的稳健性演示。“缺货概率”表示在一次模拟中至少有一种物料出现模型化缺口，并不代表真实工厂停线概率。</x:v>
      </x:c>
      <x:c r="B11" s="45"/>
      <x:c r="C11" s="45"/>
      <x:c r="D11" s="45"/>
      <x:c r="E11" s="45"/>
      <x:c r="F11" s="45"/>
      <x:c r="G11" s="45"/>
      <x:c r="H11" s="45"/>
      <x:c r="I11" s="49"/>
      <x:c r="J11" s="49"/>
      <x:c r="K11" s="49"/>
      <x:c r="L11" s="49"/>
      <x:c r="M11" s="49"/>
      <x:c r="N11" s="49"/>
      <x:c r="O11" s="49"/>
      <x:c r="P11" s="49"/>
      <x:c r="Q11" s="49"/>
      <x:c r="R11" s="49"/>
      <x:c r="S11" s="49"/>
      <x:c r="T11" s="49"/>
      <x:c r="U11" s="49"/>
      <x:c r="V11" s="49"/>
      <x:c r="W11" s="49"/>
      <x:c r="X11" s="49"/>
      <x:c r="Y11" s="49"/>
      <x:c r="Z11" s="49"/>
      <x:c r="AA11" s="49"/>
      <x:c r="AB11" s="49"/>
      <x:c r="AC11" s="49"/>
      <x:c r="AD11" s="49"/>
      <x:c r="AE11" s="49"/>
      <x:c r="AF11" s="49"/>
      <x:c r="AG11" s="49"/>
      <x:c r="AH11" s="49"/>
      <x:c r="AI11" s="49"/>
      <x:c r="AJ11" s="49"/>
      <x:c r="AK11" s="49"/>
      <x:c r="AL11" s="49"/>
      <x:c r="AM11" s="49"/>
      <x:c r="AN11" s="49"/>
      <x:c r="AO11" s="49"/>
      <x:c r="AP11" s="49"/>
      <x:c r="AQ11" s="49"/>
      <x:c r="AR11" s="49"/>
      <x:c r="AS11" s="49"/>
      <x:c r="AT11" s="49"/>
      <x:c r="AU11" s="49"/>
      <x:c r="AV11" s="49"/>
      <x:c r="AW11" s="49"/>
      <x:c r="AX11" s="49"/>
      <x:c r="AY11" s="49"/>
      <x:c r="AZ11" s="49"/>
    </x:row>
    <x:row r="12">
      <x:c r="A12" s="45"/>
      <x:c r="B12" s="45"/>
      <x:c r="C12" s="45"/>
      <x:c r="D12" s="45"/>
      <x:c r="E12" s="45"/>
      <x:c r="F12" s="45"/>
      <x:c r="G12" s="45"/>
      <x:c r="H12" s="45"/>
      <x:c r="I12" s="49"/>
      <x:c r="J12" s="49"/>
      <x:c r="K12" s="49"/>
      <x:c r="L12" s="49"/>
      <x:c r="M12" s="49"/>
      <x:c r="N12" s="49"/>
      <x:c r="O12" s="49"/>
      <x:c r="P12" s="49"/>
      <x:c r="Q12" s="49"/>
      <x:c r="R12" s="49"/>
      <x:c r="S12" s="49"/>
      <x:c r="T12" s="49"/>
      <x:c r="U12" s="49"/>
      <x:c r="V12" s="49"/>
      <x:c r="W12" s="49"/>
      <x:c r="X12" s="49"/>
      <x:c r="Y12" s="49"/>
      <x:c r="Z12" s="49"/>
      <x:c r="AA12" s="49"/>
      <x:c r="AB12" s="49"/>
      <x:c r="AC12" s="49"/>
      <x:c r="AD12" s="49"/>
      <x:c r="AE12" s="49"/>
      <x:c r="AF12" s="49"/>
      <x:c r="AG12" s="49"/>
      <x:c r="AH12" s="49"/>
      <x:c r="AI12" s="49"/>
      <x:c r="AJ12" s="49"/>
      <x:c r="AK12" s="49"/>
      <x:c r="AL12" s="49"/>
      <x:c r="AM12" s="49"/>
      <x:c r="AN12" s="49"/>
      <x:c r="AO12" s="49"/>
      <x:c r="AP12" s="49"/>
      <x:c r="AQ12" s="49"/>
      <x:c r="AR12" s="49"/>
      <x:c r="AS12" s="49"/>
      <x:c r="AT12" s="49"/>
      <x:c r="AU12" s="49"/>
      <x:c r="AV12" s="49"/>
      <x:c r="AW12" s="49"/>
      <x:c r="AX12" s="49"/>
      <x:c r="AY12" s="49"/>
      <x:c r="AZ12" s="49"/>
    </x:row>
    <x:row r="13">
      <x:c r="A13" s="45"/>
      <x:c r="B13" s="45"/>
      <x:c r="C13" s="45"/>
      <x:c r="D13" s="45"/>
      <x:c r="E13" s="45"/>
      <x:c r="F13" s="45"/>
      <x:c r="G13" s="45"/>
      <x:c r="H13" s="45"/>
      <x:c r="I13" s="49"/>
      <x:c r="J13" s="49"/>
      <x:c r="K13" s="49"/>
      <x:c r="L13" s="49"/>
      <x:c r="M13" s="49"/>
      <x:c r="N13" s="49"/>
      <x:c r="O13" s="49"/>
      <x:c r="P13" s="49"/>
      <x:c r="Q13" s="49"/>
      <x:c r="R13" s="49"/>
      <x:c r="S13" s="49"/>
      <x:c r="T13" s="49"/>
      <x:c r="U13" s="49"/>
      <x:c r="V13" s="49"/>
      <x:c r="W13" s="49"/>
      <x:c r="X13" s="49"/>
      <x:c r="Y13" s="49"/>
      <x:c r="Z13" s="49"/>
      <x:c r="AA13" s="49"/>
      <x:c r="AB13" s="49"/>
      <x:c r="AC13" s="49"/>
      <x:c r="AD13" s="49"/>
      <x:c r="AE13" s="49"/>
      <x:c r="AF13" s="49"/>
      <x:c r="AG13" s="49"/>
      <x:c r="AH13" s="49"/>
      <x:c r="AI13" s="49"/>
      <x:c r="AJ13" s="49"/>
      <x:c r="AK13" s="49"/>
      <x:c r="AL13" s="49"/>
      <x:c r="AM13" s="49"/>
      <x:c r="AN13" s="49"/>
      <x:c r="AO13" s="49"/>
      <x:c r="AP13" s="49"/>
      <x:c r="AQ13" s="49"/>
      <x:c r="AR13" s="49"/>
      <x:c r="AS13" s="49"/>
      <x:c r="AT13" s="49"/>
      <x:c r="AU13" s="49"/>
      <x:c r="AV13" s="49"/>
      <x:c r="AW13" s="49"/>
      <x:c r="AX13" s="49"/>
      <x:c r="AY13" s="49"/>
      <x:c r="AZ13" s="49"/>
    </x:row>
    <x:row r="14">
      <x:c r="A14" s="45"/>
      <x:c r="B14" s="45"/>
      <x:c r="C14" s="45"/>
      <x:c r="D14" s="45"/>
      <x:c r="E14" s="45"/>
      <x:c r="F14" s="45"/>
      <x:c r="G14" s="45"/>
      <x:c r="H14" s="45"/>
      <x:c r="I14" s="49"/>
      <x:c r="J14" s="49"/>
      <x:c r="K14" s="49"/>
      <x:c r="L14" s="49"/>
      <x:c r="M14" s="49"/>
      <x:c r="N14" s="49"/>
      <x:c r="O14" s="49"/>
      <x:c r="P14" s="49"/>
      <x:c r="Q14" s="49"/>
      <x:c r="R14" s="49"/>
      <x:c r="S14" s="49"/>
      <x:c r="T14" s="49"/>
      <x:c r="U14" s="49"/>
      <x:c r="V14" s="49"/>
      <x:c r="W14" s="49"/>
      <x:c r="X14" s="49"/>
      <x:c r="Y14" s="49"/>
      <x:c r="Z14" s="49"/>
      <x:c r="AA14" s="49"/>
      <x:c r="AB14" s="49"/>
      <x:c r="AC14" s="49"/>
      <x:c r="AD14" s="49"/>
      <x:c r="AE14" s="49"/>
      <x:c r="AF14" s="49"/>
      <x:c r="AG14" s="49"/>
      <x:c r="AH14" s="49"/>
      <x:c r="AI14" s="49"/>
      <x:c r="AJ14" s="49"/>
      <x:c r="AK14" s="49"/>
      <x:c r="AL14" s="49"/>
      <x:c r="AM14" s="49"/>
      <x:c r="AN14" s="49"/>
      <x:c r="AO14" s="49"/>
      <x:c r="AP14" s="49"/>
      <x:c r="AQ14" s="49"/>
      <x:c r="AR14" s="49"/>
      <x:c r="AS14" s="49"/>
      <x:c r="AT14" s="49"/>
      <x:c r="AU14" s="49"/>
      <x:c r="AV14" s="49"/>
      <x:c r="AW14" s="49"/>
      <x:c r="AX14" s="49"/>
      <x:c r="AY14" s="49"/>
      <x:c r="AZ14" s="49"/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9"/>
      <x:c r="J15" s="49"/>
      <x:c r="K15" s="49"/>
      <x:c r="L15" s="49"/>
      <x:c r="M15" s="49"/>
      <x:c r="N15" s="49"/>
      <x:c r="O15" s="49"/>
      <x:c r="P15" s="49"/>
      <x:c r="Q15" s="49"/>
      <x:c r="R15" s="49"/>
      <x:c r="S15" s="49"/>
      <x:c r="T15" s="49"/>
      <x:c r="U15" s="49"/>
      <x:c r="V15" s="49"/>
      <x:c r="W15" s="49"/>
      <x:c r="X15" s="49"/>
      <x:c r="Y15" s="49"/>
      <x:c r="Z15" s="49"/>
      <x:c r="AA15" s="49"/>
      <x:c r="AB15" s="49"/>
      <x:c r="AC15" s="49"/>
      <x:c r="AD15" s="49"/>
      <x:c r="AE15" s="49"/>
      <x:c r="AF15" s="49"/>
      <x:c r="AG15" s="49"/>
      <x:c r="AH15" s="49"/>
      <x:c r="AI15" s="49"/>
      <x:c r="AJ15" s="49"/>
      <x:c r="AK15" s="49"/>
      <x:c r="AL15" s="49"/>
      <x:c r="AM15" s="49"/>
      <x:c r="AN15" s="49"/>
      <x:c r="AO15" s="49"/>
      <x:c r="AP15" s="49"/>
      <x:c r="AQ15" s="49"/>
      <x:c r="AR15" s="49"/>
      <x:c r="AS15" s="49"/>
      <x:c r="AT15" s="49"/>
      <x:c r="AU15" s="49"/>
      <x:c r="AV15" s="49"/>
      <x:c r="AW15" s="49"/>
      <x:c r="AX15" s="49"/>
      <x:c r="AY15" s="49"/>
      <x:c r="AZ15" s="49"/>
    </x:row>
    <x:row r="16">
      <x:c r="A16" s="49"/>
      <x:c r="B16" s="49"/>
      <x:c r="C16" s="49"/>
      <x:c r="D16" s="49"/>
      <x:c r="E16" s="49"/>
      <x:c r="F16" s="49"/>
      <x:c r="G16" s="49"/>
      <x:c r="H16" s="49"/>
      <x:c r="I16" s="49"/>
      <x:c r="J16" s="49"/>
      <x:c r="K16" s="49"/>
      <x:c r="L16" s="49"/>
      <x:c r="M16" s="49"/>
      <x:c r="N16" s="49"/>
      <x:c r="O16" s="49"/>
      <x:c r="P16" s="49"/>
      <x:c r="Q16" s="49"/>
      <x:c r="R16" s="49"/>
      <x:c r="S16" s="49"/>
      <x:c r="T16" s="49"/>
      <x:c r="U16" s="49"/>
      <x:c r="V16" s="49"/>
      <x:c r="W16" s="49"/>
      <x:c r="X16" s="49"/>
      <x:c r="Y16" s="49"/>
      <x:c r="Z16" s="49"/>
      <x:c r="AA16" s="49"/>
      <x:c r="AB16" s="49"/>
      <x:c r="AC16" s="49"/>
      <x:c r="AD16" s="49"/>
      <x:c r="AE16" s="49"/>
      <x:c r="AF16" s="49"/>
      <x:c r="AG16" s="49"/>
      <x:c r="AH16" s="49"/>
      <x:c r="AI16" s="49"/>
      <x:c r="AJ16" s="49"/>
      <x:c r="AK16" s="49"/>
      <x:c r="AL16" s="49"/>
      <x:c r="AM16" s="49"/>
      <x:c r="AN16" s="49"/>
      <x:c r="AO16" s="49"/>
      <x:c r="AP16" s="49"/>
      <x:c r="AQ16" s="49"/>
      <x:c r="AR16" s="49"/>
      <x:c r="AS16" s="49"/>
      <x:c r="AT16" s="49"/>
      <x:c r="AU16" s="49"/>
      <x:c r="AV16" s="49"/>
      <x:c r="AW16" s="49"/>
      <x:c r="AX16" s="49"/>
      <x:c r="AY16" s="49"/>
      <x:c r="AZ16" s="49"/>
    </x:row>
    <x:row r="17">
      <x:c r="A17" s="49"/>
      <x:c r="B17" s="49"/>
      <x:c r="C17" s="49"/>
      <x:c r="D17" s="49"/>
      <x:c r="E17" s="49"/>
      <x:c r="F17" s="49"/>
      <x:c r="G17" s="49"/>
      <x:c r="H17" s="49"/>
      <x:c r="I17" s="49"/>
      <x:c r="J17" s="49"/>
      <x:c r="K17" s="49"/>
      <x:c r="L17" s="49"/>
      <x:c r="M17" s="49"/>
      <x:c r="N17" s="49"/>
      <x:c r="O17" s="49"/>
      <x:c r="P17" s="49"/>
      <x:c r="Q17" s="49"/>
      <x:c r="R17" s="49"/>
      <x:c r="S17" s="49"/>
      <x:c r="T17" s="49"/>
      <x:c r="U17" s="49"/>
      <x:c r="V17" s="49"/>
      <x:c r="W17" s="49"/>
      <x:c r="X17" s="49"/>
      <x:c r="Y17" s="49"/>
      <x:c r="Z17" s="49"/>
      <x:c r="AA17" s="49"/>
      <x:c r="AB17" s="49"/>
      <x:c r="AC17" s="49"/>
      <x:c r="AD17" s="49"/>
      <x:c r="AE17" s="49"/>
      <x:c r="AF17" s="49"/>
      <x:c r="AG17" s="49"/>
      <x:c r="AH17" s="49"/>
      <x:c r="AI17" s="49"/>
      <x:c r="AJ17" s="49"/>
      <x:c r="AK17" s="49"/>
      <x:c r="AL17" s="49"/>
      <x:c r="AM17" s="49"/>
      <x:c r="AN17" s="49"/>
      <x:c r="AO17" s="49"/>
      <x:c r="AP17" s="49"/>
      <x:c r="AQ17" s="49"/>
      <x:c r="AR17" s="49"/>
      <x:c r="AS17" s="49"/>
      <x:c r="AT17" s="49"/>
      <x:c r="AU17" s="49"/>
      <x:c r="AV17" s="49"/>
      <x:c r="AW17" s="49"/>
      <x:c r="AX17" s="49"/>
      <x:c r="AY17" s="49"/>
      <x:c r="AZ17" s="49"/>
    </x:row>
    <x:row r="18">
      <x:c r="A18" s="49"/>
      <x:c r="B18" s="49"/>
      <x:c r="C18" s="49"/>
      <x:c r="D18" s="49"/>
      <x:c r="E18" s="49"/>
      <x:c r="F18" s="49"/>
      <x:c r="G18" s="49"/>
      <x:c r="H18" s="49"/>
      <x:c r="I18" s="49"/>
      <x:c r="J18" s="49"/>
      <x:c r="K18" s="49"/>
      <x:c r="L18" s="49"/>
      <x:c r="M18" s="49"/>
      <x:c r="N18" s="49"/>
      <x:c r="O18" s="49"/>
      <x:c r="P18" s="49"/>
      <x:c r="Q18" s="49"/>
      <x:c r="R18" s="49"/>
      <x:c r="S18" s="49"/>
      <x:c r="T18" s="49"/>
      <x:c r="U18" s="49"/>
      <x:c r="V18" s="49"/>
      <x:c r="W18" s="49"/>
      <x:c r="X18" s="49"/>
      <x:c r="Y18" s="49"/>
      <x:c r="Z18" s="49"/>
      <x:c r="AA18" s="49"/>
      <x:c r="AB18" s="49"/>
      <x:c r="AC18" s="49"/>
      <x:c r="AD18" s="49"/>
      <x:c r="AE18" s="49"/>
      <x:c r="AF18" s="49"/>
      <x:c r="AG18" s="49"/>
      <x:c r="AH18" s="49"/>
      <x:c r="AI18" s="49"/>
      <x:c r="AJ18" s="49"/>
      <x:c r="AK18" s="49"/>
      <x:c r="AL18" s="49"/>
      <x:c r="AM18" s="49"/>
      <x:c r="AN18" s="49"/>
      <x:c r="AO18" s="49"/>
      <x:c r="AP18" s="49"/>
      <x:c r="AQ18" s="49"/>
      <x:c r="AR18" s="49"/>
      <x:c r="AS18" s="49"/>
      <x:c r="AT18" s="49"/>
      <x:c r="AU18" s="49"/>
      <x:c r="AV18" s="49"/>
      <x:c r="AW18" s="49"/>
      <x:c r="AX18" s="49"/>
      <x:c r="AY18" s="49"/>
      <x:c r="AZ18" s="49"/>
    </x:row>
    <x:row r="19">
      <x:c r="A19" s="49"/>
      <x:c r="B19" s="49"/>
      <x:c r="C19" s="49"/>
      <x:c r="D19" s="49"/>
      <x:c r="E19" s="49"/>
      <x:c r="F19" s="49"/>
      <x:c r="G19" s="49"/>
      <x:c r="H19" s="49"/>
      <x:c r="I19" s="49"/>
      <x:c r="J19" s="49"/>
      <x:c r="K19" s="49"/>
      <x:c r="L19" s="49"/>
      <x:c r="M19" s="49"/>
      <x:c r="N19" s="49"/>
      <x:c r="O19" s="49"/>
      <x:c r="P19" s="49"/>
      <x:c r="Q19" s="49"/>
      <x:c r="R19" s="49"/>
      <x:c r="S19" s="49"/>
      <x:c r="T19" s="49"/>
      <x:c r="U19" s="49"/>
      <x:c r="V19" s="49"/>
      <x:c r="W19" s="49"/>
      <x:c r="X19" s="49"/>
      <x:c r="Y19" s="49"/>
      <x:c r="Z19" s="49"/>
      <x:c r="AA19" s="49"/>
      <x:c r="AB19" s="49"/>
      <x:c r="AC19" s="49"/>
      <x:c r="AD19" s="49"/>
      <x:c r="AE19" s="49"/>
      <x:c r="AF19" s="49"/>
      <x:c r="AG19" s="49"/>
      <x:c r="AH19" s="49"/>
      <x:c r="AI19" s="49"/>
      <x:c r="AJ19" s="49"/>
      <x:c r="AK19" s="49"/>
      <x:c r="AL19" s="49"/>
      <x:c r="AM19" s="49"/>
      <x:c r="AN19" s="49"/>
      <x:c r="AO19" s="49"/>
      <x:c r="AP19" s="49"/>
      <x:c r="AQ19" s="49"/>
      <x:c r="AR19" s="49"/>
      <x:c r="AS19" s="49"/>
      <x:c r="AT19" s="49"/>
      <x:c r="AU19" s="49"/>
      <x:c r="AV19" s="49"/>
      <x:c r="AW19" s="49"/>
      <x:c r="AX19" s="49"/>
      <x:c r="AY19" s="49"/>
      <x:c r="AZ19" s="49"/>
    </x:row>
    <x:row r="20">
      <x:c r="A20" s="49"/>
      <x:c r="B20" s="49"/>
      <x:c r="C20" s="49"/>
      <x:c r="D20" s="49"/>
      <x:c r="E20" s="49"/>
      <x:c r="F20" s="49"/>
      <x:c r="G20" s="49"/>
      <x:c r="H20" s="49"/>
      <x:c r="I20" s="49"/>
      <x:c r="J20" s="49"/>
      <x:c r="K20" s="49"/>
      <x:c r="L20" s="49"/>
      <x:c r="M20" s="49"/>
      <x:c r="N20" s="49"/>
      <x:c r="O20" s="49"/>
      <x:c r="P20" s="49"/>
      <x:c r="Q20" s="49"/>
      <x:c r="R20" s="49"/>
      <x:c r="S20" s="49"/>
      <x:c r="T20" s="49"/>
      <x:c r="U20" s="49"/>
      <x:c r="V20" s="49"/>
      <x:c r="W20" s="49"/>
      <x:c r="X20" s="49"/>
      <x:c r="Y20" s="49"/>
      <x:c r="Z20" s="49"/>
      <x:c r="AA20" s="49"/>
      <x:c r="AB20" s="49"/>
      <x:c r="AC20" s="49"/>
      <x:c r="AD20" s="49"/>
      <x:c r="AE20" s="49"/>
      <x:c r="AF20" s="49"/>
      <x:c r="AG20" s="49"/>
      <x:c r="AH20" s="49"/>
      <x:c r="AI20" s="49"/>
      <x:c r="AJ20" s="49"/>
      <x:c r="AK20" s="49"/>
      <x:c r="AL20" s="49"/>
      <x:c r="AM20" s="49"/>
      <x:c r="AN20" s="49"/>
      <x:c r="AO20" s="49"/>
      <x:c r="AP20" s="49"/>
      <x:c r="AQ20" s="49"/>
      <x:c r="AR20" s="49"/>
      <x:c r="AS20" s="49"/>
      <x:c r="AT20" s="49"/>
      <x:c r="AU20" s="49"/>
      <x:c r="AV20" s="49"/>
      <x:c r="AW20" s="49"/>
      <x:c r="AX20" s="49"/>
      <x:c r="AY20" s="49"/>
      <x:c r="AZ20" s="49"/>
    </x:row>
    <x:row r="21">
      <x:c r="A21" s="49"/>
      <x:c r="B21" s="49"/>
      <x:c r="C21" s="49"/>
      <x:c r="D21" s="49"/>
      <x:c r="E21" s="49"/>
      <x:c r="F21" s="49"/>
      <x:c r="G21" s="49"/>
      <x:c r="H21" s="49"/>
      <x:c r="I21" s="49"/>
      <x:c r="J21" s="49"/>
      <x:c r="K21" s="49"/>
      <x:c r="L21" s="49"/>
      <x:c r="M21" s="49"/>
      <x:c r="N21" s="49"/>
      <x:c r="O21" s="49"/>
      <x:c r="P21" s="49"/>
      <x:c r="Q21" s="49"/>
      <x:c r="R21" s="49"/>
      <x:c r="S21" s="49"/>
      <x:c r="T21" s="49"/>
      <x:c r="U21" s="49"/>
      <x:c r="V21" s="49"/>
      <x:c r="W21" s="49"/>
      <x:c r="X21" s="49"/>
      <x:c r="Y21" s="49"/>
      <x:c r="Z21" s="49"/>
      <x:c r="AA21" s="49"/>
      <x:c r="AB21" s="49"/>
      <x:c r="AC21" s="49"/>
      <x:c r="AD21" s="49"/>
      <x:c r="AE21" s="49"/>
      <x:c r="AF21" s="49"/>
      <x:c r="AG21" s="49"/>
      <x:c r="AH21" s="49"/>
      <x:c r="AI21" s="49"/>
      <x:c r="AJ21" s="49"/>
      <x:c r="AK21" s="49"/>
      <x:c r="AL21" s="49"/>
      <x:c r="AM21" s="49"/>
      <x:c r="AN21" s="49"/>
      <x:c r="AO21" s="49"/>
      <x:c r="AP21" s="49"/>
      <x:c r="AQ21" s="49"/>
      <x:c r="AR21" s="49"/>
      <x:c r="AS21" s="49"/>
      <x:c r="AT21" s="49"/>
      <x:c r="AU21" s="49"/>
      <x:c r="AV21" s="49"/>
      <x:c r="AW21" s="49"/>
      <x:c r="AX21" s="49"/>
      <x:c r="AY21" s="49"/>
      <x:c r="AZ21" s="49"/>
    </x:row>
    <x:row r="22">
      <x:c r="A22" s="49"/>
      <x:c r="B22" s="49"/>
      <x:c r="C22" s="49"/>
      <x:c r="D22" s="49"/>
      <x:c r="E22" s="49"/>
      <x:c r="F22" s="49"/>
      <x:c r="G22" s="49"/>
      <x:c r="H22" s="49"/>
      <x:c r="I22" s="49"/>
      <x:c r="J22" s="49"/>
      <x:c r="K22" s="49"/>
      <x:c r="L22" s="49"/>
      <x:c r="M22" s="49"/>
      <x:c r="N22" s="49"/>
      <x:c r="O22" s="49"/>
      <x:c r="P22" s="49"/>
      <x:c r="Q22" s="49"/>
      <x:c r="R22" s="49"/>
      <x:c r="S22" s="49"/>
      <x:c r="T22" s="49"/>
      <x:c r="U22" s="49"/>
      <x:c r="V22" s="49"/>
      <x:c r="W22" s="49"/>
      <x:c r="X22" s="49"/>
      <x:c r="Y22" s="49"/>
      <x:c r="Z22" s="49"/>
      <x:c r="AA22" s="49"/>
      <x:c r="AB22" s="49"/>
      <x:c r="AC22" s="49"/>
      <x:c r="AD22" s="49"/>
      <x:c r="AE22" s="49"/>
      <x:c r="AF22" s="49"/>
      <x:c r="AG22" s="49"/>
      <x:c r="AH22" s="49"/>
      <x:c r="AI22" s="49"/>
      <x:c r="AJ22" s="49"/>
      <x:c r="AK22" s="49"/>
      <x:c r="AL22" s="49"/>
      <x:c r="AM22" s="49"/>
      <x:c r="AN22" s="49"/>
      <x:c r="AO22" s="49"/>
      <x:c r="AP22" s="49"/>
      <x:c r="AQ22" s="49"/>
      <x:c r="AR22" s="49"/>
      <x:c r="AS22" s="49"/>
      <x:c r="AT22" s="49"/>
      <x:c r="AU22" s="49"/>
      <x:c r="AV22" s="49"/>
      <x:c r="AW22" s="49"/>
      <x:c r="AX22" s="49"/>
      <x:c r="AY22" s="49"/>
      <x:c r="AZ22" s="49"/>
    </x:row>
    <x:row r="23">
      <x:c r="A23" s="49"/>
      <x:c r="B23" s="49"/>
      <x:c r="C23" s="49"/>
      <x:c r="D23" s="49"/>
      <x:c r="E23" s="49"/>
      <x:c r="F23" s="49"/>
      <x:c r="G23" s="49"/>
      <x:c r="H23" s="49"/>
      <x:c r="I23" s="49"/>
      <x:c r="J23" s="49"/>
      <x:c r="K23" s="49"/>
      <x:c r="L23" s="49"/>
      <x:c r="M23" s="49"/>
      <x:c r="N23" s="49"/>
      <x:c r="O23" s="49"/>
      <x:c r="P23" s="49"/>
      <x:c r="Q23" s="49"/>
      <x:c r="R23" s="49"/>
      <x:c r="S23" s="49"/>
      <x:c r="T23" s="49"/>
      <x:c r="U23" s="49"/>
      <x:c r="V23" s="49"/>
      <x:c r="W23" s="49"/>
      <x:c r="X23" s="49"/>
      <x:c r="Y23" s="49"/>
      <x:c r="Z23" s="49"/>
      <x:c r="AA23" s="49"/>
      <x:c r="AB23" s="49"/>
      <x:c r="AC23" s="49"/>
      <x:c r="AD23" s="49"/>
      <x:c r="AE23" s="49"/>
      <x:c r="AF23" s="49"/>
      <x:c r="AG23" s="49"/>
      <x:c r="AH23" s="49"/>
      <x:c r="AI23" s="49"/>
      <x:c r="AJ23" s="49"/>
      <x:c r="AK23" s="49"/>
      <x:c r="AL23" s="49"/>
      <x:c r="AM23" s="49"/>
      <x:c r="AN23" s="49"/>
      <x:c r="AO23" s="49"/>
      <x:c r="AP23" s="49"/>
      <x:c r="AQ23" s="49"/>
      <x:c r="AR23" s="49"/>
      <x:c r="AS23" s="49"/>
      <x:c r="AT23" s="49"/>
      <x:c r="AU23" s="49"/>
      <x:c r="AV23" s="49"/>
      <x:c r="AW23" s="49"/>
      <x:c r="AX23" s="49"/>
      <x:c r="AY23" s="49"/>
      <x:c r="AZ23" s="49"/>
    </x:row>
    <x:row r="24">
      <x:c r="A24" s="49"/>
      <x:c r="B24" s="49"/>
      <x:c r="C24" s="49"/>
      <x:c r="D24" s="49"/>
      <x:c r="E24" s="49"/>
      <x:c r="F24" s="49"/>
      <x:c r="G24" s="49"/>
      <x:c r="H24" s="49"/>
      <x:c r="I24" s="49"/>
      <x:c r="J24" s="49"/>
      <x:c r="K24" s="49"/>
      <x:c r="L24" s="49"/>
      <x:c r="M24" s="49"/>
      <x:c r="N24" s="49"/>
      <x:c r="O24" s="49"/>
      <x:c r="P24" s="49"/>
      <x:c r="Q24" s="49"/>
      <x:c r="R24" s="49"/>
      <x:c r="S24" s="49"/>
      <x:c r="T24" s="49"/>
      <x:c r="U24" s="49"/>
      <x:c r="V24" s="49"/>
      <x:c r="W24" s="49"/>
      <x:c r="X24" s="49"/>
      <x:c r="Y24" s="49"/>
      <x:c r="Z24" s="49"/>
      <x:c r="AA24" s="49"/>
      <x:c r="AB24" s="49"/>
      <x:c r="AC24" s="49"/>
      <x:c r="AD24" s="49"/>
      <x:c r="AE24" s="49"/>
      <x:c r="AF24" s="49"/>
      <x:c r="AG24" s="49"/>
      <x:c r="AH24" s="49"/>
      <x:c r="AI24" s="49"/>
      <x:c r="AJ24" s="49"/>
      <x:c r="AK24" s="49"/>
      <x:c r="AL24" s="49"/>
      <x:c r="AM24" s="49"/>
      <x:c r="AN24" s="49"/>
      <x:c r="AO24" s="49"/>
      <x:c r="AP24" s="49"/>
      <x:c r="AQ24" s="49"/>
      <x:c r="AR24" s="49"/>
      <x:c r="AS24" s="49"/>
      <x:c r="AT24" s="49"/>
      <x:c r="AU24" s="49"/>
      <x:c r="AV24" s="49"/>
      <x:c r="AW24" s="49"/>
      <x:c r="AX24" s="49"/>
      <x:c r="AY24" s="49"/>
      <x:c r="AZ24" s="49"/>
    </x:row>
    <x:row r="25">
      <x:c r="A25" s="49"/>
      <x:c r="B25" s="49"/>
      <x:c r="C25" s="49"/>
      <x:c r="D25" s="49"/>
      <x:c r="E25" s="49"/>
      <x:c r="F25" s="49"/>
      <x:c r="G25" s="49"/>
      <x:c r="H25" s="49"/>
      <x:c r="I25" s="49"/>
      <x:c r="J25" s="49"/>
      <x:c r="K25" s="49"/>
      <x:c r="L25" s="49"/>
      <x:c r="M25" s="49"/>
      <x:c r="N25" s="49"/>
      <x:c r="O25" s="49"/>
      <x:c r="P25" s="49"/>
      <x:c r="Q25" s="49"/>
      <x:c r="R25" s="49"/>
      <x:c r="S25" s="49"/>
      <x:c r="T25" s="49"/>
      <x:c r="U25" s="49"/>
      <x:c r="V25" s="49"/>
      <x:c r="W25" s="49"/>
      <x:c r="X25" s="49"/>
      <x:c r="Y25" s="49"/>
      <x:c r="Z25" s="49"/>
      <x:c r="AA25" s="49"/>
      <x:c r="AB25" s="49"/>
      <x:c r="AC25" s="49"/>
      <x:c r="AD25" s="49"/>
      <x:c r="AE25" s="49"/>
      <x:c r="AF25" s="49"/>
      <x:c r="AG25" s="49"/>
      <x:c r="AH25" s="49"/>
      <x:c r="AI25" s="49"/>
      <x:c r="AJ25" s="49"/>
      <x:c r="AK25" s="49"/>
      <x:c r="AL25" s="49"/>
      <x:c r="AM25" s="49"/>
      <x:c r="AN25" s="49"/>
      <x:c r="AO25" s="49"/>
      <x:c r="AP25" s="49"/>
      <x:c r="AQ25" s="49"/>
      <x:c r="AR25" s="49"/>
      <x:c r="AS25" s="49"/>
      <x:c r="AT25" s="49"/>
      <x:c r="AU25" s="49"/>
      <x:c r="AV25" s="49"/>
      <x:c r="AW25" s="49"/>
      <x:c r="AX25" s="49"/>
      <x:c r="AY25" s="49"/>
      <x:c r="AZ25" s="49"/>
    </x:row>
    <x:row r="26">
      <x:c r="A26" s="49"/>
      <x:c r="B26" s="49"/>
      <x:c r="C26" s="49"/>
      <x:c r="D26" s="49"/>
      <x:c r="E26" s="49"/>
      <x:c r="F26" s="49"/>
      <x:c r="G26" s="49"/>
      <x:c r="H26" s="49"/>
      <x:c r="I26" s="49"/>
      <x:c r="J26" s="49"/>
      <x:c r="K26" s="49"/>
      <x:c r="L26" s="49"/>
      <x:c r="M26" s="49"/>
      <x:c r="N26" s="49"/>
      <x:c r="O26" s="49"/>
      <x:c r="P26" s="49"/>
      <x:c r="Q26" s="49"/>
      <x:c r="R26" s="49"/>
      <x:c r="S26" s="49"/>
      <x:c r="T26" s="49"/>
      <x:c r="U26" s="49"/>
      <x:c r="V26" s="49"/>
      <x:c r="W26" s="49"/>
      <x:c r="X26" s="49"/>
      <x:c r="Y26" s="49"/>
      <x:c r="Z26" s="49"/>
      <x:c r="AA26" s="49"/>
      <x:c r="AB26" s="49"/>
      <x:c r="AC26" s="49"/>
      <x:c r="AD26" s="49"/>
      <x:c r="AE26" s="49"/>
      <x:c r="AF26" s="49"/>
      <x:c r="AG26" s="49"/>
      <x:c r="AH26" s="49"/>
      <x:c r="AI26" s="49"/>
      <x:c r="AJ26" s="49"/>
      <x:c r="AK26" s="49"/>
      <x:c r="AL26" s="49"/>
      <x:c r="AM26" s="49"/>
      <x:c r="AN26" s="49"/>
      <x:c r="AO26" s="49"/>
      <x:c r="AP26" s="49"/>
      <x:c r="AQ26" s="49"/>
      <x:c r="AR26" s="49"/>
      <x:c r="AS26" s="49"/>
      <x:c r="AT26" s="49"/>
      <x:c r="AU26" s="49"/>
      <x:c r="AV26" s="49"/>
      <x:c r="AW26" s="49"/>
      <x:c r="AX26" s="49"/>
      <x:c r="AY26" s="49"/>
      <x:c r="AZ26" s="49"/>
    </x:row>
    <x:row r="27">
      <x:c r="A27" s="49"/>
      <x:c r="B27" s="49"/>
      <x:c r="C27" s="49"/>
      <x:c r="D27" s="49"/>
      <x:c r="E27" s="49"/>
      <x:c r="F27" s="49"/>
      <x:c r="G27" s="49"/>
      <x:c r="H27" s="49"/>
      <x:c r="I27" s="49"/>
      <x:c r="J27" s="49"/>
      <x:c r="K27" s="49"/>
      <x:c r="L27" s="49"/>
      <x:c r="M27" s="49"/>
      <x:c r="N27" s="49"/>
      <x:c r="O27" s="49"/>
      <x:c r="P27" s="49"/>
      <x:c r="Q27" s="49"/>
      <x:c r="R27" s="49"/>
      <x:c r="S27" s="49"/>
      <x:c r="T27" s="49"/>
      <x:c r="U27" s="49"/>
      <x:c r="V27" s="49"/>
      <x:c r="W27" s="49"/>
      <x:c r="X27" s="49"/>
      <x:c r="Y27" s="49"/>
      <x:c r="Z27" s="49"/>
      <x:c r="AA27" s="49"/>
      <x:c r="AB27" s="49"/>
      <x:c r="AC27" s="49"/>
      <x:c r="AD27" s="49"/>
      <x:c r="AE27" s="49"/>
      <x:c r="AF27" s="49"/>
      <x:c r="AG27" s="49"/>
      <x:c r="AH27" s="49"/>
      <x:c r="AI27" s="49"/>
      <x:c r="AJ27" s="49"/>
      <x:c r="AK27" s="49"/>
      <x:c r="AL27" s="49"/>
      <x:c r="AM27" s="49"/>
      <x:c r="AN27" s="49"/>
      <x:c r="AO27" s="49"/>
      <x:c r="AP27" s="49"/>
      <x:c r="AQ27" s="49"/>
      <x:c r="AR27" s="49"/>
      <x:c r="AS27" s="49"/>
      <x:c r="AT27" s="49"/>
      <x:c r="AU27" s="49"/>
      <x:c r="AV27" s="49"/>
      <x:c r="AW27" s="49"/>
      <x:c r="AX27" s="49"/>
      <x:c r="AY27" s="49"/>
      <x:c r="AZ27" s="49"/>
    </x:row>
    <x:row r="28">
      <x:c r="A28" s="49"/>
      <x:c r="B28" s="49"/>
      <x:c r="C28" s="49"/>
      <x:c r="D28" s="49"/>
      <x:c r="E28" s="49"/>
      <x:c r="F28" s="49"/>
      <x:c r="G28" s="49"/>
      <x:c r="H28" s="49"/>
      <x:c r="I28" s="49"/>
      <x:c r="J28" s="49"/>
      <x:c r="K28" s="49"/>
      <x:c r="L28" s="49"/>
      <x:c r="M28" s="49"/>
      <x:c r="N28" s="49"/>
      <x:c r="O28" s="49"/>
      <x:c r="P28" s="49"/>
      <x:c r="Q28" s="49"/>
      <x:c r="R28" s="49"/>
      <x:c r="S28" s="49"/>
      <x:c r="T28" s="49"/>
      <x:c r="U28" s="49"/>
      <x:c r="V28" s="49"/>
      <x:c r="W28" s="49"/>
      <x:c r="X28" s="49"/>
      <x:c r="Y28" s="49"/>
      <x:c r="Z28" s="49"/>
      <x:c r="AA28" s="49"/>
      <x:c r="AB28" s="49"/>
      <x:c r="AC28" s="49"/>
      <x:c r="AD28" s="49"/>
      <x:c r="AE28" s="49"/>
      <x:c r="AF28" s="49"/>
      <x:c r="AG28" s="49"/>
      <x:c r="AH28" s="49"/>
      <x:c r="AI28" s="49"/>
      <x:c r="AJ28" s="49"/>
      <x:c r="AK28" s="49"/>
      <x:c r="AL28" s="49"/>
      <x:c r="AM28" s="49"/>
      <x:c r="AN28" s="49"/>
      <x:c r="AO28" s="49"/>
      <x:c r="AP28" s="49"/>
      <x:c r="AQ28" s="49"/>
      <x:c r="AR28" s="49"/>
      <x:c r="AS28" s="49"/>
      <x:c r="AT28" s="49"/>
      <x:c r="AU28" s="49"/>
      <x:c r="AV28" s="49"/>
      <x:c r="AW28" s="49"/>
      <x:c r="AX28" s="49"/>
      <x:c r="AY28" s="49"/>
      <x:c r="AZ28" s="49"/>
    </x:row>
    <x:row r="29">
      <x:c r="A29" s="49"/>
      <x:c r="B29" s="49"/>
      <x:c r="C29" s="49"/>
      <x:c r="D29" s="49"/>
      <x:c r="E29" s="49"/>
      <x:c r="F29" s="49"/>
      <x:c r="G29" s="49"/>
      <x:c r="H29" s="49"/>
      <x:c r="I29" s="49"/>
      <x:c r="J29" s="49"/>
      <x:c r="K29" s="49"/>
      <x:c r="L29" s="49"/>
      <x:c r="M29" s="49"/>
      <x:c r="N29" s="49"/>
      <x:c r="O29" s="49"/>
      <x:c r="P29" s="49"/>
      <x:c r="Q29" s="49"/>
      <x:c r="R29" s="49"/>
      <x:c r="S29" s="49"/>
      <x:c r="T29" s="49"/>
      <x:c r="U29" s="49"/>
      <x:c r="V29" s="49"/>
      <x:c r="W29" s="49"/>
      <x:c r="X29" s="49"/>
      <x:c r="Y29" s="49"/>
      <x:c r="Z29" s="49"/>
      <x:c r="AA29" s="49"/>
      <x:c r="AB29" s="49"/>
      <x:c r="AC29" s="49"/>
      <x:c r="AD29" s="49"/>
      <x:c r="AE29" s="49"/>
      <x:c r="AF29" s="49"/>
      <x:c r="AG29" s="49"/>
      <x:c r="AH29" s="49"/>
      <x:c r="AI29" s="49"/>
      <x:c r="AJ29" s="49"/>
      <x:c r="AK29" s="49"/>
      <x:c r="AL29" s="49"/>
      <x:c r="AM29" s="49"/>
      <x:c r="AN29" s="49"/>
      <x:c r="AO29" s="49"/>
      <x:c r="AP29" s="49"/>
      <x:c r="AQ29" s="49"/>
      <x:c r="AR29" s="49"/>
      <x:c r="AS29" s="49"/>
      <x:c r="AT29" s="49"/>
      <x:c r="AU29" s="49"/>
      <x:c r="AV29" s="49"/>
      <x:c r="AW29" s="49"/>
      <x:c r="AX29" s="49"/>
      <x:c r="AY29" s="49"/>
      <x:c r="AZ29" s="49"/>
    </x:row>
    <x:row r="30">
      <x:c r="A30" s="49"/>
      <x:c r="B30" s="49"/>
      <x:c r="C30" s="49"/>
      <x:c r="D30" s="49"/>
      <x:c r="E30" s="49"/>
      <x:c r="F30" s="49"/>
      <x:c r="G30" s="49"/>
      <x:c r="H30" s="49"/>
      <x:c r="I30" s="49"/>
      <x:c r="J30" s="49"/>
      <x:c r="K30" s="49"/>
      <x:c r="L30" s="49"/>
      <x:c r="M30" s="49"/>
      <x:c r="N30" s="49"/>
      <x:c r="O30" s="49"/>
      <x:c r="P30" s="49"/>
      <x:c r="Q30" s="49"/>
      <x:c r="R30" s="49"/>
      <x:c r="S30" s="49"/>
      <x:c r="T30" s="49"/>
      <x:c r="U30" s="49"/>
      <x:c r="V30" s="49"/>
      <x:c r="W30" s="49"/>
      <x:c r="X30" s="49"/>
      <x:c r="Y30" s="49"/>
      <x:c r="Z30" s="49"/>
      <x:c r="AA30" s="49"/>
      <x:c r="AB30" s="49"/>
      <x:c r="AC30" s="49"/>
      <x:c r="AD30" s="49"/>
      <x:c r="AE30" s="49"/>
      <x:c r="AF30" s="49"/>
      <x:c r="AG30" s="49"/>
      <x:c r="AH30" s="49"/>
      <x:c r="AI30" s="49"/>
      <x:c r="AJ30" s="49"/>
      <x:c r="AK30" s="49"/>
      <x:c r="AL30" s="49"/>
      <x:c r="AM30" s="49"/>
      <x:c r="AN30" s="49"/>
      <x:c r="AO30" s="49"/>
      <x:c r="AP30" s="49"/>
      <x:c r="AQ30" s="49"/>
      <x:c r="AR30" s="49"/>
      <x:c r="AS30" s="49"/>
      <x:c r="AT30" s="49"/>
      <x:c r="AU30" s="49"/>
      <x:c r="AV30" s="49"/>
      <x:c r="AW30" s="49"/>
      <x:c r="AX30" s="49"/>
      <x:c r="AY30" s="49"/>
      <x:c r="AZ30" s="49"/>
    </x:row>
    <x:row r="31">
      <x:c r="A31" s="49"/>
      <x:c r="B31" s="49"/>
      <x:c r="C31" s="49"/>
      <x:c r="D31" s="49"/>
      <x:c r="E31" s="49"/>
      <x:c r="F31" s="49"/>
      <x:c r="G31" s="49"/>
      <x:c r="H31" s="49"/>
      <x:c r="I31" s="49"/>
      <x:c r="J31" s="49"/>
      <x:c r="K31" s="49"/>
      <x:c r="L31" s="49"/>
      <x:c r="M31" s="49"/>
      <x:c r="N31" s="49"/>
      <x:c r="O31" s="49"/>
      <x:c r="P31" s="49"/>
      <x:c r="Q31" s="49"/>
      <x:c r="R31" s="49"/>
      <x:c r="S31" s="49"/>
      <x:c r="T31" s="49"/>
      <x:c r="U31" s="49"/>
      <x:c r="V31" s="49"/>
      <x:c r="W31" s="49"/>
      <x:c r="X31" s="49"/>
      <x:c r="Y31" s="49"/>
      <x:c r="Z31" s="49"/>
      <x:c r="AA31" s="49"/>
      <x:c r="AB31" s="49"/>
      <x:c r="AC31" s="49"/>
      <x:c r="AD31" s="49"/>
      <x:c r="AE31" s="49"/>
      <x:c r="AF31" s="49"/>
      <x:c r="AG31" s="49"/>
      <x:c r="AH31" s="49"/>
      <x:c r="AI31" s="49"/>
      <x:c r="AJ31" s="49"/>
      <x:c r="AK31" s="49"/>
      <x:c r="AL31" s="49"/>
      <x:c r="AM31" s="49"/>
      <x:c r="AN31" s="49"/>
      <x:c r="AO31" s="49"/>
      <x:c r="AP31" s="49"/>
      <x:c r="AQ31" s="49"/>
      <x:c r="AR31" s="49"/>
      <x:c r="AS31" s="49"/>
      <x:c r="AT31" s="49"/>
      <x:c r="AU31" s="49"/>
      <x:c r="AV31" s="49"/>
      <x:c r="AW31" s="49"/>
      <x:c r="AX31" s="49"/>
      <x:c r="AY31" s="49"/>
      <x:c r="AZ31" s="49"/>
    </x:row>
    <x:row r="32">
      <x:c r="A32" s="49"/>
      <x:c r="B32" s="49"/>
      <x:c r="C32" s="49"/>
      <x:c r="D32" s="49"/>
      <x:c r="E32" s="49"/>
      <x:c r="F32" s="49"/>
      <x:c r="G32" s="49"/>
      <x:c r="H32" s="49"/>
      <x:c r="I32" s="49"/>
      <x:c r="J32" s="49"/>
      <x:c r="K32" s="49"/>
      <x:c r="L32" s="49"/>
      <x:c r="M32" s="49"/>
      <x:c r="N32" s="49"/>
      <x:c r="O32" s="49"/>
      <x:c r="P32" s="49"/>
      <x:c r="Q32" s="49"/>
      <x:c r="R32" s="49"/>
      <x:c r="S32" s="49"/>
      <x:c r="T32" s="49"/>
      <x:c r="U32" s="49"/>
      <x:c r="V32" s="49"/>
      <x:c r="W32" s="49"/>
      <x:c r="X32" s="49"/>
      <x:c r="Y32" s="49"/>
      <x:c r="Z32" s="49"/>
      <x:c r="AA32" s="49"/>
      <x:c r="AB32" s="49"/>
      <x:c r="AC32" s="49"/>
      <x:c r="AD32" s="49"/>
      <x:c r="AE32" s="49"/>
      <x:c r="AF32" s="49"/>
      <x:c r="AG32" s="49"/>
      <x:c r="AH32" s="49"/>
      <x:c r="AI32" s="49"/>
      <x:c r="AJ32" s="49"/>
      <x:c r="AK32" s="49"/>
      <x:c r="AL32" s="49"/>
      <x:c r="AM32" s="49"/>
      <x:c r="AN32" s="49"/>
      <x:c r="AO32" s="49"/>
      <x:c r="AP32" s="49"/>
      <x:c r="AQ32" s="49"/>
      <x:c r="AR32" s="49"/>
      <x:c r="AS32" s="49"/>
      <x:c r="AT32" s="49"/>
      <x:c r="AU32" s="49"/>
      <x:c r="AV32" s="49"/>
      <x:c r="AW32" s="49"/>
      <x:c r="AX32" s="49"/>
      <x:c r="AY32" s="49"/>
      <x:c r="AZ32" s="49"/>
    </x:row>
    <x:row r="33">
      <x:c r="A33" s="49"/>
      <x:c r="B33" s="49"/>
      <x:c r="C33" s="49"/>
      <x:c r="D33" s="49"/>
      <x:c r="E33" s="49"/>
      <x:c r="F33" s="49"/>
      <x:c r="G33" s="49"/>
      <x:c r="H33" s="49"/>
      <x:c r="I33" s="49"/>
      <x:c r="J33" s="49"/>
      <x:c r="K33" s="49"/>
      <x:c r="L33" s="49"/>
      <x:c r="M33" s="49"/>
      <x:c r="N33" s="49"/>
      <x:c r="O33" s="49"/>
      <x:c r="P33" s="49"/>
      <x:c r="Q33" s="49"/>
      <x:c r="R33" s="49"/>
      <x:c r="S33" s="49"/>
      <x:c r="T33" s="49"/>
      <x:c r="U33" s="49"/>
      <x:c r="V33" s="49"/>
      <x:c r="W33" s="49"/>
      <x:c r="X33" s="49"/>
      <x:c r="Y33" s="49"/>
      <x:c r="Z33" s="49"/>
      <x:c r="AA33" s="49"/>
      <x:c r="AB33" s="49"/>
      <x:c r="AC33" s="49"/>
      <x:c r="AD33" s="49"/>
      <x:c r="AE33" s="49"/>
      <x:c r="AF33" s="49"/>
      <x:c r="AG33" s="49"/>
      <x:c r="AH33" s="49"/>
      <x:c r="AI33" s="49"/>
      <x:c r="AJ33" s="49"/>
      <x:c r="AK33" s="49"/>
      <x:c r="AL33" s="49"/>
      <x:c r="AM33" s="49"/>
      <x:c r="AN33" s="49"/>
      <x:c r="AO33" s="49"/>
      <x:c r="AP33" s="49"/>
      <x:c r="AQ33" s="49"/>
      <x:c r="AR33" s="49"/>
      <x:c r="AS33" s="49"/>
      <x:c r="AT33" s="49"/>
      <x:c r="AU33" s="49"/>
      <x:c r="AV33" s="49"/>
      <x:c r="AW33" s="49"/>
      <x:c r="AX33" s="49"/>
      <x:c r="AY33" s="49"/>
      <x:c r="AZ33" s="49"/>
    </x:row>
    <x:row r="34">
      <x:c r="A34" s="49"/>
      <x:c r="B34" s="49"/>
      <x:c r="C34" s="49"/>
      <x:c r="D34" s="49"/>
      <x:c r="E34" s="49"/>
      <x:c r="F34" s="49"/>
      <x:c r="G34" s="49"/>
      <x:c r="H34" s="49"/>
      <x:c r="I34" s="49"/>
      <x:c r="J34" s="49"/>
      <x:c r="K34" s="49"/>
      <x:c r="L34" s="49"/>
      <x:c r="M34" s="49"/>
      <x:c r="N34" s="49"/>
      <x:c r="O34" s="49"/>
      <x:c r="P34" s="49"/>
      <x:c r="Q34" s="49"/>
      <x:c r="R34" s="49"/>
      <x:c r="S34" s="49"/>
      <x:c r="T34" s="49"/>
      <x:c r="U34" s="49"/>
      <x:c r="V34" s="49"/>
      <x:c r="W34" s="49"/>
      <x:c r="X34" s="49"/>
      <x:c r="Y34" s="49"/>
      <x:c r="Z34" s="49"/>
      <x:c r="AA34" s="49"/>
      <x:c r="AB34" s="49"/>
      <x:c r="AC34" s="49"/>
      <x:c r="AD34" s="49"/>
      <x:c r="AE34" s="49"/>
      <x:c r="AF34" s="49"/>
      <x:c r="AG34" s="49"/>
      <x:c r="AH34" s="49"/>
      <x:c r="AI34" s="49"/>
      <x:c r="AJ34" s="49"/>
      <x:c r="AK34" s="49"/>
      <x:c r="AL34" s="49"/>
      <x:c r="AM34" s="49"/>
      <x:c r="AN34" s="49"/>
      <x:c r="AO34" s="49"/>
      <x:c r="AP34" s="49"/>
      <x:c r="AQ34" s="49"/>
      <x:c r="AR34" s="49"/>
      <x:c r="AS34" s="49"/>
      <x:c r="AT34" s="49"/>
      <x:c r="AU34" s="49"/>
      <x:c r="AV34" s="49"/>
      <x:c r="AW34" s="49"/>
      <x:c r="AX34" s="49"/>
      <x:c r="AY34" s="49"/>
      <x:c r="AZ34" s="49"/>
    </x:row>
    <x:row r="35">
      <x:c r="A35" s="49"/>
      <x:c r="B35" s="49"/>
      <x:c r="C35" s="49"/>
      <x:c r="D35" s="49"/>
      <x:c r="E35" s="49"/>
      <x:c r="F35" s="49"/>
      <x:c r="G35" s="49"/>
      <x:c r="H35" s="49"/>
      <x:c r="I35" s="49"/>
      <x:c r="J35" s="49"/>
      <x:c r="K35" s="49"/>
      <x:c r="L35" s="49"/>
      <x:c r="M35" s="49"/>
      <x:c r="N35" s="49"/>
      <x:c r="O35" s="49"/>
      <x:c r="P35" s="49"/>
      <x:c r="Q35" s="49"/>
      <x:c r="R35" s="49"/>
      <x:c r="S35" s="49"/>
      <x:c r="T35" s="49"/>
      <x:c r="U35" s="49"/>
      <x:c r="V35" s="49"/>
      <x:c r="W35" s="49"/>
      <x:c r="X35" s="49"/>
      <x:c r="Y35" s="49"/>
      <x:c r="Z35" s="49"/>
      <x:c r="AA35" s="49"/>
      <x:c r="AB35" s="49"/>
      <x:c r="AC35" s="49"/>
      <x:c r="AD35" s="49"/>
      <x:c r="AE35" s="49"/>
      <x:c r="AF35" s="49"/>
      <x:c r="AG35" s="49"/>
      <x:c r="AH35" s="49"/>
      <x:c r="AI35" s="49"/>
      <x:c r="AJ35" s="49"/>
      <x:c r="AK35" s="49"/>
      <x:c r="AL35" s="49"/>
      <x:c r="AM35" s="49"/>
      <x:c r="AN35" s="49"/>
      <x:c r="AO35" s="49"/>
      <x:c r="AP35" s="49"/>
      <x:c r="AQ35" s="49"/>
      <x:c r="AR35" s="49"/>
      <x:c r="AS35" s="49"/>
      <x:c r="AT35" s="49"/>
      <x:c r="AU35" s="49"/>
      <x:c r="AV35" s="49"/>
      <x:c r="AW35" s="49"/>
      <x:c r="AX35" s="49"/>
      <x:c r="AY35" s="49"/>
      <x:c r="AZ35" s="49"/>
    </x:row>
    <x:row r="36">
      <x:c r="A36" s="49"/>
      <x:c r="B36" s="49"/>
      <x:c r="C36" s="49"/>
      <x:c r="D36" s="49"/>
      <x:c r="E36" s="49"/>
      <x:c r="F36" s="49"/>
      <x:c r="G36" s="49"/>
      <x:c r="H36" s="49"/>
      <x:c r="I36" s="49"/>
      <x:c r="J36" s="49"/>
      <x:c r="K36" s="49"/>
      <x:c r="L36" s="49"/>
      <x:c r="M36" s="49"/>
      <x:c r="N36" s="49"/>
      <x:c r="O36" s="49"/>
      <x:c r="P36" s="49"/>
      <x:c r="Q36" s="49"/>
      <x:c r="R36" s="49"/>
      <x:c r="S36" s="49"/>
      <x:c r="T36" s="49"/>
      <x:c r="U36" s="49"/>
      <x:c r="V36" s="49"/>
      <x:c r="W36" s="49"/>
      <x:c r="X36" s="49"/>
      <x:c r="Y36" s="49"/>
      <x:c r="Z36" s="49"/>
      <x:c r="AA36" s="49"/>
      <x:c r="AB36" s="49"/>
      <x:c r="AC36" s="49"/>
      <x:c r="AD36" s="49"/>
      <x:c r="AE36" s="49"/>
      <x:c r="AF36" s="49"/>
      <x:c r="AG36" s="49"/>
      <x:c r="AH36" s="49"/>
      <x:c r="AI36" s="49"/>
      <x:c r="AJ36" s="49"/>
      <x:c r="AK36" s="49"/>
      <x:c r="AL36" s="49"/>
      <x:c r="AM36" s="49"/>
      <x:c r="AN36" s="49"/>
      <x:c r="AO36" s="49"/>
      <x:c r="AP36" s="49"/>
      <x:c r="AQ36" s="49"/>
      <x:c r="AR36" s="49"/>
      <x:c r="AS36" s="49"/>
      <x:c r="AT36" s="49"/>
      <x:c r="AU36" s="49"/>
      <x:c r="AV36" s="49"/>
      <x:c r="AW36" s="49"/>
      <x:c r="AX36" s="49"/>
      <x:c r="AY36" s="49"/>
      <x:c r="AZ36" s="49"/>
    </x:row>
    <x:row r="37">
      <x:c r="A37" s="49"/>
      <x:c r="B37" s="49"/>
      <x:c r="C37" s="49"/>
      <x:c r="D37" s="49"/>
      <x:c r="E37" s="49"/>
      <x:c r="F37" s="49"/>
      <x:c r="G37" s="49"/>
      <x:c r="H37" s="49"/>
      <x:c r="I37" s="49"/>
      <x:c r="J37" s="49"/>
      <x:c r="K37" s="49"/>
      <x:c r="L37" s="49"/>
      <x:c r="M37" s="49"/>
      <x:c r="N37" s="49"/>
      <x:c r="O37" s="49"/>
      <x:c r="P37" s="49"/>
      <x:c r="Q37" s="49"/>
      <x:c r="R37" s="49"/>
      <x:c r="S37" s="49"/>
      <x:c r="T37" s="49"/>
      <x:c r="U37" s="49"/>
      <x:c r="V37" s="49"/>
      <x:c r="W37" s="49"/>
      <x:c r="X37" s="49"/>
      <x:c r="Y37" s="49"/>
      <x:c r="Z37" s="49"/>
      <x:c r="AA37" s="49"/>
      <x:c r="AB37" s="49"/>
      <x:c r="AC37" s="49"/>
      <x:c r="AD37" s="49"/>
      <x:c r="AE37" s="49"/>
      <x:c r="AF37" s="49"/>
      <x:c r="AG37" s="49"/>
      <x:c r="AH37" s="49"/>
      <x:c r="AI37" s="49"/>
      <x:c r="AJ37" s="49"/>
      <x:c r="AK37" s="49"/>
      <x:c r="AL37" s="49"/>
      <x:c r="AM37" s="49"/>
      <x:c r="AN37" s="49"/>
      <x:c r="AO37" s="49"/>
      <x:c r="AP37" s="49"/>
      <x:c r="AQ37" s="49"/>
      <x:c r="AR37" s="49"/>
      <x:c r="AS37" s="49"/>
      <x:c r="AT37" s="49"/>
      <x:c r="AU37" s="49"/>
      <x:c r="AV37" s="49"/>
      <x:c r="AW37" s="49"/>
      <x:c r="AX37" s="49"/>
      <x:c r="AY37" s="49"/>
      <x:c r="AZ37" s="49"/>
    </x:row>
    <x:row r="38">
      <x:c r="A38" s="49"/>
      <x:c r="B38" s="49"/>
      <x:c r="C38" s="49"/>
      <x:c r="D38" s="49"/>
      <x:c r="E38" s="49"/>
      <x:c r="F38" s="49"/>
      <x:c r="G38" s="49"/>
      <x:c r="H38" s="49"/>
      <x:c r="I38" s="49"/>
      <x:c r="J38" s="49"/>
      <x:c r="K38" s="49"/>
      <x:c r="L38" s="49"/>
      <x:c r="M38" s="49"/>
      <x:c r="N38" s="49"/>
      <x:c r="O38" s="49"/>
      <x:c r="P38" s="49"/>
      <x:c r="Q38" s="49"/>
      <x:c r="R38" s="49"/>
      <x:c r="S38" s="49"/>
      <x:c r="T38" s="49"/>
      <x:c r="U38" s="49"/>
      <x:c r="V38" s="49"/>
      <x:c r="W38" s="49"/>
      <x:c r="X38" s="49"/>
      <x:c r="Y38" s="49"/>
      <x:c r="Z38" s="49"/>
      <x:c r="AA38" s="49"/>
      <x:c r="AB38" s="49"/>
      <x:c r="AC38" s="49"/>
      <x:c r="AD38" s="49"/>
      <x:c r="AE38" s="49"/>
      <x:c r="AF38" s="49"/>
      <x:c r="AG38" s="49"/>
      <x:c r="AH38" s="49"/>
      <x:c r="AI38" s="49"/>
      <x:c r="AJ38" s="49"/>
      <x:c r="AK38" s="49"/>
      <x:c r="AL38" s="49"/>
      <x:c r="AM38" s="49"/>
      <x:c r="AN38" s="49"/>
      <x:c r="AO38" s="49"/>
      <x:c r="AP38" s="49"/>
      <x:c r="AQ38" s="49"/>
      <x:c r="AR38" s="49"/>
      <x:c r="AS38" s="49"/>
      <x:c r="AT38" s="49"/>
      <x:c r="AU38" s="49"/>
      <x:c r="AV38" s="49"/>
      <x:c r="AW38" s="49"/>
      <x:c r="AX38" s="49"/>
      <x:c r="AY38" s="49"/>
      <x:c r="AZ38" s="49"/>
    </x:row>
    <x:row r="39">
      <x:c r="A39" s="49"/>
      <x:c r="B39" s="49"/>
      <x:c r="C39" s="49"/>
      <x:c r="D39" s="49"/>
      <x:c r="E39" s="49"/>
      <x:c r="F39" s="49"/>
      <x:c r="G39" s="49"/>
      <x:c r="H39" s="49"/>
      <x:c r="I39" s="49"/>
      <x:c r="J39" s="49"/>
      <x:c r="K39" s="49"/>
      <x:c r="L39" s="49"/>
      <x:c r="M39" s="49"/>
      <x:c r="N39" s="49"/>
      <x:c r="O39" s="49"/>
      <x:c r="P39" s="49"/>
      <x:c r="Q39" s="49"/>
      <x:c r="R39" s="49"/>
      <x:c r="S39" s="49"/>
      <x:c r="T39" s="49"/>
      <x:c r="U39" s="49"/>
      <x:c r="V39" s="49"/>
      <x:c r="W39" s="49"/>
      <x:c r="X39" s="49"/>
      <x:c r="Y39" s="49"/>
      <x:c r="Z39" s="49"/>
      <x:c r="AA39" s="49"/>
      <x:c r="AB39" s="49"/>
      <x:c r="AC39" s="49"/>
      <x:c r="AD39" s="49"/>
      <x:c r="AE39" s="49"/>
      <x:c r="AF39" s="49"/>
      <x:c r="AG39" s="49"/>
      <x:c r="AH39" s="49"/>
      <x:c r="AI39" s="49"/>
      <x:c r="AJ39" s="49"/>
      <x:c r="AK39" s="49"/>
      <x:c r="AL39" s="49"/>
      <x:c r="AM39" s="49"/>
      <x:c r="AN39" s="49"/>
      <x:c r="AO39" s="49"/>
      <x:c r="AP39" s="49"/>
      <x:c r="AQ39" s="49"/>
      <x:c r="AR39" s="49"/>
      <x:c r="AS39" s="49"/>
      <x:c r="AT39" s="49"/>
      <x:c r="AU39" s="49"/>
      <x:c r="AV39" s="49"/>
      <x:c r="AW39" s="49"/>
      <x:c r="AX39" s="49"/>
      <x:c r="AY39" s="49"/>
      <x:c r="AZ39" s="49"/>
    </x:row>
    <x:row r="40">
      <x:c r="A40" s="49"/>
      <x:c r="B40" s="49"/>
      <x:c r="C40" s="49"/>
      <x:c r="D40" s="49"/>
      <x:c r="E40" s="49"/>
      <x:c r="F40" s="49"/>
      <x:c r="G40" s="49"/>
      <x:c r="H40" s="49"/>
      <x:c r="I40" s="49"/>
      <x:c r="J40" s="49"/>
      <x:c r="K40" s="49"/>
      <x:c r="L40" s="49"/>
      <x:c r="M40" s="49"/>
      <x:c r="N40" s="49"/>
      <x:c r="O40" s="49"/>
      <x:c r="P40" s="49"/>
      <x:c r="Q40" s="49"/>
      <x:c r="R40" s="49"/>
      <x:c r="S40" s="49"/>
      <x:c r="T40" s="49"/>
      <x:c r="U40" s="49"/>
      <x:c r="V40" s="49"/>
      <x:c r="W40" s="49"/>
      <x:c r="X40" s="49"/>
      <x:c r="Y40" s="49"/>
      <x:c r="Z40" s="49"/>
      <x:c r="AA40" s="49"/>
      <x:c r="AB40" s="49"/>
      <x:c r="AC40" s="49"/>
      <x:c r="AD40" s="49"/>
      <x:c r="AE40" s="49"/>
      <x:c r="AF40" s="49"/>
      <x:c r="AG40" s="49"/>
      <x:c r="AH40" s="49"/>
      <x:c r="AI40" s="49"/>
      <x:c r="AJ40" s="49"/>
      <x:c r="AK40" s="49"/>
      <x:c r="AL40" s="49"/>
      <x:c r="AM40" s="49"/>
      <x:c r="AN40" s="49"/>
      <x:c r="AO40" s="49"/>
      <x:c r="AP40" s="49"/>
      <x:c r="AQ40" s="49"/>
      <x:c r="AR40" s="49"/>
      <x:c r="AS40" s="49"/>
      <x:c r="AT40" s="49"/>
      <x:c r="AU40" s="49"/>
      <x:c r="AV40" s="49"/>
      <x:c r="AW40" s="49"/>
      <x:c r="AX40" s="49"/>
      <x:c r="AY40" s="49"/>
      <x:c r="AZ40" s="49"/>
    </x:row>
    <x:row r="41">
      <x:c r="A41" s="49"/>
      <x:c r="B41" s="49"/>
      <x:c r="C41" s="49"/>
      <x:c r="D41" s="49"/>
      <x:c r="E41" s="49"/>
      <x:c r="F41" s="49"/>
      <x:c r="G41" s="49"/>
      <x:c r="H41" s="49"/>
      <x:c r="I41" s="49"/>
      <x:c r="J41" s="49"/>
      <x:c r="K41" s="49"/>
      <x:c r="L41" s="49"/>
      <x:c r="M41" s="49"/>
      <x:c r="N41" s="49"/>
      <x:c r="O41" s="49"/>
      <x:c r="P41" s="49"/>
      <x:c r="Q41" s="49"/>
      <x:c r="R41" s="49"/>
      <x:c r="S41" s="49"/>
      <x:c r="T41" s="49"/>
      <x:c r="U41" s="49"/>
      <x:c r="V41" s="49"/>
      <x:c r="W41" s="49"/>
      <x:c r="X41" s="49"/>
      <x:c r="Y41" s="49"/>
      <x:c r="Z41" s="49"/>
      <x:c r="AA41" s="49"/>
      <x:c r="AB41" s="49"/>
      <x:c r="AC41" s="49"/>
      <x:c r="AD41" s="49"/>
      <x:c r="AE41" s="49"/>
      <x:c r="AF41" s="49"/>
      <x:c r="AG41" s="49"/>
      <x:c r="AH41" s="49"/>
      <x:c r="AI41" s="49"/>
      <x:c r="AJ41" s="49"/>
      <x:c r="AK41" s="49"/>
      <x:c r="AL41" s="49"/>
      <x:c r="AM41" s="49"/>
      <x:c r="AN41" s="49"/>
      <x:c r="AO41" s="49"/>
      <x:c r="AP41" s="49"/>
      <x:c r="AQ41" s="49"/>
      <x:c r="AR41" s="49"/>
      <x:c r="AS41" s="49"/>
      <x:c r="AT41" s="49"/>
      <x:c r="AU41" s="49"/>
      <x:c r="AV41" s="49"/>
      <x:c r="AW41" s="49"/>
      <x:c r="AX41" s="49"/>
      <x:c r="AY41" s="49"/>
      <x:c r="AZ41" s="49"/>
    </x:row>
    <x:row r="42">
      <x:c r="A42" s="49"/>
      <x:c r="B42" s="49"/>
      <x:c r="C42" s="49"/>
      <x:c r="D42" s="49"/>
      <x:c r="E42" s="49"/>
      <x:c r="F42" s="49"/>
      <x:c r="G42" s="49"/>
      <x:c r="H42" s="49"/>
      <x:c r="I42" s="49"/>
      <x:c r="J42" s="49"/>
      <x:c r="K42" s="49"/>
      <x:c r="L42" s="49"/>
      <x:c r="M42" s="49"/>
      <x:c r="N42" s="49"/>
      <x:c r="O42" s="49"/>
      <x:c r="P42" s="49"/>
      <x:c r="Q42" s="49"/>
      <x:c r="R42" s="49"/>
      <x:c r="S42" s="49"/>
      <x:c r="T42" s="49"/>
      <x:c r="U42" s="49"/>
      <x:c r="V42" s="49"/>
      <x:c r="W42" s="49"/>
      <x:c r="X42" s="49"/>
      <x:c r="Y42" s="49"/>
      <x:c r="Z42" s="49"/>
      <x:c r="AA42" s="49"/>
      <x:c r="AB42" s="49"/>
      <x:c r="AC42" s="49"/>
      <x:c r="AD42" s="49"/>
      <x:c r="AE42" s="49"/>
      <x:c r="AF42" s="49"/>
      <x:c r="AG42" s="49"/>
      <x:c r="AH42" s="49"/>
      <x:c r="AI42" s="49"/>
      <x:c r="AJ42" s="49"/>
      <x:c r="AK42" s="49"/>
      <x:c r="AL42" s="49"/>
      <x:c r="AM42" s="49"/>
      <x:c r="AN42" s="49"/>
      <x:c r="AO42" s="49"/>
      <x:c r="AP42" s="49"/>
      <x:c r="AQ42" s="49"/>
      <x:c r="AR42" s="49"/>
      <x:c r="AS42" s="49"/>
      <x:c r="AT42" s="49"/>
      <x:c r="AU42" s="49"/>
      <x:c r="AV42" s="49"/>
      <x:c r="AW42" s="49"/>
      <x:c r="AX42" s="49"/>
      <x:c r="AY42" s="49"/>
      <x:c r="AZ42" s="49"/>
    </x:row>
    <x:row r="43">
      <x:c r="A43" s="49"/>
      <x:c r="B43" s="49"/>
      <x:c r="C43" s="49"/>
      <x:c r="D43" s="49"/>
      <x:c r="E43" s="49"/>
      <x:c r="F43" s="49"/>
      <x:c r="G43" s="49"/>
      <x:c r="H43" s="49"/>
      <x:c r="I43" s="49"/>
      <x:c r="J43" s="49"/>
      <x:c r="K43" s="49"/>
      <x:c r="L43" s="49"/>
      <x:c r="M43" s="49"/>
      <x:c r="N43" s="49"/>
      <x:c r="O43" s="49"/>
      <x:c r="P43" s="49"/>
      <x:c r="Q43" s="49"/>
      <x:c r="R43" s="49"/>
      <x:c r="S43" s="49"/>
      <x:c r="T43" s="49"/>
      <x:c r="U43" s="49"/>
      <x:c r="V43" s="49"/>
      <x:c r="W43" s="49"/>
      <x:c r="X43" s="49"/>
      <x:c r="Y43" s="49"/>
      <x:c r="Z43" s="49"/>
      <x:c r="AA43" s="49"/>
      <x:c r="AB43" s="49"/>
      <x:c r="AC43" s="49"/>
      <x:c r="AD43" s="49"/>
      <x:c r="AE43" s="49"/>
      <x:c r="AF43" s="49"/>
      <x:c r="AG43" s="49"/>
      <x:c r="AH43" s="49"/>
      <x:c r="AI43" s="49"/>
      <x:c r="AJ43" s="49"/>
      <x:c r="AK43" s="49"/>
      <x:c r="AL43" s="49"/>
      <x:c r="AM43" s="49"/>
      <x:c r="AN43" s="49"/>
      <x:c r="AO43" s="49"/>
      <x:c r="AP43" s="49"/>
      <x:c r="AQ43" s="49"/>
      <x:c r="AR43" s="49"/>
      <x:c r="AS43" s="49"/>
      <x:c r="AT43" s="49"/>
      <x:c r="AU43" s="49"/>
      <x:c r="AV43" s="49"/>
      <x:c r="AW43" s="49"/>
      <x:c r="AX43" s="49"/>
      <x:c r="AY43" s="49"/>
      <x:c r="AZ43" s="49"/>
    </x:row>
    <x:row r="44">
      <x:c r="A44" s="49"/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49"/>
      <x:c r="N44" s="49"/>
      <x:c r="O44" s="49"/>
      <x:c r="P44" s="49"/>
      <x:c r="Q44" s="49"/>
      <x:c r="R44" s="49"/>
      <x:c r="S44" s="49"/>
      <x:c r="T44" s="49"/>
      <x:c r="U44" s="49"/>
      <x:c r="V44" s="49"/>
      <x:c r="W44" s="49"/>
      <x:c r="X44" s="49"/>
      <x:c r="Y44" s="49"/>
      <x:c r="Z44" s="49"/>
      <x:c r="AA44" s="49"/>
      <x:c r="AB44" s="49"/>
      <x:c r="AC44" s="49"/>
      <x:c r="AD44" s="49"/>
      <x:c r="AE44" s="49"/>
      <x:c r="AF44" s="49"/>
      <x:c r="AG44" s="49"/>
      <x:c r="AH44" s="49"/>
      <x:c r="AI44" s="49"/>
      <x:c r="AJ44" s="49"/>
      <x:c r="AK44" s="49"/>
      <x:c r="AL44" s="49"/>
      <x:c r="AM44" s="49"/>
      <x:c r="AN44" s="49"/>
      <x:c r="AO44" s="49"/>
      <x:c r="AP44" s="49"/>
      <x:c r="AQ44" s="49"/>
      <x:c r="AR44" s="49"/>
      <x:c r="AS44" s="49"/>
      <x:c r="AT44" s="49"/>
      <x:c r="AU44" s="49"/>
      <x:c r="AV44" s="49"/>
      <x:c r="AW44" s="49"/>
      <x:c r="AX44" s="49"/>
      <x:c r="AY44" s="49"/>
      <x:c r="AZ44" s="49"/>
    </x:row>
    <x:row r="45">
      <x:c r="A45" s="49"/>
      <x:c r="B45" s="49"/>
      <x:c r="C45" s="49"/>
      <x:c r="D45" s="49"/>
      <x:c r="E45" s="49"/>
      <x:c r="F45" s="49"/>
      <x:c r="G45" s="49"/>
      <x:c r="H45" s="49"/>
      <x:c r="I45" s="49"/>
      <x:c r="J45" s="49"/>
      <x:c r="K45" s="49"/>
      <x:c r="L45" s="49"/>
      <x:c r="M45" s="49"/>
      <x:c r="N45" s="49"/>
      <x:c r="O45" s="49"/>
      <x:c r="P45" s="49"/>
      <x:c r="Q45" s="49"/>
      <x:c r="R45" s="49"/>
      <x:c r="S45" s="49"/>
      <x:c r="T45" s="49"/>
      <x:c r="U45" s="49"/>
      <x:c r="V45" s="49"/>
      <x:c r="W45" s="49"/>
      <x:c r="X45" s="49"/>
      <x:c r="Y45" s="49"/>
      <x:c r="Z45" s="49"/>
      <x:c r="AA45" s="49"/>
      <x:c r="AB45" s="49"/>
      <x:c r="AC45" s="49"/>
      <x:c r="AD45" s="49"/>
      <x:c r="AE45" s="49"/>
      <x:c r="AF45" s="49"/>
      <x:c r="AG45" s="49"/>
      <x:c r="AH45" s="49"/>
      <x:c r="AI45" s="49"/>
      <x:c r="AJ45" s="49"/>
      <x:c r="AK45" s="49"/>
      <x:c r="AL45" s="49"/>
      <x:c r="AM45" s="49"/>
      <x:c r="AN45" s="49"/>
      <x:c r="AO45" s="49"/>
      <x:c r="AP45" s="49"/>
      <x:c r="AQ45" s="49"/>
      <x:c r="AR45" s="49"/>
      <x:c r="AS45" s="49"/>
      <x:c r="AT45" s="49"/>
      <x:c r="AU45" s="49"/>
      <x:c r="AV45" s="49"/>
      <x:c r="AW45" s="49"/>
      <x:c r="AX45" s="49"/>
      <x:c r="AY45" s="49"/>
      <x:c r="AZ45" s="49"/>
    </x:row>
    <x:row r="46">
      <x:c r="A46" s="49"/>
      <x:c r="B46" s="49"/>
      <x:c r="C46" s="49"/>
      <x:c r="D46" s="49"/>
      <x:c r="E46" s="49"/>
      <x:c r="F46" s="49"/>
      <x:c r="G46" s="49"/>
      <x:c r="H46" s="49"/>
      <x:c r="I46" s="49"/>
      <x:c r="J46" s="49"/>
      <x:c r="K46" s="49"/>
      <x:c r="L46" s="49"/>
      <x:c r="M46" s="49"/>
      <x:c r="N46" s="49"/>
      <x:c r="O46" s="49"/>
      <x:c r="P46" s="49"/>
      <x:c r="Q46" s="49"/>
      <x:c r="R46" s="49"/>
      <x:c r="S46" s="49"/>
      <x:c r="T46" s="49"/>
      <x:c r="U46" s="49"/>
      <x:c r="V46" s="49"/>
      <x:c r="W46" s="49"/>
      <x:c r="X46" s="49"/>
      <x:c r="Y46" s="49"/>
      <x:c r="Z46" s="49"/>
      <x:c r="AA46" s="49"/>
      <x:c r="AB46" s="49"/>
      <x:c r="AC46" s="49"/>
      <x:c r="AD46" s="49"/>
      <x:c r="AE46" s="49"/>
      <x:c r="AF46" s="49"/>
      <x:c r="AG46" s="49"/>
      <x:c r="AH46" s="49"/>
      <x:c r="AI46" s="49"/>
      <x:c r="AJ46" s="49"/>
      <x:c r="AK46" s="49"/>
      <x:c r="AL46" s="49"/>
      <x:c r="AM46" s="49"/>
      <x:c r="AN46" s="49"/>
      <x:c r="AO46" s="49"/>
      <x:c r="AP46" s="49"/>
      <x:c r="AQ46" s="49"/>
      <x:c r="AR46" s="49"/>
      <x:c r="AS46" s="49"/>
      <x:c r="AT46" s="49"/>
      <x:c r="AU46" s="49"/>
      <x:c r="AV46" s="49"/>
      <x:c r="AW46" s="49"/>
      <x:c r="AX46" s="49"/>
      <x:c r="AY46" s="49"/>
      <x:c r="AZ46" s="49"/>
    </x:row>
    <x:row r="47">
      <x:c r="A47" s="49"/>
      <x:c r="B47" s="49"/>
      <x:c r="C47" s="49"/>
      <x:c r="D47" s="49"/>
      <x:c r="E47" s="49"/>
      <x:c r="F47" s="49"/>
      <x:c r="G47" s="49"/>
      <x:c r="H47" s="49"/>
      <x:c r="I47" s="49"/>
      <x:c r="J47" s="49"/>
      <x:c r="K47" s="49"/>
      <x:c r="L47" s="49"/>
      <x:c r="M47" s="49"/>
      <x:c r="N47" s="49"/>
      <x:c r="O47" s="49"/>
      <x:c r="P47" s="49"/>
      <x:c r="Q47" s="49"/>
      <x:c r="R47" s="49"/>
      <x:c r="S47" s="49"/>
      <x:c r="T47" s="49"/>
      <x:c r="U47" s="49"/>
      <x:c r="V47" s="49"/>
      <x:c r="W47" s="49"/>
      <x:c r="X47" s="49"/>
      <x:c r="Y47" s="49"/>
      <x:c r="Z47" s="49"/>
      <x:c r="AA47" s="49"/>
      <x:c r="AB47" s="49"/>
      <x:c r="AC47" s="49"/>
      <x:c r="AD47" s="49"/>
      <x:c r="AE47" s="49"/>
      <x:c r="AF47" s="49"/>
      <x:c r="AG47" s="49"/>
      <x:c r="AH47" s="49"/>
      <x:c r="AI47" s="49"/>
      <x:c r="AJ47" s="49"/>
      <x:c r="AK47" s="49"/>
      <x:c r="AL47" s="49"/>
      <x:c r="AM47" s="49"/>
      <x:c r="AN47" s="49"/>
      <x:c r="AO47" s="49"/>
      <x:c r="AP47" s="49"/>
      <x:c r="AQ47" s="49"/>
      <x:c r="AR47" s="49"/>
      <x:c r="AS47" s="49"/>
      <x:c r="AT47" s="49"/>
      <x:c r="AU47" s="49"/>
      <x:c r="AV47" s="49"/>
      <x:c r="AW47" s="49"/>
      <x:c r="AX47" s="49"/>
      <x:c r="AY47" s="49"/>
      <x:c r="AZ47" s="49"/>
    </x:row>
    <x:row r="48">
      <x:c r="A48" s="49"/>
      <x:c r="B48" s="49"/>
      <x:c r="C48" s="49"/>
      <x:c r="D48" s="49"/>
      <x:c r="E48" s="49"/>
      <x:c r="F48" s="49"/>
      <x:c r="G48" s="49"/>
      <x:c r="H48" s="49"/>
      <x:c r="I48" s="49"/>
      <x:c r="J48" s="49"/>
      <x:c r="K48" s="49"/>
      <x:c r="L48" s="49"/>
      <x:c r="M48" s="49"/>
      <x:c r="N48" s="49"/>
      <x:c r="O48" s="49"/>
      <x:c r="P48" s="49"/>
      <x:c r="Q48" s="49"/>
      <x:c r="R48" s="49"/>
      <x:c r="S48" s="49"/>
      <x:c r="T48" s="49"/>
      <x:c r="U48" s="49"/>
      <x:c r="V48" s="49"/>
      <x:c r="W48" s="49"/>
      <x:c r="X48" s="49"/>
      <x:c r="Y48" s="49"/>
      <x:c r="Z48" s="49"/>
      <x:c r="AA48" s="49"/>
      <x:c r="AB48" s="49"/>
      <x:c r="AC48" s="49"/>
      <x:c r="AD48" s="49"/>
      <x:c r="AE48" s="49"/>
      <x:c r="AF48" s="49"/>
      <x:c r="AG48" s="49"/>
      <x:c r="AH48" s="49"/>
      <x:c r="AI48" s="49"/>
      <x:c r="AJ48" s="49"/>
      <x:c r="AK48" s="49"/>
      <x:c r="AL48" s="49"/>
      <x:c r="AM48" s="49"/>
      <x:c r="AN48" s="49"/>
      <x:c r="AO48" s="49"/>
      <x:c r="AP48" s="49"/>
      <x:c r="AQ48" s="49"/>
      <x:c r="AR48" s="49"/>
      <x:c r="AS48" s="49"/>
      <x:c r="AT48" s="49"/>
      <x:c r="AU48" s="49"/>
      <x:c r="AV48" s="49"/>
      <x:c r="AW48" s="49"/>
      <x:c r="AX48" s="49"/>
      <x:c r="AY48" s="49"/>
      <x:c r="AZ48" s="49"/>
    </x:row>
    <x:row r="49">
      <x:c r="A49" s="49"/>
      <x:c r="B49" s="49"/>
      <x:c r="C49" s="49"/>
      <x:c r="D49" s="49"/>
      <x:c r="E49" s="49"/>
      <x:c r="F49" s="49"/>
      <x:c r="G49" s="49"/>
      <x:c r="H49" s="49"/>
      <x:c r="I49" s="49"/>
      <x:c r="J49" s="49"/>
      <x:c r="K49" s="49"/>
      <x:c r="L49" s="49"/>
      <x:c r="M49" s="49"/>
      <x:c r="N49" s="49"/>
      <x:c r="O49" s="49"/>
      <x:c r="P49" s="49"/>
      <x:c r="Q49" s="49"/>
      <x:c r="R49" s="49"/>
      <x:c r="S49" s="49"/>
      <x:c r="T49" s="49"/>
      <x:c r="U49" s="49"/>
      <x:c r="V49" s="49"/>
      <x:c r="W49" s="49"/>
      <x:c r="X49" s="49"/>
      <x:c r="Y49" s="49"/>
      <x:c r="Z49" s="49"/>
      <x:c r="AA49" s="49"/>
      <x:c r="AB49" s="49"/>
      <x:c r="AC49" s="49"/>
      <x:c r="AD49" s="49"/>
      <x:c r="AE49" s="49"/>
      <x:c r="AF49" s="49"/>
      <x:c r="AG49" s="49"/>
      <x:c r="AH49" s="49"/>
      <x:c r="AI49" s="49"/>
      <x:c r="AJ49" s="49"/>
      <x:c r="AK49" s="49"/>
      <x:c r="AL49" s="49"/>
      <x:c r="AM49" s="49"/>
      <x:c r="AN49" s="49"/>
      <x:c r="AO49" s="49"/>
      <x:c r="AP49" s="49"/>
      <x:c r="AQ49" s="49"/>
      <x:c r="AR49" s="49"/>
      <x:c r="AS49" s="49"/>
      <x:c r="AT49" s="49"/>
      <x:c r="AU49" s="49"/>
      <x:c r="AV49" s="49"/>
      <x:c r="AW49" s="49"/>
      <x:c r="AX49" s="49"/>
      <x:c r="AY49" s="49"/>
      <x:c r="AZ49" s="49"/>
    </x:row>
    <x:row r="50">
      <x:c r="A50" s="49"/>
      <x:c r="B50" s="49"/>
      <x:c r="C50" s="49"/>
      <x:c r="D50" s="49"/>
      <x:c r="E50" s="49"/>
      <x:c r="F50" s="49"/>
      <x:c r="G50" s="49"/>
      <x:c r="H50" s="49"/>
      <x:c r="I50" s="49"/>
      <x:c r="J50" s="49"/>
      <x:c r="K50" s="49"/>
      <x:c r="L50" s="49"/>
      <x:c r="M50" s="49"/>
      <x:c r="N50" s="49"/>
      <x:c r="O50" s="49"/>
      <x:c r="P50" s="49"/>
      <x:c r="Q50" s="49"/>
      <x:c r="R50" s="49"/>
      <x:c r="S50" s="49"/>
      <x:c r="T50" s="49"/>
      <x:c r="U50" s="49"/>
      <x:c r="V50" s="49"/>
      <x:c r="W50" s="49"/>
      <x:c r="X50" s="49"/>
      <x:c r="Y50" s="49"/>
      <x:c r="Z50" s="49"/>
      <x:c r="AA50" s="49"/>
      <x:c r="AB50" s="49"/>
      <x:c r="AC50" s="49"/>
      <x:c r="AD50" s="49"/>
      <x:c r="AE50" s="49"/>
      <x:c r="AF50" s="49"/>
      <x:c r="AG50" s="49"/>
      <x:c r="AH50" s="49"/>
      <x:c r="AI50" s="49"/>
      <x:c r="AJ50" s="49"/>
      <x:c r="AK50" s="49"/>
      <x:c r="AL50" s="49"/>
      <x:c r="AM50" s="49"/>
      <x:c r="AN50" s="49"/>
      <x:c r="AO50" s="49"/>
      <x:c r="AP50" s="49"/>
      <x:c r="AQ50" s="49"/>
      <x:c r="AR50" s="49"/>
      <x:c r="AS50" s="49"/>
      <x:c r="AT50" s="49"/>
      <x:c r="AU50" s="49"/>
      <x:c r="AV50" s="49"/>
      <x:c r="AW50" s="49"/>
      <x:c r="AX50" s="49"/>
      <x:c r="AY50" s="49"/>
      <x:c r="AZ50" s="49"/>
    </x:row>
    <x:row r="51">
      <x:c r="A51" s="49"/>
      <x:c r="B51" s="49"/>
      <x:c r="C51" s="49"/>
      <x:c r="D51" s="49"/>
      <x:c r="E51" s="49"/>
      <x:c r="F51" s="49"/>
      <x:c r="G51" s="49"/>
      <x:c r="H51" s="49"/>
      <x:c r="I51" s="49"/>
      <x:c r="J51" s="49"/>
      <x:c r="K51" s="49"/>
      <x:c r="L51" s="49"/>
      <x:c r="M51" s="49"/>
      <x:c r="N51" s="49"/>
      <x:c r="O51" s="49"/>
      <x:c r="P51" s="49"/>
      <x:c r="Q51" s="49"/>
      <x:c r="R51" s="49"/>
      <x:c r="S51" s="49"/>
      <x:c r="T51" s="49"/>
      <x:c r="U51" s="49"/>
      <x:c r="V51" s="49"/>
      <x:c r="W51" s="49"/>
      <x:c r="X51" s="49"/>
      <x:c r="Y51" s="49"/>
      <x:c r="Z51" s="49"/>
      <x:c r="AA51" s="49"/>
      <x:c r="AB51" s="49"/>
      <x:c r="AC51" s="49"/>
      <x:c r="AD51" s="49"/>
      <x:c r="AE51" s="49"/>
      <x:c r="AF51" s="49"/>
      <x:c r="AG51" s="49"/>
      <x:c r="AH51" s="49"/>
      <x:c r="AI51" s="49"/>
      <x:c r="AJ51" s="49"/>
      <x:c r="AK51" s="49"/>
      <x:c r="AL51" s="49"/>
      <x:c r="AM51" s="49"/>
      <x:c r="AN51" s="49"/>
      <x:c r="AO51" s="49"/>
      <x:c r="AP51" s="49"/>
      <x:c r="AQ51" s="49"/>
      <x:c r="AR51" s="49"/>
      <x:c r="AS51" s="49"/>
      <x:c r="AT51" s="49"/>
      <x:c r="AU51" s="49"/>
      <x:c r="AV51" s="49"/>
      <x:c r="AW51" s="49"/>
      <x:c r="AX51" s="49"/>
      <x:c r="AY51" s="49"/>
      <x:c r="AZ51" s="49"/>
    </x:row>
    <x:row r="52">
      <x:c r="A52" s="49"/>
      <x:c r="B52" s="49"/>
      <x:c r="C52" s="49"/>
      <x:c r="D52" s="49"/>
      <x:c r="E52" s="49"/>
      <x:c r="F52" s="49"/>
      <x:c r="G52" s="49"/>
      <x:c r="H52" s="49"/>
      <x:c r="I52" s="49"/>
      <x:c r="J52" s="49"/>
      <x:c r="K52" s="49"/>
      <x:c r="L52" s="49"/>
      <x:c r="M52" s="49"/>
      <x:c r="N52" s="49"/>
      <x:c r="O52" s="49"/>
      <x:c r="P52" s="49"/>
      <x:c r="Q52" s="49"/>
      <x:c r="R52" s="49"/>
      <x:c r="S52" s="49"/>
      <x:c r="T52" s="49"/>
      <x:c r="U52" s="49"/>
      <x:c r="V52" s="49"/>
      <x:c r="W52" s="49"/>
      <x:c r="X52" s="49"/>
      <x:c r="Y52" s="49"/>
      <x:c r="Z52" s="49"/>
      <x:c r="AA52" s="49"/>
      <x:c r="AB52" s="49"/>
      <x:c r="AC52" s="49"/>
      <x:c r="AD52" s="49"/>
      <x:c r="AE52" s="49"/>
      <x:c r="AF52" s="49"/>
      <x:c r="AG52" s="49"/>
      <x:c r="AH52" s="49"/>
      <x:c r="AI52" s="49"/>
      <x:c r="AJ52" s="49"/>
      <x:c r="AK52" s="49"/>
      <x:c r="AL52" s="49"/>
      <x:c r="AM52" s="49"/>
      <x:c r="AN52" s="49"/>
      <x:c r="AO52" s="49"/>
      <x:c r="AP52" s="49"/>
      <x:c r="AQ52" s="49"/>
      <x:c r="AR52" s="49"/>
      <x:c r="AS52" s="49"/>
      <x:c r="AT52" s="49"/>
      <x:c r="AU52" s="49"/>
      <x:c r="AV52" s="49"/>
      <x:c r="AW52" s="49"/>
      <x:c r="AX52" s="49"/>
      <x:c r="AY52" s="49"/>
      <x:c r="AZ52" s="49"/>
    </x:row>
    <x:row r="53">
      <x:c r="A53" s="49"/>
      <x:c r="B53" s="49"/>
      <x:c r="C53" s="49"/>
      <x:c r="D53" s="49"/>
      <x:c r="E53" s="49"/>
      <x:c r="F53" s="49"/>
      <x:c r="G53" s="49"/>
      <x:c r="H53" s="49"/>
      <x:c r="I53" s="49"/>
      <x:c r="J53" s="49"/>
      <x:c r="K53" s="49"/>
      <x:c r="L53" s="49"/>
      <x:c r="M53" s="49"/>
      <x:c r="N53" s="49"/>
      <x:c r="O53" s="49"/>
      <x:c r="P53" s="49"/>
      <x:c r="Q53" s="49"/>
      <x:c r="R53" s="49"/>
      <x:c r="S53" s="49"/>
      <x:c r="T53" s="49"/>
      <x:c r="U53" s="49"/>
      <x:c r="V53" s="49"/>
      <x:c r="W53" s="49"/>
      <x:c r="X53" s="49"/>
      <x:c r="Y53" s="49"/>
      <x:c r="Z53" s="49"/>
      <x:c r="AA53" s="49"/>
      <x:c r="AB53" s="49"/>
      <x:c r="AC53" s="49"/>
      <x:c r="AD53" s="49"/>
      <x:c r="AE53" s="49"/>
      <x:c r="AF53" s="49"/>
      <x:c r="AG53" s="49"/>
      <x:c r="AH53" s="49"/>
      <x:c r="AI53" s="49"/>
      <x:c r="AJ53" s="49"/>
      <x:c r="AK53" s="49"/>
      <x:c r="AL53" s="49"/>
      <x:c r="AM53" s="49"/>
      <x:c r="AN53" s="49"/>
      <x:c r="AO53" s="49"/>
      <x:c r="AP53" s="49"/>
      <x:c r="AQ53" s="49"/>
      <x:c r="AR53" s="49"/>
      <x:c r="AS53" s="49"/>
      <x:c r="AT53" s="49"/>
      <x:c r="AU53" s="49"/>
      <x:c r="AV53" s="49"/>
      <x:c r="AW53" s="49"/>
      <x:c r="AX53" s="49"/>
      <x:c r="AY53" s="49"/>
      <x:c r="AZ53" s="49"/>
    </x:row>
    <x:row r="54">
      <x:c r="A54" s="49"/>
      <x:c r="B54" s="49"/>
      <x:c r="C54" s="49"/>
      <x:c r="D54" s="49"/>
      <x:c r="E54" s="49"/>
      <x:c r="F54" s="49"/>
      <x:c r="G54" s="49"/>
      <x:c r="H54" s="49"/>
      <x:c r="I54" s="49"/>
      <x:c r="J54" s="49"/>
      <x:c r="K54" s="49"/>
      <x:c r="L54" s="49"/>
      <x:c r="M54" s="49"/>
      <x:c r="N54" s="49"/>
      <x:c r="O54" s="49"/>
      <x:c r="P54" s="49"/>
      <x:c r="Q54" s="49"/>
      <x:c r="R54" s="49"/>
      <x:c r="S54" s="49"/>
      <x:c r="T54" s="49"/>
      <x:c r="U54" s="49"/>
      <x:c r="V54" s="49"/>
      <x:c r="W54" s="49"/>
      <x:c r="X54" s="49"/>
      <x:c r="Y54" s="49"/>
      <x:c r="Z54" s="49"/>
      <x:c r="AA54" s="49"/>
      <x:c r="AB54" s="49"/>
      <x:c r="AC54" s="49"/>
      <x:c r="AD54" s="49"/>
      <x:c r="AE54" s="49"/>
      <x:c r="AF54" s="49"/>
      <x:c r="AG54" s="49"/>
      <x:c r="AH54" s="49"/>
      <x:c r="AI54" s="49"/>
      <x:c r="AJ54" s="49"/>
      <x:c r="AK54" s="49"/>
      <x:c r="AL54" s="49"/>
      <x:c r="AM54" s="49"/>
      <x:c r="AN54" s="49"/>
      <x:c r="AO54" s="49"/>
      <x:c r="AP54" s="49"/>
      <x:c r="AQ54" s="49"/>
      <x:c r="AR54" s="49"/>
      <x:c r="AS54" s="49"/>
      <x:c r="AT54" s="49"/>
      <x:c r="AU54" s="49"/>
      <x:c r="AV54" s="49"/>
      <x:c r="AW54" s="49"/>
      <x:c r="AX54" s="49"/>
      <x:c r="AY54" s="49"/>
      <x:c r="AZ54" s="49"/>
    </x:row>
    <x:row r="55">
      <x:c r="A55" s="49"/>
      <x:c r="B55" s="49"/>
      <x:c r="C55" s="49"/>
      <x:c r="D55" s="49"/>
      <x:c r="E55" s="49"/>
      <x:c r="F55" s="49"/>
      <x:c r="G55" s="49"/>
      <x:c r="H55" s="49"/>
      <x:c r="I55" s="49"/>
      <x:c r="J55" s="49"/>
      <x:c r="K55" s="49"/>
      <x:c r="L55" s="49"/>
      <x:c r="M55" s="49"/>
      <x:c r="N55" s="49"/>
      <x:c r="O55" s="49"/>
      <x:c r="P55" s="49"/>
      <x:c r="Q55" s="49"/>
      <x:c r="R55" s="49"/>
      <x:c r="S55" s="49"/>
      <x:c r="T55" s="49"/>
      <x:c r="U55" s="49"/>
      <x:c r="V55" s="49"/>
      <x:c r="W55" s="49"/>
      <x:c r="X55" s="49"/>
      <x:c r="Y55" s="49"/>
      <x:c r="Z55" s="49"/>
      <x:c r="AA55" s="49"/>
      <x:c r="AB55" s="49"/>
      <x:c r="AC55" s="49"/>
      <x:c r="AD55" s="49"/>
      <x:c r="AE55" s="49"/>
      <x:c r="AF55" s="49"/>
      <x:c r="AG55" s="49"/>
      <x:c r="AH55" s="49"/>
      <x:c r="AI55" s="49"/>
      <x:c r="AJ55" s="49"/>
      <x:c r="AK55" s="49"/>
      <x:c r="AL55" s="49"/>
      <x:c r="AM55" s="49"/>
      <x:c r="AN55" s="49"/>
      <x:c r="AO55" s="49"/>
      <x:c r="AP55" s="49"/>
      <x:c r="AQ55" s="49"/>
      <x:c r="AR55" s="49"/>
      <x:c r="AS55" s="49"/>
      <x:c r="AT55" s="49"/>
      <x:c r="AU55" s="49"/>
      <x:c r="AV55" s="49"/>
      <x:c r="AW55" s="49"/>
      <x:c r="AX55" s="49"/>
      <x:c r="AY55" s="49"/>
      <x:c r="AZ55" s="49"/>
    </x:row>
    <x:row r="56">
      <x:c r="A56" s="49"/>
      <x:c r="B56" s="49"/>
      <x:c r="C56" s="49"/>
      <x:c r="D56" s="49"/>
      <x:c r="E56" s="49"/>
      <x:c r="F56" s="49"/>
      <x:c r="G56" s="49"/>
      <x:c r="H56" s="49"/>
      <x:c r="I56" s="49"/>
      <x:c r="J56" s="49"/>
      <x:c r="K56" s="49"/>
      <x:c r="L56" s="49"/>
      <x:c r="M56" s="49"/>
      <x:c r="N56" s="49"/>
      <x:c r="O56" s="49"/>
      <x:c r="P56" s="49"/>
      <x:c r="Q56" s="49"/>
      <x:c r="R56" s="49"/>
      <x:c r="S56" s="49"/>
      <x:c r="T56" s="49"/>
      <x:c r="U56" s="49"/>
      <x:c r="V56" s="49"/>
      <x:c r="W56" s="49"/>
      <x:c r="X56" s="49"/>
      <x:c r="Y56" s="49"/>
      <x:c r="Z56" s="49"/>
      <x:c r="AA56" s="49"/>
      <x:c r="AB56" s="49"/>
      <x:c r="AC56" s="49"/>
      <x:c r="AD56" s="49"/>
      <x:c r="AE56" s="49"/>
      <x:c r="AF56" s="49"/>
      <x:c r="AG56" s="49"/>
      <x:c r="AH56" s="49"/>
      <x:c r="AI56" s="49"/>
      <x:c r="AJ56" s="49"/>
      <x:c r="AK56" s="49"/>
      <x:c r="AL56" s="49"/>
      <x:c r="AM56" s="49"/>
      <x:c r="AN56" s="49"/>
      <x:c r="AO56" s="49"/>
      <x:c r="AP56" s="49"/>
      <x:c r="AQ56" s="49"/>
      <x:c r="AR56" s="49"/>
      <x:c r="AS56" s="49"/>
      <x:c r="AT56" s="49"/>
      <x:c r="AU56" s="49"/>
      <x:c r="AV56" s="49"/>
      <x:c r="AW56" s="49"/>
      <x:c r="AX56" s="49"/>
      <x:c r="AY56" s="49"/>
      <x:c r="AZ56" s="49"/>
    </x:row>
    <x:row r="57">
      <x:c r="A57" s="49"/>
      <x:c r="B57" s="49"/>
      <x:c r="C57" s="49"/>
      <x:c r="D57" s="49"/>
      <x:c r="E57" s="49"/>
      <x:c r="F57" s="49"/>
      <x:c r="G57" s="49"/>
      <x:c r="H57" s="49"/>
      <x:c r="I57" s="49"/>
      <x:c r="J57" s="49"/>
      <x:c r="K57" s="49"/>
      <x:c r="L57" s="49"/>
      <x:c r="M57" s="49"/>
      <x:c r="N57" s="49"/>
      <x:c r="O57" s="49"/>
      <x:c r="P57" s="49"/>
      <x:c r="Q57" s="49"/>
      <x:c r="R57" s="49"/>
      <x:c r="S57" s="49"/>
      <x:c r="T57" s="49"/>
      <x:c r="U57" s="49"/>
      <x:c r="V57" s="49"/>
      <x:c r="W57" s="49"/>
      <x:c r="X57" s="49"/>
      <x:c r="Y57" s="49"/>
      <x:c r="Z57" s="49"/>
      <x:c r="AA57" s="49"/>
      <x:c r="AB57" s="49"/>
      <x:c r="AC57" s="49"/>
      <x:c r="AD57" s="49"/>
      <x:c r="AE57" s="49"/>
      <x:c r="AF57" s="49"/>
      <x:c r="AG57" s="49"/>
      <x:c r="AH57" s="49"/>
      <x:c r="AI57" s="49"/>
      <x:c r="AJ57" s="49"/>
      <x:c r="AK57" s="49"/>
      <x:c r="AL57" s="49"/>
      <x:c r="AM57" s="49"/>
      <x:c r="AN57" s="49"/>
      <x:c r="AO57" s="49"/>
      <x:c r="AP57" s="49"/>
      <x:c r="AQ57" s="49"/>
      <x:c r="AR57" s="49"/>
      <x:c r="AS57" s="49"/>
      <x:c r="AT57" s="49"/>
      <x:c r="AU57" s="49"/>
      <x:c r="AV57" s="49"/>
      <x:c r="AW57" s="49"/>
      <x:c r="AX57" s="49"/>
      <x:c r="AY57" s="49"/>
      <x:c r="AZ57" s="49"/>
    </x:row>
    <x:row r="58">
      <x:c r="A58" s="49"/>
      <x:c r="B58" s="49"/>
      <x:c r="C58" s="49"/>
      <x:c r="D58" s="49"/>
      <x:c r="E58" s="49"/>
      <x:c r="F58" s="49"/>
      <x:c r="G58" s="49"/>
      <x:c r="H58" s="49"/>
      <x:c r="I58" s="49"/>
      <x:c r="J58" s="49"/>
      <x:c r="K58" s="49"/>
      <x:c r="L58" s="49"/>
      <x:c r="M58" s="49"/>
      <x:c r="N58" s="49"/>
      <x:c r="O58" s="49"/>
      <x:c r="P58" s="49"/>
      <x:c r="Q58" s="49"/>
      <x:c r="R58" s="49"/>
      <x:c r="S58" s="49"/>
      <x:c r="T58" s="49"/>
      <x:c r="U58" s="49"/>
      <x:c r="V58" s="49"/>
      <x:c r="W58" s="49"/>
      <x:c r="X58" s="49"/>
      <x:c r="Y58" s="49"/>
      <x:c r="Z58" s="49"/>
      <x:c r="AA58" s="49"/>
      <x:c r="AB58" s="49"/>
      <x:c r="AC58" s="49"/>
      <x:c r="AD58" s="49"/>
      <x:c r="AE58" s="49"/>
      <x:c r="AF58" s="49"/>
      <x:c r="AG58" s="49"/>
      <x:c r="AH58" s="49"/>
      <x:c r="AI58" s="49"/>
      <x:c r="AJ58" s="49"/>
      <x:c r="AK58" s="49"/>
      <x:c r="AL58" s="49"/>
      <x:c r="AM58" s="49"/>
      <x:c r="AN58" s="49"/>
      <x:c r="AO58" s="49"/>
      <x:c r="AP58" s="49"/>
      <x:c r="AQ58" s="49"/>
      <x:c r="AR58" s="49"/>
      <x:c r="AS58" s="49"/>
      <x:c r="AT58" s="49"/>
      <x:c r="AU58" s="49"/>
      <x:c r="AV58" s="49"/>
      <x:c r="AW58" s="49"/>
      <x:c r="AX58" s="49"/>
      <x:c r="AY58" s="49"/>
      <x:c r="AZ58" s="49"/>
    </x:row>
    <x:row r="59">
      <x:c r="A59" s="49"/>
      <x:c r="B59" s="49"/>
      <x:c r="C59" s="49"/>
      <x:c r="D59" s="49"/>
      <x:c r="E59" s="49"/>
      <x:c r="F59" s="49"/>
      <x:c r="G59" s="49"/>
      <x:c r="H59" s="49"/>
      <x:c r="I59" s="49"/>
      <x:c r="J59" s="49"/>
      <x:c r="K59" s="49"/>
      <x:c r="L59" s="49"/>
      <x:c r="M59" s="49"/>
      <x:c r="N59" s="49"/>
      <x:c r="O59" s="49"/>
      <x:c r="P59" s="49"/>
      <x:c r="Q59" s="49"/>
      <x:c r="R59" s="49"/>
      <x:c r="S59" s="49"/>
      <x:c r="T59" s="49"/>
      <x:c r="U59" s="49"/>
      <x:c r="V59" s="49"/>
      <x:c r="W59" s="49"/>
      <x:c r="X59" s="49"/>
      <x:c r="Y59" s="49"/>
      <x:c r="Z59" s="49"/>
      <x:c r="AA59" s="49"/>
      <x:c r="AB59" s="49"/>
      <x:c r="AC59" s="49"/>
      <x:c r="AD59" s="49"/>
      <x:c r="AE59" s="49"/>
      <x:c r="AF59" s="49"/>
      <x:c r="AG59" s="49"/>
      <x:c r="AH59" s="49"/>
      <x:c r="AI59" s="49"/>
      <x:c r="AJ59" s="49"/>
      <x:c r="AK59" s="49"/>
      <x:c r="AL59" s="49"/>
      <x:c r="AM59" s="49"/>
      <x:c r="AN59" s="49"/>
      <x:c r="AO59" s="49"/>
      <x:c r="AP59" s="49"/>
      <x:c r="AQ59" s="49"/>
      <x:c r="AR59" s="49"/>
      <x:c r="AS59" s="49"/>
      <x:c r="AT59" s="49"/>
      <x:c r="AU59" s="49"/>
      <x:c r="AV59" s="49"/>
      <x:c r="AW59" s="49"/>
      <x:c r="AX59" s="49"/>
      <x:c r="AY59" s="49"/>
      <x:c r="AZ59" s="49"/>
    </x:row>
    <x:row r="60">
      <x:c r="A60" s="49"/>
      <x:c r="B60" s="49"/>
      <x:c r="C60" s="49"/>
      <x:c r="D60" s="49"/>
      <x:c r="E60" s="49"/>
      <x:c r="F60" s="49"/>
      <x:c r="G60" s="49"/>
      <x:c r="H60" s="49"/>
      <x:c r="I60" s="49"/>
      <x:c r="J60" s="49"/>
      <x:c r="K60" s="49"/>
      <x:c r="L60" s="49"/>
      <x:c r="M60" s="49"/>
      <x:c r="N60" s="49"/>
      <x:c r="O60" s="49"/>
      <x:c r="P60" s="49"/>
      <x:c r="Q60" s="49"/>
      <x:c r="R60" s="49"/>
      <x:c r="S60" s="49"/>
      <x:c r="T60" s="49"/>
      <x:c r="U60" s="49"/>
      <x:c r="V60" s="49"/>
      <x:c r="W60" s="49"/>
      <x:c r="X60" s="49"/>
      <x:c r="Y60" s="49"/>
      <x:c r="Z60" s="49"/>
      <x:c r="AA60" s="49"/>
      <x:c r="AB60" s="49"/>
      <x:c r="AC60" s="49"/>
      <x:c r="AD60" s="49"/>
      <x:c r="AE60" s="49"/>
      <x:c r="AF60" s="49"/>
      <x:c r="AG60" s="49"/>
      <x:c r="AH60" s="49"/>
      <x:c r="AI60" s="49"/>
      <x:c r="AJ60" s="49"/>
      <x:c r="AK60" s="49"/>
      <x:c r="AL60" s="49"/>
      <x:c r="AM60" s="49"/>
      <x:c r="AN60" s="49"/>
      <x:c r="AO60" s="49"/>
      <x:c r="AP60" s="49"/>
      <x:c r="AQ60" s="49"/>
      <x:c r="AR60" s="49"/>
      <x:c r="AS60" s="49"/>
      <x:c r="AT60" s="49"/>
      <x:c r="AU60" s="49"/>
      <x:c r="AV60" s="49"/>
      <x:c r="AW60" s="49"/>
      <x:c r="AX60" s="49"/>
      <x:c r="AY60" s="49"/>
      <x:c r="AZ60" s="49"/>
    </x:row>
    <x:row r="61">
      <x:c r="A61" s="49"/>
      <x:c r="B61" s="49"/>
      <x:c r="C61" s="49"/>
      <x:c r="D61" s="49"/>
      <x:c r="E61" s="49"/>
      <x:c r="F61" s="49"/>
      <x:c r="G61" s="49"/>
      <x:c r="H61" s="49"/>
      <x:c r="I61" s="49"/>
      <x:c r="J61" s="49"/>
      <x:c r="K61" s="49"/>
      <x:c r="L61" s="49"/>
      <x:c r="M61" s="49"/>
      <x:c r="N61" s="49"/>
      <x:c r="O61" s="49"/>
      <x:c r="P61" s="49"/>
      <x:c r="Q61" s="49"/>
      <x:c r="R61" s="49"/>
      <x:c r="S61" s="49"/>
      <x:c r="T61" s="49"/>
      <x:c r="U61" s="49"/>
      <x:c r="V61" s="49"/>
      <x:c r="W61" s="49"/>
      <x:c r="X61" s="49"/>
      <x:c r="Y61" s="49"/>
      <x:c r="Z61" s="49"/>
      <x:c r="AA61" s="49"/>
      <x:c r="AB61" s="49"/>
      <x:c r="AC61" s="49"/>
      <x:c r="AD61" s="49"/>
      <x:c r="AE61" s="49"/>
      <x:c r="AF61" s="49"/>
      <x:c r="AG61" s="49"/>
      <x:c r="AH61" s="49"/>
      <x:c r="AI61" s="49"/>
      <x:c r="AJ61" s="49"/>
      <x:c r="AK61" s="49"/>
      <x:c r="AL61" s="49"/>
      <x:c r="AM61" s="49"/>
      <x:c r="AN61" s="49"/>
      <x:c r="AO61" s="49"/>
      <x:c r="AP61" s="49"/>
      <x:c r="AQ61" s="49"/>
      <x:c r="AR61" s="49"/>
      <x:c r="AS61" s="49"/>
      <x:c r="AT61" s="49"/>
      <x:c r="AU61" s="49"/>
      <x:c r="AV61" s="49"/>
      <x:c r="AW61" s="49"/>
      <x:c r="AX61" s="49"/>
      <x:c r="AY61" s="49"/>
      <x:c r="AZ61" s="49"/>
    </x:row>
    <x:row r="62">
      <x:c r="A62" s="49"/>
      <x:c r="B62" s="49"/>
      <x:c r="C62" s="49"/>
      <x:c r="D62" s="49"/>
      <x:c r="E62" s="49"/>
      <x:c r="F62" s="49"/>
      <x:c r="G62" s="49"/>
      <x:c r="H62" s="49"/>
      <x:c r="I62" s="49"/>
      <x:c r="J62" s="49"/>
      <x:c r="K62" s="49"/>
      <x:c r="L62" s="49"/>
      <x:c r="M62" s="49"/>
      <x:c r="N62" s="49"/>
      <x:c r="O62" s="49"/>
      <x:c r="P62" s="49"/>
      <x:c r="Q62" s="49"/>
      <x:c r="R62" s="49"/>
      <x:c r="S62" s="49"/>
      <x:c r="T62" s="49"/>
      <x:c r="U62" s="49"/>
      <x:c r="V62" s="49"/>
      <x:c r="W62" s="49"/>
      <x:c r="X62" s="49"/>
      <x:c r="Y62" s="49"/>
      <x:c r="Z62" s="49"/>
      <x:c r="AA62" s="49"/>
      <x:c r="AB62" s="49"/>
      <x:c r="AC62" s="49"/>
      <x:c r="AD62" s="49"/>
      <x:c r="AE62" s="49"/>
      <x:c r="AF62" s="49"/>
      <x:c r="AG62" s="49"/>
      <x:c r="AH62" s="49"/>
      <x:c r="AI62" s="49"/>
      <x:c r="AJ62" s="49"/>
      <x:c r="AK62" s="49"/>
      <x:c r="AL62" s="49"/>
      <x:c r="AM62" s="49"/>
      <x:c r="AN62" s="49"/>
      <x:c r="AO62" s="49"/>
      <x:c r="AP62" s="49"/>
      <x:c r="AQ62" s="49"/>
      <x:c r="AR62" s="49"/>
      <x:c r="AS62" s="49"/>
      <x:c r="AT62" s="49"/>
      <x:c r="AU62" s="49"/>
      <x:c r="AV62" s="49"/>
      <x:c r="AW62" s="49"/>
      <x:c r="AX62" s="49"/>
      <x:c r="AY62" s="49"/>
      <x:c r="AZ62" s="49"/>
    </x:row>
    <x:row r="63">
      <x:c r="A63" s="49"/>
      <x:c r="B63" s="49"/>
      <x:c r="C63" s="49"/>
      <x:c r="D63" s="49"/>
      <x:c r="E63" s="49"/>
      <x:c r="F63" s="49"/>
      <x:c r="G63" s="49"/>
      <x:c r="H63" s="49"/>
      <x:c r="I63" s="49"/>
      <x:c r="J63" s="49"/>
      <x:c r="K63" s="49"/>
      <x:c r="L63" s="49"/>
      <x:c r="M63" s="49"/>
      <x:c r="N63" s="49"/>
      <x:c r="O63" s="49"/>
      <x:c r="P63" s="49"/>
      <x:c r="Q63" s="49"/>
      <x:c r="R63" s="49"/>
      <x:c r="S63" s="49"/>
      <x:c r="T63" s="49"/>
      <x:c r="U63" s="49"/>
      <x:c r="V63" s="49"/>
      <x:c r="W63" s="49"/>
      <x:c r="X63" s="49"/>
      <x:c r="Y63" s="49"/>
      <x:c r="Z63" s="49"/>
      <x:c r="AA63" s="49"/>
      <x:c r="AB63" s="49"/>
      <x:c r="AC63" s="49"/>
      <x:c r="AD63" s="49"/>
      <x:c r="AE63" s="49"/>
      <x:c r="AF63" s="49"/>
      <x:c r="AG63" s="49"/>
      <x:c r="AH63" s="49"/>
      <x:c r="AI63" s="49"/>
      <x:c r="AJ63" s="49"/>
      <x:c r="AK63" s="49"/>
      <x:c r="AL63" s="49"/>
      <x:c r="AM63" s="49"/>
      <x:c r="AN63" s="49"/>
      <x:c r="AO63" s="49"/>
      <x:c r="AP63" s="49"/>
      <x:c r="AQ63" s="49"/>
      <x:c r="AR63" s="49"/>
      <x:c r="AS63" s="49"/>
      <x:c r="AT63" s="49"/>
      <x:c r="AU63" s="49"/>
      <x:c r="AV63" s="49"/>
      <x:c r="AW63" s="49"/>
      <x:c r="AX63" s="49"/>
      <x:c r="AY63" s="49"/>
      <x:c r="AZ63" s="49"/>
    </x:row>
    <x:row r="64">
      <x:c r="A64" s="49"/>
      <x:c r="B64" s="49"/>
      <x:c r="C64" s="49"/>
      <x:c r="D64" s="49"/>
      <x:c r="E64" s="49"/>
      <x:c r="F64" s="49"/>
      <x:c r="G64" s="49"/>
      <x:c r="H64" s="49"/>
      <x:c r="I64" s="49"/>
      <x:c r="J64" s="49"/>
      <x:c r="K64" s="49"/>
      <x:c r="L64" s="49"/>
      <x:c r="M64" s="49"/>
      <x:c r="N64" s="49"/>
      <x:c r="O64" s="49"/>
      <x:c r="P64" s="49"/>
      <x:c r="Q64" s="49"/>
      <x:c r="R64" s="49"/>
      <x:c r="S64" s="49"/>
      <x:c r="T64" s="49"/>
      <x:c r="U64" s="49"/>
      <x:c r="V64" s="49"/>
      <x:c r="W64" s="49"/>
      <x:c r="X64" s="49"/>
      <x:c r="Y64" s="49"/>
      <x:c r="Z64" s="49"/>
      <x:c r="AA64" s="49"/>
      <x:c r="AB64" s="49"/>
      <x:c r="AC64" s="49"/>
      <x:c r="AD64" s="49"/>
      <x:c r="AE64" s="49"/>
      <x:c r="AF64" s="49"/>
      <x:c r="AG64" s="49"/>
      <x:c r="AH64" s="49"/>
      <x:c r="AI64" s="49"/>
      <x:c r="AJ64" s="49"/>
      <x:c r="AK64" s="49"/>
      <x:c r="AL64" s="49"/>
      <x:c r="AM64" s="49"/>
      <x:c r="AN64" s="49"/>
      <x:c r="AO64" s="49"/>
      <x:c r="AP64" s="49"/>
      <x:c r="AQ64" s="49"/>
      <x:c r="AR64" s="49"/>
      <x:c r="AS64" s="49"/>
      <x:c r="AT64" s="49"/>
      <x:c r="AU64" s="49"/>
      <x:c r="AV64" s="49"/>
      <x:c r="AW64" s="49"/>
      <x:c r="AX64" s="49"/>
      <x:c r="AY64" s="49"/>
      <x:c r="AZ64" s="49"/>
    </x:row>
    <x:row r="65">
      <x:c r="A65" s="49"/>
      <x:c r="B65" s="49"/>
      <x:c r="C65" s="49"/>
      <x:c r="D65" s="49"/>
      <x:c r="E65" s="49"/>
      <x:c r="F65" s="49"/>
      <x:c r="G65" s="49"/>
      <x:c r="H65" s="49"/>
      <x:c r="I65" s="49"/>
      <x:c r="J65" s="49"/>
      <x:c r="K65" s="49"/>
      <x:c r="L65" s="49"/>
      <x:c r="M65" s="49"/>
      <x:c r="N65" s="49"/>
      <x:c r="O65" s="49"/>
      <x:c r="P65" s="49"/>
      <x:c r="Q65" s="49"/>
      <x:c r="R65" s="49"/>
      <x:c r="S65" s="49"/>
      <x:c r="T65" s="49"/>
      <x:c r="U65" s="49"/>
      <x:c r="V65" s="49"/>
      <x:c r="W65" s="49"/>
      <x:c r="X65" s="49"/>
      <x:c r="Y65" s="49"/>
      <x:c r="Z65" s="49"/>
      <x:c r="AA65" s="49"/>
      <x:c r="AB65" s="49"/>
      <x:c r="AC65" s="49"/>
      <x:c r="AD65" s="49"/>
      <x:c r="AE65" s="49"/>
      <x:c r="AF65" s="49"/>
      <x:c r="AG65" s="49"/>
      <x:c r="AH65" s="49"/>
      <x:c r="AI65" s="49"/>
      <x:c r="AJ65" s="49"/>
      <x:c r="AK65" s="49"/>
      <x:c r="AL65" s="49"/>
      <x:c r="AM65" s="49"/>
      <x:c r="AN65" s="49"/>
      <x:c r="AO65" s="49"/>
      <x:c r="AP65" s="49"/>
      <x:c r="AQ65" s="49"/>
      <x:c r="AR65" s="49"/>
      <x:c r="AS65" s="49"/>
      <x:c r="AT65" s="49"/>
      <x:c r="AU65" s="49"/>
      <x:c r="AV65" s="49"/>
      <x:c r="AW65" s="49"/>
      <x:c r="AX65" s="49"/>
      <x:c r="AY65" s="49"/>
      <x:c r="AZ65" s="49"/>
    </x:row>
    <x:row r="66">
      <x:c r="A66" s="49"/>
      <x:c r="B66" s="49"/>
      <x:c r="C66" s="49"/>
      <x:c r="D66" s="49"/>
      <x:c r="E66" s="49"/>
      <x:c r="F66" s="49"/>
      <x:c r="G66" s="49"/>
      <x:c r="H66" s="49"/>
      <x:c r="I66" s="49"/>
      <x:c r="J66" s="49"/>
      <x:c r="K66" s="49"/>
      <x:c r="L66" s="49"/>
      <x:c r="M66" s="49"/>
      <x:c r="N66" s="49"/>
      <x:c r="O66" s="49"/>
      <x:c r="P66" s="49"/>
      <x:c r="Q66" s="49"/>
      <x:c r="R66" s="49"/>
      <x:c r="S66" s="49"/>
      <x:c r="T66" s="49"/>
      <x:c r="U66" s="49"/>
      <x:c r="V66" s="49"/>
      <x:c r="W66" s="49"/>
      <x:c r="X66" s="49"/>
      <x:c r="Y66" s="49"/>
      <x:c r="Z66" s="49"/>
      <x:c r="AA66" s="49"/>
      <x:c r="AB66" s="49"/>
      <x:c r="AC66" s="49"/>
      <x:c r="AD66" s="49"/>
      <x:c r="AE66" s="49"/>
      <x:c r="AF66" s="49"/>
      <x:c r="AG66" s="49"/>
      <x:c r="AH66" s="49"/>
      <x:c r="AI66" s="49"/>
      <x:c r="AJ66" s="49"/>
      <x:c r="AK66" s="49"/>
      <x:c r="AL66" s="49"/>
      <x:c r="AM66" s="49"/>
      <x:c r="AN66" s="49"/>
      <x:c r="AO66" s="49"/>
      <x:c r="AP66" s="49"/>
      <x:c r="AQ66" s="49"/>
      <x:c r="AR66" s="49"/>
      <x:c r="AS66" s="49"/>
      <x:c r="AT66" s="49"/>
      <x:c r="AU66" s="49"/>
      <x:c r="AV66" s="49"/>
      <x:c r="AW66" s="49"/>
      <x:c r="AX66" s="49"/>
      <x:c r="AY66" s="49"/>
      <x:c r="AZ66" s="49"/>
    </x:row>
    <x:row r="67">
      <x:c r="A67" s="49"/>
      <x:c r="B67" s="49"/>
      <x:c r="C67" s="49"/>
      <x:c r="D67" s="49"/>
      <x:c r="E67" s="49"/>
      <x:c r="F67" s="49"/>
      <x:c r="G67" s="49"/>
      <x:c r="H67" s="49"/>
      <x:c r="I67" s="49"/>
      <x:c r="J67" s="49"/>
      <x:c r="K67" s="49"/>
      <x:c r="L67" s="49"/>
      <x:c r="M67" s="49"/>
      <x:c r="N67" s="49"/>
      <x:c r="O67" s="49"/>
      <x:c r="P67" s="49"/>
      <x:c r="Q67" s="49"/>
      <x:c r="R67" s="49"/>
      <x:c r="S67" s="49"/>
      <x:c r="T67" s="49"/>
      <x:c r="U67" s="49"/>
      <x:c r="V67" s="49"/>
      <x:c r="W67" s="49"/>
      <x:c r="X67" s="49"/>
      <x:c r="Y67" s="49"/>
      <x:c r="Z67" s="49"/>
      <x:c r="AA67" s="49"/>
      <x:c r="AB67" s="49"/>
      <x:c r="AC67" s="49"/>
      <x:c r="AD67" s="49"/>
      <x:c r="AE67" s="49"/>
      <x:c r="AF67" s="49"/>
      <x:c r="AG67" s="49"/>
      <x:c r="AH67" s="49"/>
      <x:c r="AI67" s="49"/>
      <x:c r="AJ67" s="49"/>
      <x:c r="AK67" s="49"/>
      <x:c r="AL67" s="49"/>
      <x:c r="AM67" s="49"/>
      <x:c r="AN67" s="49"/>
      <x:c r="AO67" s="49"/>
      <x:c r="AP67" s="49"/>
      <x:c r="AQ67" s="49"/>
      <x:c r="AR67" s="49"/>
      <x:c r="AS67" s="49"/>
      <x:c r="AT67" s="49"/>
      <x:c r="AU67" s="49"/>
      <x:c r="AV67" s="49"/>
      <x:c r="AW67" s="49"/>
      <x:c r="AX67" s="49"/>
      <x:c r="AY67" s="49"/>
      <x:c r="AZ67" s="49"/>
    </x:row>
    <x:row r="68">
      <x:c r="A68" s="49"/>
      <x:c r="B68" s="49"/>
      <x:c r="C68" s="49"/>
      <x:c r="D68" s="49"/>
      <x:c r="E68" s="49"/>
      <x:c r="F68" s="49"/>
      <x:c r="G68" s="49"/>
      <x:c r="H68" s="49"/>
      <x:c r="I68" s="49"/>
      <x:c r="J68" s="49"/>
      <x:c r="K68" s="49"/>
      <x:c r="L68" s="49"/>
      <x:c r="M68" s="49"/>
      <x:c r="N68" s="49"/>
      <x:c r="O68" s="49"/>
      <x:c r="P68" s="49"/>
      <x:c r="Q68" s="49"/>
      <x:c r="R68" s="49"/>
      <x:c r="S68" s="49"/>
      <x:c r="T68" s="49"/>
      <x:c r="U68" s="49"/>
      <x:c r="V68" s="49"/>
      <x:c r="W68" s="49"/>
      <x:c r="X68" s="49"/>
      <x:c r="Y68" s="49"/>
      <x:c r="Z68" s="49"/>
      <x:c r="AA68" s="49"/>
      <x:c r="AB68" s="49"/>
      <x:c r="AC68" s="49"/>
      <x:c r="AD68" s="49"/>
      <x:c r="AE68" s="49"/>
      <x:c r="AF68" s="49"/>
      <x:c r="AG68" s="49"/>
      <x:c r="AH68" s="49"/>
      <x:c r="AI68" s="49"/>
      <x:c r="AJ68" s="49"/>
      <x:c r="AK68" s="49"/>
      <x:c r="AL68" s="49"/>
      <x:c r="AM68" s="49"/>
      <x:c r="AN68" s="49"/>
      <x:c r="AO68" s="49"/>
      <x:c r="AP68" s="49"/>
      <x:c r="AQ68" s="49"/>
      <x:c r="AR68" s="49"/>
      <x:c r="AS68" s="49"/>
      <x:c r="AT68" s="49"/>
      <x:c r="AU68" s="49"/>
      <x:c r="AV68" s="49"/>
      <x:c r="AW68" s="49"/>
      <x:c r="AX68" s="49"/>
      <x:c r="AY68" s="49"/>
      <x:c r="AZ68" s="49"/>
    </x:row>
    <x:row r="69">
      <x:c r="A69" s="49"/>
      <x:c r="B69" s="49"/>
      <x:c r="C69" s="49"/>
      <x:c r="D69" s="49"/>
      <x:c r="E69" s="49"/>
      <x:c r="F69" s="49"/>
      <x:c r="G69" s="49"/>
      <x:c r="H69" s="49"/>
      <x:c r="I69" s="49"/>
      <x:c r="J69" s="49"/>
      <x:c r="K69" s="49"/>
      <x:c r="L69" s="49"/>
      <x:c r="M69" s="49"/>
      <x:c r="N69" s="49"/>
      <x:c r="O69" s="49"/>
      <x:c r="P69" s="49"/>
      <x:c r="Q69" s="49"/>
      <x:c r="R69" s="49"/>
      <x:c r="S69" s="49"/>
      <x:c r="T69" s="49"/>
      <x:c r="U69" s="49"/>
      <x:c r="V69" s="49"/>
      <x:c r="W69" s="49"/>
      <x:c r="X69" s="49"/>
      <x:c r="Y69" s="49"/>
      <x:c r="Z69" s="49"/>
      <x:c r="AA69" s="49"/>
      <x:c r="AB69" s="49"/>
      <x:c r="AC69" s="49"/>
      <x:c r="AD69" s="49"/>
      <x:c r="AE69" s="49"/>
      <x:c r="AF69" s="49"/>
      <x:c r="AG69" s="49"/>
      <x:c r="AH69" s="49"/>
      <x:c r="AI69" s="49"/>
      <x:c r="AJ69" s="49"/>
      <x:c r="AK69" s="49"/>
      <x:c r="AL69" s="49"/>
      <x:c r="AM69" s="49"/>
      <x:c r="AN69" s="49"/>
      <x:c r="AO69" s="49"/>
      <x:c r="AP69" s="49"/>
      <x:c r="AQ69" s="49"/>
      <x:c r="AR69" s="49"/>
      <x:c r="AS69" s="49"/>
      <x:c r="AT69" s="49"/>
      <x:c r="AU69" s="49"/>
      <x:c r="AV69" s="49"/>
      <x:c r="AW69" s="49"/>
      <x:c r="AX69" s="49"/>
      <x:c r="AY69" s="49"/>
      <x:c r="AZ69" s="49"/>
    </x:row>
    <x:row r="70">
      <x:c r="A70" s="49"/>
      <x:c r="B70" s="49"/>
      <x:c r="C70" s="49"/>
      <x:c r="D70" s="49"/>
      <x:c r="E70" s="49"/>
      <x:c r="F70" s="49"/>
      <x:c r="G70" s="49"/>
      <x:c r="H70" s="49"/>
      <x:c r="I70" s="49"/>
      <x:c r="J70" s="49"/>
      <x:c r="K70" s="49"/>
      <x:c r="L70" s="49"/>
      <x:c r="M70" s="49"/>
      <x:c r="N70" s="49"/>
      <x:c r="O70" s="49"/>
      <x:c r="P70" s="49"/>
      <x:c r="Q70" s="49"/>
      <x:c r="R70" s="49"/>
      <x:c r="S70" s="49"/>
      <x:c r="T70" s="49"/>
      <x:c r="U70" s="49"/>
      <x:c r="V70" s="49"/>
      <x:c r="W70" s="49"/>
      <x:c r="X70" s="49"/>
      <x:c r="Y70" s="49"/>
      <x:c r="Z70" s="49"/>
      <x:c r="AA70" s="49"/>
      <x:c r="AB70" s="49"/>
      <x:c r="AC70" s="49"/>
      <x:c r="AD70" s="49"/>
      <x:c r="AE70" s="49"/>
      <x:c r="AF70" s="49"/>
      <x:c r="AG70" s="49"/>
      <x:c r="AH70" s="49"/>
      <x:c r="AI70" s="49"/>
      <x:c r="AJ70" s="49"/>
      <x:c r="AK70" s="49"/>
      <x:c r="AL70" s="49"/>
      <x:c r="AM70" s="49"/>
      <x:c r="AN70" s="49"/>
      <x:c r="AO70" s="49"/>
      <x:c r="AP70" s="49"/>
      <x:c r="AQ70" s="49"/>
      <x:c r="AR70" s="49"/>
      <x:c r="AS70" s="49"/>
      <x:c r="AT70" s="49"/>
      <x:c r="AU70" s="49"/>
      <x:c r="AV70" s="49"/>
      <x:c r="AW70" s="49"/>
      <x:c r="AX70" s="49"/>
      <x:c r="AY70" s="49"/>
      <x:c r="AZ70" s="49"/>
    </x:row>
    <x:row r="71">
      <x:c r="A71" s="49"/>
      <x:c r="B71" s="49"/>
      <x:c r="C71" s="49"/>
      <x:c r="D71" s="49"/>
      <x:c r="E71" s="49"/>
      <x:c r="F71" s="49"/>
      <x:c r="G71" s="49"/>
      <x:c r="H71" s="49"/>
      <x:c r="I71" s="49"/>
      <x:c r="J71" s="49"/>
      <x:c r="K71" s="49"/>
      <x:c r="L71" s="49"/>
      <x:c r="M71" s="49"/>
      <x:c r="N71" s="49"/>
      <x:c r="O71" s="49"/>
      <x:c r="P71" s="49"/>
      <x:c r="Q71" s="49"/>
      <x:c r="R71" s="49"/>
      <x:c r="S71" s="49"/>
      <x:c r="T71" s="49"/>
      <x:c r="U71" s="49"/>
      <x:c r="V71" s="49"/>
      <x:c r="W71" s="49"/>
      <x:c r="X71" s="49"/>
      <x:c r="Y71" s="49"/>
      <x:c r="Z71" s="49"/>
      <x:c r="AA71" s="49"/>
      <x:c r="AB71" s="49"/>
      <x:c r="AC71" s="49"/>
      <x:c r="AD71" s="49"/>
      <x:c r="AE71" s="49"/>
      <x:c r="AF71" s="49"/>
      <x:c r="AG71" s="49"/>
      <x:c r="AH71" s="49"/>
      <x:c r="AI71" s="49"/>
      <x:c r="AJ71" s="49"/>
      <x:c r="AK71" s="49"/>
      <x:c r="AL71" s="49"/>
      <x:c r="AM71" s="49"/>
      <x:c r="AN71" s="49"/>
      <x:c r="AO71" s="49"/>
      <x:c r="AP71" s="49"/>
      <x:c r="AQ71" s="49"/>
      <x:c r="AR71" s="49"/>
      <x:c r="AS71" s="49"/>
      <x:c r="AT71" s="49"/>
      <x:c r="AU71" s="49"/>
      <x:c r="AV71" s="49"/>
      <x:c r="AW71" s="49"/>
      <x:c r="AX71" s="49"/>
      <x:c r="AY71" s="49"/>
      <x:c r="AZ71" s="49"/>
    </x:row>
    <x:row r="72">
      <x:c r="A72" s="49"/>
      <x:c r="B72" s="49"/>
      <x:c r="C72" s="49"/>
      <x:c r="D72" s="49"/>
      <x:c r="E72" s="49"/>
      <x:c r="F72" s="49"/>
      <x:c r="G72" s="49"/>
      <x:c r="H72" s="49"/>
      <x:c r="I72" s="49"/>
      <x:c r="J72" s="49"/>
      <x:c r="K72" s="49"/>
      <x:c r="L72" s="49"/>
      <x:c r="M72" s="49"/>
      <x:c r="N72" s="49"/>
      <x:c r="O72" s="49"/>
      <x:c r="P72" s="49"/>
      <x:c r="Q72" s="49"/>
      <x:c r="R72" s="49"/>
      <x:c r="S72" s="49"/>
      <x:c r="T72" s="49"/>
      <x:c r="U72" s="49"/>
      <x:c r="V72" s="49"/>
      <x:c r="W72" s="49"/>
      <x:c r="X72" s="49"/>
      <x:c r="Y72" s="49"/>
      <x:c r="Z72" s="49"/>
      <x:c r="AA72" s="49"/>
      <x:c r="AB72" s="49"/>
      <x:c r="AC72" s="49"/>
      <x:c r="AD72" s="49"/>
      <x:c r="AE72" s="49"/>
      <x:c r="AF72" s="49"/>
      <x:c r="AG72" s="49"/>
      <x:c r="AH72" s="49"/>
      <x:c r="AI72" s="49"/>
      <x:c r="AJ72" s="49"/>
      <x:c r="AK72" s="49"/>
      <x:c r="AL72" s="49"/>
      <x:c r="AM72" s="49"/>
      <x:c r="AN72" s="49"/>
      <x:c r="AO72" s="49"/>
      <x:c r="AP72" s="49"/>
      <x:c r="AQ72" s="49"/>
      <x:c r="AR72" s="49"/>
      <x:c r="AS72" s="49"/>
      <x:c r="AT72" s="49"/>
      <x:c r="AU72" s="49"/>
      <x:c r="AV72" s="49"/>
      <x:c r="AW72" s="49"/>
      <x:c r="AX72" s="49"/>
      <x:c r="AY72" s="49"/>
      <x:c r="AZ72" s="49"/>
    </x:row>
    <x:row r="73">
      <x:c r="A73" s="49"/>
      <x:c r="B73" s="49"/>
      <x:c r="C73" s="49"/>
      <x:c r="D73" s="49"/>
      <x:c r="E73" s="49"/>
      <x:c r="F73" s="49"/>
      <x:c r="G73" s="49"/>
      <x:c r="H73" s="49"/>
      <x:c r="I73" s="49"/>
      <x:c r="J73" s="49"/>
      <x:c r="K73" s="49"/>
      <x:c r="L73" s="49"/>
      <x:c r="M73" s="49"/>
      <x:c r="N73" s="49"/>
      <x:c r="O73" s="49"/>
      <x:c r="P73" s="49"/>
      <x:c r="Q73" s="49"/>
      <x:c r="R73" s="49"/>
      <x:c r="S73" s="49"/>
      <x:c r="T73" s="49"/>
      <x:c r="U73" s="49"/>
      <x:c r="V73" s="49"/>
      <x:c r="W73" s="49"/>
      <x:c r="X73" s="49"/>
      <x:c r="Y73" s="49"/>
      <x:c r="Z73" s="49"/>
      <x:c r="AA73" s="49"/>
      <x:c r="AB73" s="49"/>
      <x:c r="AC73" s="49"/>
      <x:c r="AD73" s="49"/>
      <x:c r="AE73" s="49"/>
      <x:c r="AF73" s="49"/>
      <x:c r="AG73" s="49"/>
      <x:c r="AH73" s="49"/>
      <x:c r="AI73" s="49"/>
      <x:c r="AJ73" s="49"/>
      <x:c r="AK73" s="49"/>
      <x:c r="AL73" s="49"/>
      <x:c r="AM73" s="49"/>
      <x:c r="AN73" s="49"/>
      <x:c r="AO73" s="49"/>
      <x:c r="AP73" s="49"/>
      <x:c r="AQ73" s="49"/>
      <x:c r="AR73" s="49"/>
      <x:c r="AS73" s="49"/>
      <x:c r="AT73" s="49"/>
      <x:c r="AU73" s="49"/>
      <x:c r="AV73" s="49"/>
      <x:c r="AW73" s="49"/>
      <x:c r="AX73" s="49"/>
      <x:c r="AY73" s="49"/>
      <x:c r="AZ73" s="49"/>
    </x:row>
    <x:row r="74">
      <x:c r="A74" s="49"/>
      <x:c r="B74" s="49"/>
      <x:c r="C74" s="49"/>
      <x:c r="D74" s="49"/>
      <x:c r="E74" s="49"/>
      <x:c r="F74" s="49"/>
      <x:c r="G74" s="49"/>
      <x:c r="H74" s="49"/>
      <x:c r="I74" s="49"/>
      <x:c r="J74" s="49"/>
      <x:c r="K74" s="49"/>
      <x:c r="L74" s="49"/>
      <x:c r="M74" s="49"/>
      <x:c r="N74" s="49"/>
      <x:c r="O74" s="49"/>
      <x:c r="P74" s="49"/>
      <x:c r="Q74" s="49"/>
      <x:c r="R74" s="49"/>
      <x:c r="S74" s="49"/>
      <x:c r="T74" s="49"/>
      <x:c r="U74" s="49"/>
      <x:c r="V74" s="49"/>
      <x:c r="W74" s="49"/>
      <x:c r="X74" s="49"/>
      <x:c r="Y74" s="49"/>
      <x:c r="Z74" s="49"/>
      <x:c r="AA74" s="49"/>
      <x:c r="AB74" s="49"/>
      <x:c r="AC74" s="49"/>
      <x:c r="AD74" s="49"/>
      <x:c r="AE74" s="49"/>
      <x:c r="AF74" s="49"/>
      <x:c r="AG74" s="49"/>
      <x:c r="AH74" s="49"/>
      <x:c r="AI74" s="49"/>
      <x:c r="AJ74" s="49"/>
      <x:c r="AK74" s="49"/>
      <x:c r="AL74" s="49"/>
      <x:c r="AM74" s="49"/>
      <x:c r="AN74" s="49"/>
      <x:c r="AO74" s="49"/>
      <x:c r="AP74" s="49"/>
      <x:c r="AQ74" s="49"/>
      <x:c r="AR74" s="49"/>
      <x:c r="AS74" s="49"/>
      <x:c r="AT74" s="49"/>
      <x:c r="AU74" s="49"/>
      <x:c r="AV74" s="49"/>
      <x:c r="AW74" s="49"/>
      <x:c r="AX74" s="49"/>
      <x:c r="AY74" s="49"/>
      <x:c r="AZ74" s="49"/>
    </x:row>
    <x:row r="75">
      <x:c r="A75" s="49"/>
      <x:c r="B75" s="49"/>
      <x:c r="C75" s="49"/>
      <x:c r="D75" s="49"/>
      <x:c r="E75" s="49"/>
      <x:c r="F75" s="49"/>
      <x:c r="G75" s="49"/>
      <x:c r="H75" s="49"/>
      <x:c r="I75" s="49"/>
      <x:c r="J75" s="49"/>
      <x:c r="K75" s="49"/>
      <x:c r="L75" s="49"/>
      <x:c r="M75" s="49"/>
      <x:c r="N75" s="49"/>
      <x:c r="O75" s="49"/>
      <x:c r="P75" s="49"/>
      <x:c r="Q75" s="49"/>
      <x:c r="R75" s="49"/>
      <x:c r="S75" s="49"/>
      <x:c r="T75" s="49"/>
      <x:c r="U75" s="49"/>
      <x:c r="V75" s="49"/>
      <x:c r="W75" s="49"/>
      <x:c r="X75" s="49"/>
      <x:c r="Y75" s="49"/>
      <x:c r="Z75" s="49"/>
      <x:c r="AA75" s="49"/>
      <x:c r="AB75" s="49"/>
      <x:c r="AC75" s="49"/>
      <x:c r="AD75" s="49"/>
      <x:c r="AE75" s="49"/>
      <x:c r="AF75" s="49"/>
      <x:c r="AG75" s="49"/>
      <x:c r="AH75" s="49"/>
      <x:c r="AI75" s="49"/>
      <x:c r="AJ75" s="49"/>
      <x:c r="AK75" s="49"/>
      <x:c r="AL75" s="49"/>
      <x:c r="AM75" s="49"/>
      <x:c r="AN75" s="49"/>
      <x:c r="AO75" s="49"/>
      <x:c r="AP75" s="49"/>
      <x:c r="AQ75" s="49"/>
      <x:c r="AR75" s="49"/>
      <x:c r="AS75" s="49"/>
      <x:c r="AT75" s="49"/>
      <x:c r="AU75" s="49"/>
      <x:c r="AV75" s="49"/>
      <x:c r="AW75" s="49"/>
      <x:c r="AX75" s="49"/>
      <x:c r="AY75" s="49"/>
      <x:c r="AZ75" s="49"/>
    </x:row>
    <x:row r="76">
      <x:c r="A76" s="49"/>
      <x:c r="B76" s="49"/>
      <x:c r="C76" s="49"/>
      <x:c r="D76" s="49"/>
      <x:c r="E76" s="49"/>
      <x:c r="F76" s="49"/>
      <x:c r="G76" s="49"/>
      <x:c r="H76" s="49"/>
      <x:c r="I76" s="49"/>
      <x:c r="J76" s="49"/>
      <x:c r="K76" s="49"/>
      <x:c r="L76" s="49"/>
      <x:c r="M76" s="49"/>
      <x:c r="N76" s="49"/>
      <x:c r="O76" s="49"/>
      <x:c r="P76" s="49"/>
      <x:c r="Q76" s="49"/>
      <x:c r="R76" s="49"/>
      <x:c r="S76" s="49"/>
      <x:c r="T76" s="49"/>
      <x:c r="U76" s="49"/>
      <x:c r="V76" s="49"/>
      <x:c r="W76" s="49"/>
      <x:c r="X76" s="49"/>
      <x:c r="Y76" s="49"/>
      <x:c r="Z76" s="49"/>
      <x:c r="AA76" s="49"/>
      <x:c r="AB76" s="49"/>
      <x:c r="AC76" s="49"/>
      <x:c r="AD76" s="49"/>
      <x:c r="AE76" s="49"/>
      <x:c r="AF76" s="49"/>
      <x:c r="AG76" s="49"/>
      <x:c r="AH76" s="49"/>
      <x:c r="AI76" s="49"/>
      <x:c r="AJ76" s="49"/>
      <x:c r="AK76" s="49"/>
      <x:c r="AL76" s="49"/>
      <x:c r="AM76" s="49"/>
      <x:c r="AN76" s="49"/>
      <x:c r="AO76" s="49"/>
      <x:c r="AP76" s="49"/>
      <x:c r="AQ76" s="49"/>
      <x:c r="AR76" s="49"/>
      <x:c r="AS76" s="49"/>
      <x:c r="AT76" s="49"/>
      <x:c r="AU76" s="49"/>
      <x:c r="AV76" s="49"/>
      <x:c r="AW76" s="49"/>
      <x:c r="AX76" s="49"/>
      <x:c r="AY76" s="49"/>
      <x:c r="AZ76" s="49"/>
    </x:row>
    <x:row r="77">
      <x:c r="A77" s="49"/>
      <x:c r="B77" s="49"/>
      <x:c r="C77" s="49"/>
      <x:c r="D77" s="49"/>
      <x:c r="E77" s="49"/>
      <x:c r="F77" s="49"/>
      <x:c r="G77" s="49"/>
      <x:c r="H77" s="49"/>
      <x:c r="I77" s="49"/>
      <x:c r="J77" s="49"/>
      <x:c r="K77" s="49"/>
      <x:c r="L77" s="49"/>
      <x:c r="M77" s="49"/>
      <x:c r="N77" s="49"/>
      <x:c r="O77" s="49"/>
      <x:c r="P77" s="49"/>
      <x:c r="Q77" s="49"/>
      <x:c r="R77" s="49"/>
      <x:c r="S77" s="49"/>
      <x:c r="T77" s="49"/>
      <x:c r="U77" s="49"/>
      <x:c r="V77" s="49"/>
      <x:c r="W77" s="49"/>
      <x:c r="X77" s="49"/>
      <x:c r="Y77" s="49"/>
      <x:c r="Z77" s="49"/>
      <x:c r="AA77" s="49"/>
      <x:c r="AB77" s="49"/>
      <x:c r="AC77" s="49"/>
      <x:c r="AD77" s="49"/>
      <x:c r="AE77" s="49"/>
      <x:c r="AF77" s="49"/>
      <x:c r="AG77" s="49"/>
      <x:c r="AH77" s="49"/>
      <x:c r="AI77" s="49"/>
      <x:c r="AJ77" s="49"/>
      <x:c r="AK77" s="49"/>
      <x:c r="AL77" s="49"/>
      <x:c r="AM77" s="49"/>
      <x:c r="AN77" s="49"/>
      <x:c r="AO77" s="49"/>
      <x:c r="AP77" s="49"/>
      <x:c r="AQ77" s="49"/>
      <x:c r="AR77" s="49"/>
      <x:c r="AS77" s="49"/>
      <x:c r="AT77" s="49"/>
      <x:c r="AU77" s="49"/>
      <x:c r="AV77" s="49"/>
      <x:c r="AW77" s="49"/>
      <x:c r="AX77" s="49"/>
      <x:c r="AY77" s="49"/>
      <x:c r="AZ77" s="49"/>
    </x:row>
    <x:row r="78">
      <x:c r="A78" s="49"/>
      <x:c r="B78" s="49"/>
      <x:c r="C78" s="49"/>
      <x:c r="D78" s="49"/>
      <x:c r="E78" s="49"/>
      <x:c r="F78" s="49"/>
      <x:c r="G78" s="49"/>
      <x:c r="H78" s="49"/>
      <x:c r="I78" s="49"/>
      <x:c r="J78" s="49"/>
      <x:c r="K78" s="49"/>
      <x:c r="L78" s="49"/>
      <x:c r="M78" s="49"/>
      <x:c r="N78" s="49"/>
      <x:c r="O78" s="49"/>
      <x:c r="P78" s="49"/>
      <x:c r="Q78" s="49"/>
      <x:c r="R78" s="49"/>
      <x:c r="S78" s="49"/>
      <x:c r="T78" s="49"/>
      <x:c r="U78" s="49"/>
      <x:c r="V78" s="49"/>
      <x:c r="W78" s="49"/>
      <x:c r="X78" s="49"/>
      <x:c r="Y78" s="49"/>
      <x:c r="Z78" s="49"/>
      <x:c r="AA78" s="49"/>
      <x:c r="AB78" s="49"/>
      <x:c r="AC78" s="49"/>
      <x:c r="AD78" s="49"/>
      <x:c r="AE78" s="49"/>
      <x:c r="AF78" s="49"/>
      <x:c r="AG78" s="49"/>
      <x:c r="AH78" s="49"/>
      <x:c r="AI78" s="49"/>
      <x:c r="AJ78" s="49"/>
      <x:c r="AK78" s="49"/>
      <x:c r="AL78" s="49"/>
      <x:c r="AM78" s="49"/>
      <x:c r="AN78" s="49"/>
      <x:c r="AO78" s="49"/>
      <x:c r="AP78" s="49"/>
      <x:c r="AQ78" s="49"/>
      <x:c r="AR78" s="49"/>
      <x:c r="AS78" s="49"/>
      <x:c r="AT78" s="49"/>
      <x:c r="AU78" s="49"/>
      <x:c r="AV78" s="49"/>
      <x:c r="AW78" s="49"/>
      <x:c r="AX78" s="49"/>
      <x:c r="AY78" s="49"/>
      <x:c r="AZ78" s="49"/>
    </x:row>
    <x:row r="79">
      <x:c r="A79" s="49"/>
      <x:c r="B79" s="49"/>
      <x:c r="C79" s="49"/>
      <x:c r="D79" s="49"/>
      <x:c r="E79" s="49"/>
      <x:c r="F79" s="49"/>
      <x:c r="G79" s="49"/>
      <x:c r="H79" s="49"/>
      <x:c r="I79" s="49"/>
      <x:c r="J79" s="49"/>
      <x:c r="K79" s="49"/>
      <x:c r="L79" s="49"/>
      <x:c r="M79" s="49"/>
      <x:c r="N79" s="49"/>
      <x:c r="O79" s="49"/>
      <x:c r="P79" s="49"/>
      <x:c r="Q79" s="49"/>
      <x:c r="R79" s="49"/>
      <x:c r="S79" s="49"/>
      <x:c r="T79" s="49"/>
      <x:c r="U79" s="49"/>
      <x:c r="V79" s="49"/>
      <x:c r="W79" s="49"/>
      <x:c r="X79" s="49"/>
      <x:c r="Y79" s="49"/>
      <x:c r="Z79" s="49"/>
      <x:c r="AA79" s="49"/>
      <x:c r="AB79" s="49"/>
      <x:c r="AC79" s="49"/>
      <x:c r="AD79" s="49"/>
      <x:c r="AE79" s="49"/>
      <x:c r="AF79" s="49"/>
      <x:c r="AG79" s="49"/>
      <x:c r="AH79" s="49"/>
      <x:c r="AI79" s="49"/>
      <x:c r="AJ79" s="49"/>
      <x:c r="AK79" s="49"/>
      <x:c r="AL79" s="49"/>
      <x:c r="AM79" s="49"/>
      <x:c r="AN79" s="49"/>
      <x:c r="AO79" s="49"/>
      <x:c r="AP79" s="49"/>
      <x:c r="AQ79" s="49"/>
      <x:c r="AR79" s="49"/>
      <x:c r="AS79" s="49"/>
      <x:c r="AT79" s="49"/>
      <x:c r="AU79" s="49"/>
      <x:c r="AV79" s="49"/>
      <x:c r="AW79" s="49"/>
      <x:c r="AX79" s="49"/>
      <x:c r="AY79" s="49"/>
      <x:c r="AZ79" s="49"/>
    </x:row>
    <x:row r="80">
      <x:c r="A80" s="49"/>
      <x:c r="B80" s="49"/>
      <x:c r="C80" s="49"/>
      <x:c r="D80" s="49"/>
      <x:c r="E80" s="49"/>
      <x:c r="F80" s="49"/>
      <x:c r="G80" s="49"/>
      <x:c r="H80" s="49"/>
      <x:c r="I80" s="49"/>
      <x:c r="J80" s="49"/>
      <x:c r="K80" s="49"/>
      <x:c r="L80" s="49"/>
      <x:c r="M80" s="49"/>
      <x:c r="N80" s="49"/>
      <x:c r="O80" s="49"/>
      <x:c r="P80" s="49"/>
      <x:c r="Q80" s="49"/>
      <x:c r="R80" s="49"/>
      <x:c r="S80" s="49"/>
      <x:c r="T80" s="49"/>
      <x:c r="U80" s="49"/>
      <x:c r="V80" s="49"/>
      <x:c r="W80" s="49"/>
      <x:c r="X80" s="49"/>
      <x:c r="Y80" s="49"/>
      <x:c r="Z80" s="49"/>
      <x:c r="AA80" s="49"/>
      <x:c r="AB80" s="49"/>
      <x:c r="AC80" s="49"/>
      <x:c r="AD80" s="49"/>
      <x:c r="AE80" s="49"/>
      <x:c r="AF80" s="49"/>
      <x:c r="AG80" s="49"/>
      <x:c r="AH80" s="49"/>
      <x:c r="AI80" s="49"/>
      <x:c r="AJ80" s="49"/>
      <x:c r="AK80" s="49"/>
      <x:c r="AL80" s="49"/>
      <x:c r="AM80" s="49"/>
      <x:c r="AN80" s="49"/>
      <x:c r="AO80" s="49"/>
      <x:c r="AP80" s="49"/>
      <x:c r="AQ80" s="49"/>
      <x:c r="AR80" s="49"/>
      <x:c r="AS80" s="49"/>
      <x:c r="AT80" s="49"/>
      <x:c r="AU80" s="49"/>
      <x:c r="AV80" s="49"/>
      <x:c r="AW80" s="49"/>
      <x:c r="AX80" s="49"/>
      <x:c r="AY80" s="49"/>
      <x:c r="AZ80" s="49"/>
    </x:row>
    <x:row r="81">
      <x:c r="A81" s="49"/>
      <x:c r="B81" s="49"/>
      <x:c r="C81" s="49"/>
      <x:c r="D81" s="49"/>
      <x:c r="E81" s="49"/>
      <x:c r="F81" s="49"/>
      <x:c r="G81" s="49"/>
      <x:c r="H81" s="49"/>
      <x:c r="I81" s="49"/>
      <x:c r="J81" s="49"/>
      <x:c r="K81" s="49"/>
      <x:c r="L81" s="49"/>
      <x:c r="M81" s="49"/>
      <x:c r="N81" s="49"/>
      <x:c r="O81" s="49"/>
      <x:c r="P81" s="49"/>
      <x:c r="Q81" s="49"/>
      <x:c r="R81" s="49"/>
      <x:c r="S81" s="49"/>
      <x:c r="T81" s="49"/>
      <x:c r="U81" s="49"/>
      <x:c r="V81" s="49"/>
      <x:c r="W81" s="49"/>
      <x:c r="X81" s="49"/>
      <x:c r="Y81" s="49"/>
      <x:c r="Z81" s="49"/>
      <x:c r="AA81" s="49"/>
      <x:c r="AB81" s="49"/>
      <x:c r="AC81" s="49"/>
      <x:c r="AD81" s="49"/>
      <x:c r="AE81" s="49"/>
      <x:c r="AF81" s="49"/>
      <x:c r="AG81" s="49"/>
      <x:c r="AH81" s="49"/>
      <x:c r="AI81" s="49"/>
      <x:c r="AJ81" s="49"/>
      <x:c r="AK81" s="49"/>
      <x:c r="AL81" s="49"/>
      <x:c r="AM81" s="49"/>
      <x:c r="AN81" s="49"/>
      <x:c r="AO81" s="49"/>
      <x:c r="AP81" s="49"/>
      <x:c r="AQ81" s="49"/>
      <x:c r="AR81" s="49"/>
      <x:c r="AS81" s="49"/>
      <x:c r="AT81" s="49"/>
      <x:c r="AU81" s="49"/>
      <x:c r="AV81" s="49"/>
      <x:c r="AW81" s="49"/>
      <x:c r="AX81" s="49"/>
      <x:c r="AY81" s="49"/>
      <x:c r="AZ81" s="49"/>
    </x:row>
    <x:row r="82">
      <x:c r="A82" s="49"/>
      <x:c r="B82" s="49"/>
      <x:c r="C82" s="49"/>
      <x:c r="D82" s="49"/>
      <x:c r="E82" s="49"/>
      <x:c r="F82" s="49"/>
      <x:c r="G82" s="49"/>
      <x:c r="H82" s="49"/>
      <x:c r="I82" s="49"/>
      <x:c r="J82" s="49"/>
      <x:c r="K82" s="49"/>
      <x:c r="L82" s="49"/>
      <x:c r="M82" s="49"/>
      <x:c r="N82" s="49"/>
      <x:c r="O82" s="49"/>
      <x:c r="P82" s="49"/>
      <x:c r="Q82" s="49"/>
      <x:c r="R82" s="49"/>
      <x:c r="S82" s="49"/>
      <x:c r="T82" s="49"/>
      <x:c r="U82" s="49"/>
      <x:c r="V82" s="49"/>
      <x:c r="W82" s="49"/>
      <x:c r="X82" s="49"/>
      <x:c r="Y82" s="49"/>
      <x:c r="Z82" s="49"/>
      <x:c r="AA82" s="49"/>
      <x:c r="AB82" s="49"/>
      <x:c r="AC82" s="49"/>
      <x:c r="AD82" s="49"/>
      <x:c r="AE82" s="49"/>
      <x:c r="AF82" s="49"/>
      <x:c r="AG82" s="49"/>
      <x:c r="AH82" s="49"/>
      <x:c r="AI82" s="49"/>
      <x:c r="AJ82" s="49"/>
      <x:c r="AK82" s="49"/>
      <x:c r="AL82" s="49"/>
      <x:c r="AM82" s="49"/>
      <x:c r="AN82" s="49"/>
      <x:c r="AO82" s="49"/>
      <x:c r="AP82" s="49"/>
      <x:c r="AQ82" s="49"/>
      <x:c r="AR82" s="49"/>
      <x:c r="AS82" s="49"/>
      <x:c r="AT82" s="49"/>
      <x:c r="AU82" s="49"/>
      <x:c r="AV82" s="49"/>
      <x:c r="AW82" s="49"/>
      <x:c r="AX82" s="49"/>
      <x:c r="AY82" s="49"/>
      <x:c r="AZ82" s="49"/>
    </x:row>
    <x:row r="83">
      <x:c r="A83" s="49"/>
      <x:c r="B83" s="49"/>
      <x:c r="C83" s="49"/>
      <x:c r="D83" s="49"/>
      <x:c r="E83" s="49"/>
      <x:c r="F83" s="49"/>
      <x:c r="G83" s="49"/>
      <x:c r="H83" s="49"/>
      <x:c r="I83" s="49"/>
      <x:c r="J83" s="49"/>
      <x:c r="K83" s="49"/>
      <x:c r="L83" s="49"/>
      <x:c r="M83" s="49"/>
      <x:c r="N83" s="49"/>
      <x:c r="O83" s="49"/>
      <x:c r="P83" s="49"/>
      <x:c r="Q83" s="49"/>
      <x:c r="R83" s="49"/>
      <x:c r="S83" s="49"/>
      <x:c r="T83" s="49"/>
      <x:c r="U83" s="49"/>
      <x:c r="V83" s="49"/>
      <x:c r="W83" s="49"/>
      <x:c r="X83" s="49"/>
      <x:c r="Y83" s="49"/>
      <x:c r="Z83" s="49"/>
      <x:c r="AA83" s="49"/>
      <x:c r="AB83" s="49"/>
      <x:c r="AC83" s="49"/>
      <x:c r="AD83" s="49"/>
      <x:c r="AE83" s="49"/>
      <x:c r="AF83" s="49"/>
      <x:c r="AG83" s="49"/>
      <x:c r="AH83" s="49"/>
      <x:c r="AI83" s="49"/>
      <x:c r="AJ83" s="49"/>
      <x:c r="AK83" s="49"/>
      <x:c r="AL83" s="49"/>
      <x:c r="AM83" s="49"/>
      <x:c r="AN83" s="49"/>
      <x:c r="AO83" s="49"/>
      <x:c r="AP83" s="49"/>
      <x:c r="AQ83" s="49"/>
      <x:c r="AR83" s="49"/>
      <x:c r="AS83" s="49"/>
      <x:c r="AT83" s="49"/>
      <x:c r="AU83" s="49"/>
      <x:c r="AV83" s="49"/>
      <x:c r="AW83" s="49"/>
      <x:c r="AX83" s="49"/>
      <x:c r="AY83" s="49"/>
      <x:c r="AZ83" s="49"/>
    </x:row>
    <x:row r="84">
      <x:c r="A84" s="49"/>
      <x:c r="B84" s="49"/>
      <x:c r="C84" s="49"/>
      <x:c r="D84" s="49"/>
      <x:c r="E84" s="49"/>
      <x:c r="F84" s="49"/>
      <x:c r="G84" s="49"/>
      <x:c r="H84" s="49"/>
      <x:c r="I84" s="49"/>
      <x:c r="J84" s="49"/>
      <x:c r="K84" s="49"/>
      <x:c r="L84" s="49"/>
      <x:c r="M84" s="49"/>
      <x:c r="N84" s="49"/>
      <x:c r="O84" s="49"/>
      <x:c r="P84" s="49"/>
      <x:c r="Q84" s="49"/>
      <x:c r="R84" s="49"/>
      <x:c r="S84" s="49"/>
      <x:c r="T84" s="49"/>
      <x:c r="U84" s="49"/>
      <x:c r="V84" s="49"/>
      <x:c r="W84" s="49"/>
      <x:c r="X84" s="49"/>
      <x:c r="Y84" s="49"/>
      <x:c r="Z84" s="49"/>
      <x:c r="AA84" s="49"/>
      <x:c r="AB84" s="49"/>
      <x:c r="AC84" s="49"/>
      <x:c r="AD84" s="49"/>
      <x:c r="AE84" s="49"/>
      <x:c r="AF84" s="49"/>
      <x:c r="AG84" s="49"/>
      <x:c r="AH84" s="49"/>
      <x:c r="AI84" s="49"/>
      <x:c r="AJ84" s="49"/>
      <x:c r="AK84" s="49"/>
      <x:c r="AL84" s="49"/>
      <x:c r="AM84" s="49"/>
      <x:c r="AN84" s="49"/>
      <x:c r="AO84" s="49"/>
      <x:c r="AP84" s="49"/>
      <x:c r="AQ84" s="49"/>
      <x:c r="AR84" s="49"/>
      <x:c r="AS84" s="49"/>
      <x:c r="AT84" s="49"/>
      <x:c r="AU84" s="49"/>
      <x:c r="AV84" s="49"/>
      <x:c r="AW84" s="49"/>
      <x:c r="AX84" s="49"/>
      <x:c r="AY84" s="49"/>
      <x:c r="AZ84" s="49"/>
    </x:row>
    <x:row r="85">
      <x:c r="A85" s="49"/>
      <x:c r="B85" s="49"/>
      <x:c r="C85" s="49"/>
      <x:c r="D85" s="49"/>
      <x:c r="E85" s="49"/>
      <x:c r="F85" s="49"/>
      <x:c r="G85" s="49"/>
      <x:c r="H85" s="49"/>
      <x:c r="I85" s="49"/>
      <x:c r="J85" s="49"/>
      <x:c r="K85" s="49"/>
      <x:c r="L85" s="49"/>
      <x:c r="M85" s="49"/>
      <x:c r="N85" s="49"/>
      <x:c r="O85" s="49"/>
      <x:c r="P85" s="49"/>
      <x:c r="Q85" s="49"/>
      <x:c r="R85" s="49"/>
      <x:c r="S85" s="49"/>
      <x:c r="T85" s="49"/>
      <x:c r="U85" s="49"/>
      <x:c r="V85" s="49"/>
      <x:c r="W85" s="49"/>
      <x:c r="X85" s="49"/>
      <x:c r="Y85" s="49"/>
      <x:c r="Z85" s="49"/>
      <x:c r="AA85" s="49"/>
      <x:c r="AB85" s="49"/>
      <x:c r="AC85" s="49"/>
      <x:c r="AD85" s="49"/>
      <x:c r="AE85" s="49"/>
      <x:c r="AF85" s="49"/>
      <x:c r="AG85" s="49"/>
      <x:c r="AH85" s="49"/>
      <x:c r="AI85" s="49"/>
      <x:c r="AJ85" s="49"/>
      <x:c r="AK85" s="49"/>
      <x:c r="AL85" s="49"/>
      <x:c r="AM85" s="49"/>
      <x:c r="AN85" s="49"/>
      <x:c r="AO85" s="49"/>
      <x:c r="AP85" s="49"/>
      <x:c r="AQ85" s="49"/>
      <x:c r="AR85" s="49"/>
      <x:c r="AS85" s="49"/>
      <x:c r="AT85" s="49"/>
      <x:c r="AU85" s="49"/>
      <x:c r="AV85" s="49"/>
      <x:c r="AW85" s="49"/>
      <x:c r="AX85" s="49"/>
      <x:c r="AY85" s="49"/>
      <x:c r="AZ85" s="49"/>
    </x:row>
    <x:row r="86">
      <x:c r="A86" s="49"/>
      <x:c r="B86" s="49"/>
      <x:c r="C86" s="49"/>
      <x:c r="D86" s="49"/>
      <x:c r="E86" s="49"/>
      <x:c r="F86" s="49"/>
      <x:c r="G86" s="49"/>
      <x:c r="H86" s="49"/>
      <x:c r="I86" s="49"/>
      <x:c r="J86" s="49"/>
      <x:c r="K86" s="49"/>
      <x:c r="L86" s="49"/>
      <x:c r="M86" s="49"/>
      <x:c r="N86" s="49"/>
      <x:c r="O86" s="49"/>
      <x:c r="P86" s="49"/>
      <x:c r="Q86" s="49"/>
      <x:c r="R86" s="49"/>
      <x:c r="S86" s="49"/>
      <x:c r="T86" s="49"/>
      <x:c r="U86" s="49"/>
      <x:c r="V86" s="49"/>
      <x:c r="W86" s="49"/>
      <x:c r="X86" s="49"/>
      <x:c r="Y86" s="49"/>
      <x:c r="Z86" s="49"/>
      <x:c r="AA86" s="49"/>
      <x:c r="AB86" s="49"/>
      <x:c r="AC86" s="49"/>
      <x:c r="AD86" s="49"/>
      <x:c r="AE86" s="49"/>
      <x:c r="AF86" s="49"/>
      <x:c r="AG86" s="49"/>
      <x:c r="AH86" s="49"/>
      <x:c r="AI86" s="49"/>
      <x:c r="AJ86" s="49"/>
      <x:c r="AK86" s="49"/>
      <x:c r="AL86" s="49"/>
      <x:c r="AM86" s="49"/>
      <x:c r="AN86" s="49"/>
      <x:c r="AO86" s="49"/>
      <x:c r="AP86" s="49"/>
      <x:c r="AQ86" s="49"/>
      <x:c r="AR86" s="49"/>
      <x:c r="AS86" s="49"/>
      <x:c r="AT86" s="49"/>
      <x:c r="AU86" s="49"/>
      <x:c r="AV86" s="49"/>
      <x:c r="AW86" s="49"/>
      <x:c r="AX86" s="49"/>
      <x:c r="AY86" s="49"/>
      <x:c r="AZ86" s="49"/>
    </x:row>
    <x:row r="87">
      <x:c r="A87" s="49"/>
      <x:c r="B87" s="49"/>
      <x:c r="C87" s="49"/>
      <x:c r="D87" s="49"/>
      <x:c r="E87" s="49"/>
      <x:c r="F87" s="49"/>
      <x:c r="G87" s="49"/>
      <x:c r="H87" s="49"/>
      <x:c r="I87" s="49"/>
      <x:c r="J87" s="49"/>
      <x:c r="K87" s="49"/>
      <x:c r="L87" s="49"/>
      <x:c r="M87" s="49"/>
      <x:c r="N87" s="49"/>
      <x:c r="O87" s="49"/>
      <x:c r="P87" s="49"/>
      <x:c r="Q87" s="49"/>
      <x:c r="R87" s="49"/>
      <x:c r="S87" s="49"/>
      <x:c r="T87" s="49"/>
      <x:c r="U87" s="49"/>
      <x:c r="V87" s="49"/>
      <x:c r="W87" s="49"/>
      <x:c r="X87" s="49"/>
      <x:c r="Y87" s="49"/>
      <x:c r="Z87" s="49"/>
      <x:c r="AA87" s="49"/>
      <x:c r="AB87" s="49"/>
      <x:c r="AC87" s="49"/>
      <x:c r="AD87" s="49"/>
      <x:c r="AE87" s="49"/>
      <x:c r="AF87" s="49"/>
      <x:c r="AG87" s="49"/>
      <x:c r="AH87" s="49"/>
      <x:c r="AI87" s="49"/>
      <x:c r="AJ87" s="49"/>
      <x:c r="AK87" s="49"/>
      <x:c r="AL87" s="49"/>
      <x:c r="AM87" s="49"/>
      <x:c r="AN87" s="49"/>
      <x:c r="AO87" s="49"/>
      <x:c r="AP87" s="49"/>
      <x:c r="AQ87" s="49"/>
      <x:c r="AR87" s="49"/>
      <x:c r="AS87" s="49"/>
      <x:c r="AT87" s="49"/>
      <x:c r="AU87" s="49"/>
      <x:c r="AV87" s="49"/>
      <x:c r="AW87" s="49"/>
      <x:c r="AX87" s="49"/>
      <x:c r="AY87" s="49"/>
      <x:c r="AZ87" s="49"/>
    </x:row>
    <x:row r="88">
      <x:c r="A88" s="49"/>
      <x:c r="B88" s="49"/>
      <x:c r="C88" s="49"/>
      <x:c r="D88" s="49"/>
      <x:c r="E88" s="49"/>
      <x:c r="F88" s="49"/>
      <x:c r="G88" s="49"/>
      <x:c r="H88" s="49"/>
      <x:c r="I88" s="49"/>
      <x:c r="J88" s="49"/>
      <x:c r="K88" s="49"/>
      <x:c r="L88" s="49"/>
      <x:c r="M88" s="49"/>
      <x:c r="N88" s="49"/>
      <x:c r="O88" s="49"/>
      <x:c r="P88" s="49"/>
      <x:c r="Q88" s="49"/>
      <x:c r="R88" s="49"/>
      <x:c r="S88" s="49"/>
      <x:c r="T88" s="49"/>
      <x:c r="U88" s="49"/>
      <x:c r="V88" s="49"/>
      <x:c r="W88" s="49"/>
      <x:c r="X88" s="49"/>
      <x:c r="Y88" s="49"/>
      <x:c r="Z88" s="49"/>
      <x:c r="AA88" s="49"/>
      <x:c r="AB88" s="49"/>
      <x:c r="AC88" s="49"/>
      <x:c r="AD88" s="49"/>
      <x:c r="AE88" s="49"/>
      <x:c r="AF88" s="49"/>
      <x:c r="AG88" s="49"/>
      <x:c r="AH88" s="49"/>
      <x:c r="AI88" s="49"/>
      <x:c r="AJ88" s="49"/>
      <x:c r="AK88" s="49"/>
      <x:c r="AL88" s="49"/>
      <x:c r="AM88" s="49"/>
      <x:c r="AN88" s="49"/>
      <x:c r="AO88" s="49"/>
      <x:c r="AP88" s="49"/>
      <x:c r="AQ88" s="49"/>
      <x:c r="AR88" s="49"/>
      <x:c r="AS88" s="49"/>
      <x:c r="AT88" s="49"/>
      <x:c r="AU88" s="49"/>
      <x:c r="AV88" s="49"/>
      <x:c r="AW88" s="49"/>
      <x:c r="AX88" s="49"/>
      <x:c r="AY88" s="49"/>
      <x:c r="AZ88" s="49"/>
    </x:row>
    <x:row r="89">
      <x:c r="A89" s="49"/>
      <x:c r="B89" s="49"/>
      <x:c r="C89" s="49"/>
      <x:c r="D89" s="49"/>
      <x:c r="E89" s="49"/>
      <x:c r="F89" s="49"/>
      <x:c r="G89" s="49"/>
      <x:c r="H89" s="49"/>
      <x:c r="I89" s="49"/>
      <x:c r="J89" s="49"/>
      <x:c r="K89" s="49"/>
      <x:c r="L89" s="49"/>
      <x:c r="M89" s="49"/>
      <x:c r="N89" s="49"/>
      <x:c r="O89" s="49"/>
      <x:c r="P89" s="49"/>
      <x:c r="Q89" s="49"/>
      <x:c r="R89" s="49"/>
      <x:c r="S89" s="49"/>
      <x:c r="T89" s="49"/>
      <x:c r="U89" s="49"/>
      <x:c r="V89" s="49"/>
      <x:c r="W89" s="49"/>
      <x:c r="X89" s="49"/>
      <x:c r="Y89" s="49"/>
      <x:c r="Z89" s="49"/>
      <x:c r="AA89" s="49"/>
      <x:c r="AB89" s="49"/>
      <x:c r="AC89" s="49"/>
      <x:c r="AD89" s="49"/>
      <x:c r="AE89" s="49"/>
      <x:c r="AF89" s="49"/>
      <x:c r="AG89" s="49"/>
      <x:c r="AH89" s="49"/>
      <x:c r="AI89" s="49"/>
      <x:c r="AJ89" s="49"/>
      <x:c r="AK89" s="49"/>
      <x:c r="AL89" s="49"/>
      <x:c r="AM89" s="49"/>
      <x:c r="AN89" s="49"/>
      <x:c r="AO89" s="49"/>
      <x:c r="AP89" s="49"/>
      <x:c r="AQ89" s="49"/>
      <x:c r="AR89" s="49"/>
      <x:c r="AS89" s="49"/>
      <x:c r="AT89" s="49"/>
      <x:c r="AU89" s="49"/>
      <x:c r="AV89" s="49"/>
      <x:c r="AW89" s="49"/>
      <x:c r="AX89" s="49"/>
      <x:c r="AY89" s="49"/>
      <x:c r="AZ89" s="49"/>
    </x:row>
    <x:row r="90">
      <x:c r="A90" s="49"/>
      <x:c r="B90" s="49"/>
      <x:c r="C90" s="49"/>
      <x:c r="D90" s="49"/>
      <x:c r="E90" s="49"/>
      <x:c r="F90" s="49"/>
      <x:c r="G90" s="49"/>
      <x:c r="H90" s="49"/>
      <x:c r="I90" s="49"/>
      <x:c r="J90" s="49"/>
      <x:c r="K90" s="49"/>
      <x:c r="L90" s="49"/>
      <x:c r="M90" s="49"/>
      <x:c r="N90" s="49"/>
      <x:c r="O90" s="49"/>
      <x:c r="P90" s="49"/>
      <x:c r="Q90" s="49"/>
      <x:c r="R90" s="49"/>
      <x:c r="S90" s="49"/>
      <x:c r="T90" s="49"/>
      <x:c r="U90" s="49"/>
      <x:c r="V90" s="49"/>
      <x:c r="W90" s="49"/>
      <x:c r="X90" s="49"/>
      <x:c r="Y90" s="49"/>
      <x:c r="Z90" s="49"/>
      <x:c r="AA90" s="49"/>
      <x:c r="AB90" s="49"/>
      <x:c r="AC90" s="49"/>
      <x:c r="AD90" s="49"/>
      <x:c r="AE90" s="49"/>
      <x:c r="AF90" s="49"/>
      <x:c r="AG90" s="49"/>
      <x:c r="AH90" s="49"/>
      <x:c r="AI90" s="49"/>
      <x:c r="AJ90" s="49"/>
      <x:c r="AK90" s="49"/>
      <x:c r="AL90" s="49"/>
      <x:c r="AM90" s="49"/>
      <x:c r="AN90" s="49"/>
      <x:c r="AO90" s="49"/>
      <x:c r="AP90" s="49"/>
      <x:c r="AQ90" s="49"/>
      <x:c r="AR90" s="49"/>
      <x:c r="AS90" s="49"/>
      <x:c r="AT90" s="49"/>
      <x:c r="AU90" s="49"/>
      <x:c r="AV90" s="49"/>
      <x:c r="AW90" s="49"/>
      <x:c r="AX90" s="49"/>
      <x:c r="AY90" s="49"/>
      <x:c r="AZ90" s="49"/>
    </x:row>
    <x:row r="91">
      <x:c r="A91" s="49"/>
      <x:c r="B91" s="49"/>
      <x:c r="C91" s="49"/>
      <x:c r="D91" s="49"/>
      <x:c r="E91" s="49"/>
      <x:c r="F91" s="49"/>
      <x:c r="G91" s="49"/>
      <x:c r="H91" s="49"/>
      <x:c r="I91" s="49"/>
      <x:c r="J91" s="49"/>
      <x:c r="K91" s="49"/>
      <x:c r="L91" s="49"/>
      <x:c r="M91" s="49"/>
      <x:c r="N91" s="49"/>
      <x:c r="O91" s="49"/>
      <x:c r="P91" s="49"/>
      <x:c r="Q91" s="49"/>
      <x:c r="R91" s="49"/>
      <x:c r="S91" s="49"/>
      <x:c r="T91" s="49"/>
      <x:c r="U91" s="49"/>
      <x:c r="V91" s="49"/>
      <x:c r="W91" s="49"/>
      <x:c r="X91" s="49"/>
      <x:c r="Y91" s="49"/>
      <x:c r="Z91" s="49"/>
      <x:c r="AA91" s="49"/>
      <x:c r="AB91" s="49"/>
      <x:c r="AC91" s="49"/>
      <x:c r="AD91" s="49"/>
      <x:c r="AE91" s="49"/>
      <x:c r="AF91" s="49"/>
      <x:c r="AG91" s="49"/>
      <x:c r="AH91" s="49"/>
      <x:c r="AI91" s="49"/>
      <x:c r="AJ91" s="49"/>
      <x:c r="AK91" s="49"/>
      <x:c r="AL91" s="49"/>
      <x:c r="AM91" s="49"/>
      <x:c r="AN91" s="49"/>
      <x:c r="AO91" s="49"/>
      <x:c r="AP91" s="49"/>
      <x:c r="AQ91" s="49"/>
      <x:c r="AR91" s="49"/>
      <x:c r="AS91" s="49"/>
      <x:c r="AT91" s="49"/>
      <x:c r="AU91" s="49"/>
      <x:c r="AV91" s="49"/>
      <x:c r="AW91" s="49"/>
      <x:c r="AX91" s="49"/>
      <x:c r="AY91" s="49"/>
      <x:c r="AZ91" s="49"/>
    </x:row>
    <x:row r="92">
      <x:c r="A92" s="49"/>
      <x:c r="B92" s="49"/>
      <x:c r="C92" s="49"/>
      <x:c r="D92" s="49"/>
      <x:c r="E92" s="49"/>
      <x:c r="F92" s="49"/>
      <x:c r="G92" s="49"/>
      <x:c r="H92" s="49"/>
      <x:c r="I92" s="49"/>
      <x:c r="J92" s="49"/>
      <x:c r="K92" s="49"/>
      <x:c r="L92" s="49"/>
      <x:c r="M92" s="49"/>
      <x:c r="N92" s="49"/>
      <x:c r="O92" s="49"/>
      <x:c r="P92" s="49"/>
      <x:c r="Q92" s="49"/>
      <x:c r="R92" s="49"/>
      <x:c r="S92" s="49"/>
      <x:c r="T92" s="49"/>
      <x:c r="U92" s="49"/>
      <x:c r="V92" s="49"/>
      <x:c r="W92" s="49"/>
      <x:c r="X92" s="49"/>
      <x:c r="Y92" s="49"/>
      <x:c r="Z92" s="49"/>
      <x:c r="AA92" s="49"/>
      <x:c r="AB92" s="49"/>
      <x:c r="AC92" s="49"/>
      <x:c r="AD92" s="49"/>
      <x:c r="AE92" s="49"/>
      <x:c r="AF92" s="49"/>
      <x:c r="AG92" s="49"/>
      <x:c r="AH92" s="49"/>
      <x:c r="AI92" s="49"/>
      <x:c r="AJ92" s="49"/>
      <x:c r="AK92" s="49"/>
      <x:c r="AL92" s="49"/>
      <x:c r="AM92" s="49"/>
      <x:c r="AN92" s="49"/>
      <x:c r="AO92" s="49"/>
      <x:c r="AP92" s="49"/>
      <x:c r="AQ92" s="49"/>
      <x:c r="AR92" s="49"/>
      <x:c r="AS92" s="49"/>
      <x:c r="AT92" s="49"/>
      <x:c r="AU92" s="49"/>
      <x:c r="AV92" s="49"/>
      <x:c r="AW92" s="49"/>
      <x:c r="AX92" s="49"/>
      <x:c r="AY92" s="49"/>
      <x:c r="AZ92" s="49"/>
    </x:row>
    <x:row r="93">
      <x:c r="A93" s="49"/>
      <x:c r="B93" s="49"/>
      <x:c r="C93" s="49"/>
      <x:c r="D93" s="49"/>
      <x:c r="E93" s="49"/>
      <x:c r="F93" s="49"/>
      <x:c r="G93" s="49"/>
      <x:c r="H93" s="49"/>
      <x:c r="I93" s="49"/>
      <x:c r="J93" s="49"/>
      <x:c r="K93" s="49"/>
      <x:c r="L93" s="49"/>
      <x:c r="M93" s="49"/>
      <x:c r="N93" s="49"/>
      <x:c r="O93" s="49"/>
      <x:c r="P93" s="49"/>
      <x:c r="Q93" s="49"/>
      <x:c r="R93" s="49"/>
      <x:c r="S93" s="49"/>
      <x:c r="T93" s="49"/>
      <x:c r="U93" s="49"/>
      <x:c r="V93" s="49"/>
      <x:c r="W93" s="49"/>
      <x:c r="X93" s="49"/>
      <x:c r="Y93" s="49"/>
      <x:c r="Z93" s="49"/>
      <x:c r="AA93" s="49"/>
      <x:c r="AB93" s="49"/>
      <x:c r="AC93" s="49"/>
      <x:c r="AD93" s="49"/>
      <x:c r="AE93" s="49"/>
      <x:c r="AF93" s="49"/>
      <x:c r="AG93" s="49"/>
      <x:c r="AH93" s="49"/>
      <x:c r="AI93" s="49"/>
      <x:c r="AJ93" s="49"/>
      <x:c r="AK93" s="49"/>
      <x:c r="AL93" s="49"/>
      <x:c r="AM93" s="49"/>
      <x:c r="AN93" s="49"/>
      <x:c r="AO93" s="49"/>
      <x:c r="AP93" s="49"/>
      <x:c r="AQ93" s="49"/>
      <x:c r="AR93" s="49"/>
      <x:c r="AS93" s="49"/>
      <x:c r="AT93" s="49"/>
      <x:c r="AU93" s="49"/>
      <x:c r="AV93" s="49"/>
      <x:c r="AW93" s="49"/>
      <x:c r="AX93" s="49"/>
      <x:c r="AY93" s="49"/>
      <x:c r="AZ93" s="49"/>
    </x:row>
    <x:row r="94">
      <x:c r="A94" s="49"/>
      <x:c r="B94" s="49"/>
      <x:c r="C94" s="49"/>
      <x:c r="D94" s="49"/>
      <x:c r="E94" s="49"/>
      <x:c r="F94" s="49"/>
      <x:c r="G94" s="49"/>
      <x:c r="H94" s="49"/>
      <x:c r="I94" s="49"/>
      <x:c r="J94" s="49"/>
      <x:c r="K94" s="49"/>
      <x:c r="L94" s="49"/>
      <x:c r="M94" s="49"/>
      <x:c r="N94" s="49"/>
      <x:c r="O94" s="49"/>
      <x:c r="P94" s="49"/>
      <x:c r="Q94" s="49"/>
      <x:c r="R94" s="49"/>
      <x:c r="S94" s="49"/>
      <x:c r="T94" s="49"/>
      <x:c r="U94" s="49"/>
      <x:c r="V94" s="49"/>
      <x:c r="W94" s="49"/>
      <x:c r="X94" s="49"/>
      <x:c r="Y94" s="49"/>
      <x:c r="Z94" s="49"/>
      <x:c r="AA94" s="49"/>
      <x:c r="AB94" s="49"/>
      <x:c r="AC94" s="49"/>
      <x:c r="AD94" s="49"/>
      <x:c r="AE94" s="49"/>
      <x:c r="AF94" s="49"/>
      <x:c r="AG94" s="49"/>
      <x:c r="AH94" s="49"/>
      <x:c r="AI94" s="49"/>
      <x:c r="AJ94" s="49"/>
      <x:c r="AK94" s="49"/>
      <x:c r="AL94" s="49"/>
      <x:c r="AM94" s="49"/>
      <x:c r="AN94" s="49"/>
      <x:c r="AO94" s="49"/>
      <x:c r="AP94" s="49"/>
      <x:c r="AQ94" s="49"/>
      <x:c r="AR94" s="49"/>
      <x:c r="AS94" s="49"/>
      <x:c r="AT94" s="49"/>
      <x:c r="AU94" s="49"/>
      <x:c r="AV94" s="49"/>
      <x:c r="AW94" s="49"/>
      <x:c r="AX94" s="49"/>
      <x:c r="AY94" s="49"/>
      <x:c r="AZ94" s="49"/>
    </x:row>
    <x:row r="95">
      <x:c r="A95" s="49"/>
      <x:c r="B95" s="49"/>
      <x:c r="C95" s="49"/>
      <x:c r="D95" s="49"/>
      <x:c r="E95" s="49"/>
      <x:c r="F95" s="49"/>
      <x:c r="G95" s="49"/>
      <x:c r="H95" s="49"/>
      <x:c r="I95" s="49"/>
      <x:c r="J95" s="49"/>
      <x:c r="K95" s="49"/>
      <x:c r="L95" s="49"/>
      <x:c r="M95" s="49"/>
      <x:c r="N95" s="49"/>
      <x:c r="O95" s="49"/>
      <x:c r="P95" s="49"/>
      <x:c r="Q95" s="49"/>
      <x:c r="R95" s="49"/>
      <x:c r="S95" s="49"/>
      <x:c r="T95" s="49"/>
      <x:c r="U95" s="49"/>
      <x:c r="V95" s="49"/>
      <x:c r="W95" s="49"/>
      <x:c r="X95" s="49"/>
      <x:c r="Y95" s="49"/>
      <x:c r="Z95" s="49"/>
      <x:c r="AA95" s="49"/>
      <x:c r="AB95" s="49"/>
      <x:c r="AC95" s="49"/>
      <x:c r="AD95" s="49"/>
      <x:c r="AE95" s="49"/>
      <x:c r="AF95" s="49"/>
      <x:c r="AG95" s="49"/>
      <x:c r="AH95" s="49"/>
      <x:c r="AI95" s="49"/>
      <x:c r="AJ95" s="49"/>
      <x:c r="AK95" s="49"/>
      <x:c r="AL95" s="49"/>
      <x:c r="AM95" s="49"/>
      <x:c r="AN95" s="49"/>
      <x:c r="AO95" s="49"/>
      <x:c r="AP95" s="49"/>
      <x:c r="AQ95" s="49"/>
      <x:c r="AR95" s="49"/>
      <x:c r="AS95" s="49"/>
      <x:c r="AT95" s="49"/>
      <x:c r="AU95" s="49"/>
      <x:c r="AV95" s="49"/>
      <x:c r="AW95" s="49"/>
      <x:c r="AX95" s="49"/>
      <x:c r="AY95" s="49"/>
      <x:c r="AZ95" s="49"/>
    </x:row>
    <x:row r="96">
      <x:c r="A96" s="49"/>
      <x:c r="B96" s="49"/>
      <x:c r="C96" s="49"/>
      <x:c r="D96" s="49"/>
      <x:c r="E96" s="49"/>
      <x:c r="F96" s="49"/>
      <x:c r="G96" s="49"/>
      <x:c r="H96" s="49"/>
      <x:c r="I96" s="49"/>
      <x:c r="J96" s="49"/>
      <x:c r="K96" s="49"/>
      <x:c r="L96" s="49"/>
      <x:c r="M96" s="49"/>
      <x:c r="N96" s="49"/>
      <x:c r="O96" s="49"/>
      <x:c r="P96" s="49"/>
      <x:c r="Q96" s="49"/>
      <x:c r="R96" s="49"/>
      <x:c r="S96" s="49"/>
      <x:c r="T96" s="49"/>
      <x:c r="U96" s="49"/>
      <x:c r="V96" s="49"/>
      <x:c r="W96" s="49"/>
      <x:c r="X96" s="49"/>
      <x:c r="Y96" s="49"/>
      <x:c r="Z96" s="49"/>
      <x:c r="AA96" s="49"/>
      <x:c r="AB96" s="49"/>
      <x:c r="AC96" s="49"/>
      <x:c r="AD96" s="49"/>
      <x:c r="AE96" s="49"/>
      <x:c r="AF96" s="49"/>
      <x:c r="AG96" s="49"/>
      <x:c r="AH96" s="49"/>
      <x:c r="AI96" s="49"/>
      <x:c r="AJ96" s="49"/>
      <x:c r="AK96" s="49"/>
      <x:c r="AL96" s="49"/>
      <x:c r="AM96" s="49"/>
      <x:c r="AN96" s="49"/>
      <x:c r="AO96" s="49"/>
      <x:c r="AP96" s="49"/>
      <x:c r="AQ96" s="49"/>
      <x:c r="AR96" s="49"/>
      <x:c r="AS96" s="49"/>
      <x:c r="AT96" s="49"/>
      <x:c r="AU96" s="49"/>
      <x:c r="AV96" s="49"/>
      <x:c r="AW96" s="49"/>
      <x:c r="AX96" s="49"/>
      <x:c r="AY96" s="49"/>
      <x:c r="AZ96" s="49"/>
    </x:row>
    <x:row r="97">
      <x:c r="A97" s="49"/>
      <x:c r="B97" s="49"/>
      <x:c r="C97" s="49"/>
      <x:c r="D97" s="49"/>
      <x:c r="E97" s="49"/>
      <x:c r="F97" s="49"/>
      <x:c r="G97" s="49"/>
      <x:c r="H97" s="49"/>
      <x:c r="I97" s="49"/>
      <x:c r="J97" s="49"/>
      <x:c r="K97" s="49"/>
      <x:c r="L97" s="49"/>
      <x:c r="M97" s="49"/>
      <x:c r="N97" s="49"/>
      <x:c r="O97" s="49"/>
      <x:c r="P97" s="49"/>
      <x:c r="Q97" s="49"/>
      <x:c r="R97" s="49"/>
      <x:c r="S97" s="49"/>
      <x:c r="T97" s="49"/>
      <x:c r="U97" s="49"/>
      <x:c r="V97" s="49"/>
      <x:c r="W97" s="49"/>
      <x:c r="X97" s="49"/>
      <x:c r="Y97" s="49"/>
      <x:c r="Z97" s="49"/>
      <x:c r="AA97" s="49"/>
      <x:c r="AB97" s="49"/>
      <x:c r="AC97" s="49"/>
      <x:c r="AD97" s="49"/>
      <x:c r="AE97" s="49"/>
      <x:c r="AF97" s="49"/>
      <x:c r="AG97" s="49"/>
      <x:c r="AH97" s="49"/>
      <x:c r="AI97" s="49"/>
      <x:c r="AJ97" s="49"/>
      <x:c r="AK97" s="49"/>
      <x:c r="AL97" s="49"/>
      <x:c r="AM97" s="49"/>
      <x:c r="AN97" s="49"/>
      <x:c r="AO97" s="49"/>
      <x:c r="AP97" s="49"/>
      <x:c r="AQ97" s="49"/>
      <x:c r="AR97" s="49"/>
      <x:c r="AS97" s="49"/>
      <x:c r="AT97" s="49"/>
      <x:c r="AU97" s="49"/>
      <x:c r="AV97" s="49"/>
      <x:c r="AW97" s="49"/>
      <x:c r="AX97" s="49"/>
      <x:c r="AY97" s="49"/>
      <x:c r="AZ97" s="49"/>
    </x:row>
    <x:row r="98">
      <x:c r="A98" s="49"/>
      <x:c r="B98" s="49"/>
      <x:c r="C98" s="49"/>
      <x:c r="D98" s="49"/>
      <x:c r="E98" s="49"/>
      <x:c r="F98" s="49"/>
      <x:c r="G98" s="49"/>
      <x:c r="H98" s="49"/>
      <x:c r="I98" s="49"/>
      <x:c r="J98" s="49"/>
      <x:c r="K98" s="49"/>
      <x:c r="L98" s="49"/>
      <x:c r="M98" s="49"/>
      <x:c r="N98" s="49"/>
      <x:c r="O98" s="49"/>
      <x:c r="P98" s="49"/>
      <x:c r="Q98" s="49"/>
      <x:c r="R98" s="49"/>
      <x:c r="S98" s="49"/>
      <x:c r="T98" s="49"/>
      <x:c r="U98" s="49"/>
      <x:c r="V98" s="49"/>
      <x:c r="W98" s="49"/>
      <x:c r="X98" s="49"/>
      <x:c r="Y98" s="49"/>
      <x:c r="Z98" s="49"/>
      <x:c r="AA98" s="49"/>
      <x:c r="AB98" s="49"/>
      <x:c r="AC98" s="49"/>
      <x:c r="AD98" s="49"/>
      <x:c r="AE98" s="49"/>
      <x:c r="AF98" s="49"/>
      <x:c r="AG98" s="49"/>
      <x:c r="AH98" s="49"/>
      <x:c r="AI98" s="49"/>
      <x:c r="AJ98" s="49"/>
      <x:c r="AK98" s="49"/>
      <x:c r="AL98" s="49"/>
      <x:c r="AM98" s="49"/>
      <x:c r="AN98" s="49"/>
      <x:c r="AO98" s="49"/>
      <x:c r="AP98" s="49"/>
      <x:c r="AQ98" s="49"/>
      <x:c r="AR98" s="49"/>
      <x:c r="AS98" s="49"/>
      <x:c r="AT98" s="49"/>
      <x:c r="AU98" s="49"/>
      <x:c r="AV98" s="49"/>
      <x:c r="AW98" s="49"/>
      <x:c r="AX98" s="49"/>
      <x:c r="AY98" s="49"/>
      <x:c r="AZ98" s="49"/>
    </x:row>
    <x:row r="99">
      <x:c r="A99" s="49"/>
      <x:c r="B99" s="49"/>
      <x:c r="C99" s="49"/>
      <x:c r="D99" s="49"/>
      <x:c r="E99" s="49"/>
      <x:c r="F99" s="49"/>
      <x:c r="G99" s="49"/>
      <x:c r="H99" s="49"/>
      <x:c r="I99" s="49"/>
      <x:c r="J99" s="49"/>
      <x:c r="K99" s="49"/>
      <x:c r="L99" s="49"/>
      <x:c r="M99" s="49"/>
      <x:c r="N99" s="49"/>
      <x:c r="O99" s="49"/>
      <x:c r="P99" s="49"/>
      <x:c r="Q99" s="49"/>
      <x:c r="R99" s="49"/>
      <x:c r="S99" s="49"/>
      <x:c r="T99" s="49"/>
      <x:c r="U99" s="49"/>
      <x:c r="V99" s="49"/>
      <x:c r="W99" s="49"/>
      <x:c r="X99" s="49"/>
      <x:c r="Y99" s="49"/>
      <x:c r="Z99" s="49"/>
      <x:c r="AA99" s="49"/>
      <x:c r="AB99" s="49"/>
      <x:c r="AC99" s="49"/>
      <x:c r="AD99" s="49"/>
      <x:c r="AE99" s="49"/>
      <x:c r="AF99" s="49"/>
      <x:c r="AG99" s="49"/>
      <x:c r="AH99" s="49"/>
      <x:c r="AI99" s="49"/>
      <x:c r="AJ99" s="49"/>
      <x:c r="AK99" s="49"/>
      <x:c r="AL99" s="49"/>
      <x:c r="AM99" s="49"/>
      <x:c r="AN99" s="49"/>
      <x:c r="AO99" s="49"/>
      <x:c r="AP99" s="49"/>
      <x:c r="AQ99" s="49"/>
      <x:c r="AR99" s="49"/>
      <x:c r="AS99" s="49"/>
      <x:c r="AT99" s="49"/>
      <x:c r="AU99" s="49"/>
      <x:c r="AV99" s="49"/>
      <x:c r="AW99" s="49"/>
      <x:c r="AX99" s="49"/>
      <x:c r="AY99" s="49"/>
      <x:c r="AZ99" s="49"/>
    </x:row>
    <x:row r="100">
      <x:c r="A100" s="49"/>
      <x:c r="B100" s="49"/>
      <x:c r="C100" s="49"/>
      <x:c r="D100" s="49"/>
      <x:c r="E100" s="49"/>
      <x:c r="F100" s="49"/>
      <x:c r="G100" s="49"/>
      <x:c r="H100" s="49"/>
      <x:c r="I100" s="49"/>
      <x:c r="J100" s="49"/>
      <x:c r="K100" s="49"/>
      <x:c r="L100" s="49"/>
      <x:c r="M100" s="49"/>
      <x:c r="N100" s="49"/>
      <x:c r="O100" s="49"/>
      <x:c r="P100" s="49"/>
      <x:c r="Q100" s="49"/>
      <x:c r="R100" s="49"/>
      <x:c r="S100" s="49"/>
      <x:c r="T100" s="49"/>
      <x:c r="U100" s="49"/>
      <x:c r="V100" s="49"/>
      <x:c r="W100" s="49"/>
      <x:c r="X100" s="49"/>
      <x:c r="Y100" s="49"/>
      <x:c r="Z100" s="49"/>
      <x:c r="AA100" s="49"/>
      <x:c r="AB100" s="49"/>
      <x:c r="AC100" s="49"/>
      <x:c r="AD100" s="49"/>
      <x:c r="AE100" s="49"/>
      <x:c r="AF100" s="49"/>
      <x:c r="AG100" s="49"/>
      <x:c r="AH100" s="49"/>
      <x:c r="AI100" s="49"/>
      <x:c r="AJ100" s="49"/>
      <x:c r="AK100" s="49"/>
      <x:c r="AL100" s="49"/>
      <x:c r="AM100" s="49"/>
      <x:c r="AN100" s="49"/>
      <x:c r="AO100" s="49"/>
      <x:c r="AP100" s="49"/>
      <x:c r="AQ100" s="49"/>
      <x:c r="AR100" s="49"/>
      <x:c r="AS100" s="49"/>
      <x:c r="AT100" s="49"/>
      <x:c r="AU100" s="49"/>
      <x:c r="AV100" s="49"/>
      <x:c r="AW100" s="49"/>
      <x:c r="AX100" s="49"/>
      <x:c r="AY100" s="49"/>
      <x:c r="AZ100" s="49"/>
    </x:row>
    <x:row r="101">
      <x:c r="A101" s="49"/>
      <x:c r="B101" s="49"/>
      <x:c r="C101" s="49"/>
      <x:c r="D101" s="49"/>
      <x:c r="E101" s="49"/>
      <x:c r="F101" s="49"/>
      <x:c r="G101" s="49"/>
      <x:c r="H101" s="49"/>
      <x:c r="I101" s="49"/>
      <x:c r="J101" s="49"/>
      <x:c r="K101" s="49"/>
      <x:c r="L101" s="49"/>
      <x:c r="M101" s="49"/>
      <x:c r="N101" s="49"/>
      <x:c r="O101" s="49"/>
      <x:c r="P101" s="49"/>
      <x:c r="Q101" s="49"/>
      <x:c r="R101" s="49"/>
      <x:c r="S101" s="49"/>
      <x:c r="T101" s="49"/>
      <x:c r="U101" s="49"/>
      <x:c r="V101" s="49"/>
      <x:c r="W101" s="49"/>
      <x:c r="X101" s="49"/>
      <x:c r="Y101" s="49"/>
      <x:c r="Z101" s="49"/>
      <x:c r="AA101" s="49"/>
      <x:c r="AB101" s="49"/>
      <x:c r="AC101" s="49"/>
      <x:c r="AD101" s="49"/>
      <x:c r="AE101" s="49"/>
      <x:c r="AF101" s="49"/>
      <x:c r="AG101" s="49"/>
      <x:c r="AH101" s="49"/>
      <x:c r="AI101" s="49"/>
      <x:c r="AJ101" s="49"/>
      <x:c r="AK101" s="49"/>
      <x:c r="AL101" s="49"/>
      <x:c r="AM101" s="49"/>
      <x:c r="AN101" s="49"/>
      <x:c r="AO101" s="49"/>
      <x:c r="AP101" s="49"/>
      <x:c r="AQ101" s="49"/>
      <x:c r="AR101" s="49"/>
      <x:c r="AS101" s="49"/>
      <x:c r="AT101" s="49"/>
      <x:c r="AU101" s="49"/>
      <x:c r="AV101" s="49"/>
      <x:c r="AW101" s="49"/>
      <x:c r="AX101" s="49"/>
      <x:c r="AY101" s="49"/>
      <x:c r="AZ101" s="49"/>
    </x:row>
    <x:row r="102">
      <x:c r="A102" s="49"/>
      <x:c r="B102" s="49"/>
      <x:c r="C102" s="49"/>
      <x:c r="D102" s="49"/>
      <x:c r="E102" s="49"/>
      <x:c r="F102" s="49"/>
      <x:c r="G102" s="49"/>
      <x:c r="H102" s="49"/>
      <x:c r="I102" s="49"/>
      <x:c r="J102" s="49"/>
      <x:c r="K102" s="49"/>
      <x:c r="L102" s="49"/>
      <x:c r="M102" s="49"/>
      <x:c r="N102" s="49"/>
      <x:c r="O102" s="49"/>
      <x:c r="P102" s="49"/>
      <x:c r="Q102" s="49"/>
      <x:c r="R102" s="49"/>
      <x:c r="S102" s="49"/>
      <x:c r="T102" s="49"/>
      <x:c r="U102" s="49"/>
      <x:c r="V102" s="49"/>
      <x:c r="W102" s="49"/>
      <x:c r="X102" s="49"/>
      <x:c r="Y102" s="49"/>
      <x:c r="Z102" s="49"/>
      <x:c r="AA102" s="49"/>
      <x:c r="AB102" s="49"/>
      <x:c r="AC102" s="49"/>
      <x:c r="AD102" s="49"/>
      <x:c r="AE102" s="49"/>
      <x:c r="AF102" s="49"/>
      <x:c r="AG102" s="49"/>
      <x:c r="AH102" s="49"/>
      <x:c r="AI102" s="49"/>
      <x:c r="AJ102" s="49"/>
      <x:c r="AK102" s="49"/>
      <x:c r="AL102" s="49"/>
      <x:c r="AM102" s="49"/>
      <x:c r="AN102" s="49"/>
      <x:c r="AO102" s="49"/>
      <x:c r="AP102" s="49"/>
      <x:c r="AQ102" s="49"/>
      <x:c r="AR102" s="49"/>
      <x:c r="AS102" s="49"/>
      <x:c r="AT102" s="49"/>
      <x:c r="AU102" s="49"/>
      <x:c r="AV102" s="49"/>
      <x:c r="AW102" s="49"/>
      <x:c r="AX102" s="49"/>
      <x:c r="AY102" s="49"/>
      <x:c r="AZ102" s="49"/>
    </x:row>
    <x:row r="103">
      <x:c r="A103" s="49"/>
      <x:c r="B103" s="49"/>
      <x:c r="C103" s="49"/>
      <x:c r="D103" s="49"/>
      <x:c r="E103" s="49"/>
      <x:c r="F103" s="49"/>
      <x:c r="G103" s="49"/>
      <x:c r="H103" s="49"/>
      <x:c r="I103" s="49"/>
      <x:c r="J103" s="49"/>
      <x:c r="K103" s="49"/>
      <x:c r="L103" s="49"/>
      <x:c r="M103" s="49"/>
      <x:c r="N103" s="49"/>
      <x:c r="O103" s="49"/>
      <x:c r="P103" s="49"/>
      <x:c r="Q103" s="49"/>
      <x:c r="R103" s="49"/>
      <x:c r="S103" s="49"/>
      <x:c r="T103" s="49"/>
      <x:c r="U103" s="49"/>
      <x:c r="V103" s="49"/>
      <x:c r="W103" s="49"/>
      <x:c r="X103" s="49"/>
      <x:c r="Y103" s="49"/>
      <x:c r="Z103" s="49"/>
      <x:c r="AA103" s="49"/>
      <x:c r="AB103" s="49"/>
      <x:c r="AC103" s="49"/>
      <x:c r="AD103" s="49"/>
      <x:c r="AE103" s="49"/>
      <x:c r="AF103" s="49"/>
      <x:c r="AG103" s="49"/>
      <x:c r="AH103" s="49"/>
      <x:c r="AI103" s="49"/>
      <x:c r="AJ103" s="49"/>
      <x:c r="AK103" s="49"/>
      <x:c r="AL103" s="49"/>
      <x:c r="AM103" s="49"/>
      <x:c r="AN103" s="49"/>
      <x:c r="AO103" s="49"/>
      <x:c r="AP103" s="49"/>
      <x:c r="AQ103" s="49"/>
      <x:c r="AR103" s="49"/>
      <x:c r="AS103" s="49"/>
      <x:c r="AT103" s="49"/>
      <x:c r="AU103" s="49"/>
      <x:c r="AV103" s="49"/>
      <x:c r="AW103" s="49"/>
      <x:c r="AX103" s="49"/>
      <x:c r="AY103" s="49"/>
      <x:c r="AZ103" s="49"/>
    </x:row>
    <x:row r="104">
      <x:c r="A104" s="49"/>
      <x:c r="B104" s="49"/>
      <x:c r="C104" s="49"/>
      <x:c r="D104" s="49"/>
      <x:c r="E104" s="49"/>
      <x:c r="F104" s="49"/>
      <x:c r="G104" s="49"/>
      <x:c r="H104" s="49"/>
      <x:c r="I104" s="49"/>
      <x:c r="J104" s="49"/>
      <x:c r="K104" s="49"/>
      <x:c r="L104" s="49"/>
      <x:c r="M104" s="49"/>
      <x:c r="N104" s="49"/>
      <x:c r="O104" s="49"/>
      <x:c r="P104" s="49"/>
      <x:c r="Q104" s="49"/>
      <x:c r="R104" s="49"/>
      <x:c r="S104" s="49"/>
      <x:c r="T104" s="49"/>
      <x:c r="U104" s="49"/>
      <x:c r="V104" s="49"/>
      <x:c r="W104" s="49"/>
      <x:c r="X104" s="49"/>
      <x:c r="Y104" s="49"/>
      <x:c r="Z104" s="49"/>
      <x:c r="AA104" s="49"/>
      <x:c r="AB104" s="49"/>
      <x:c r="AC104" s="49"/>
      <x:c r="AD104" s="49"/>
      <x:c r="AE104" s="49"/>
      <x:c r="AF104" s="49"/>
      <x:c r="AG104" s="49"/>
      <x:c r="AH104" s="49"/>
      <x:c r="AI104" s="49"/>
      <x:c r="AJ104" s="49"/>
      <x:c r="AK104" s="49"/>
      <x:c r="AL104" s="49"/>
      <x:c r="AM104" s="49"/>
      <x:c r="AN104" s="49"/>
      <x:c r="AO104" s="49"/>
      <x:c r="AP104" s="49"/>
      <x:c r="AQ104" s="49"/>
      <x:c r="AR104" s="49"/>
      <x:c r="AS104" s="49"/>
      <x:c r="AT104" s="49"/>
      <x:c r="AU104" s="49"/>
      <x:c r="AV104" s="49"/>
      <x:c r="AW104" s="49"/>
      <x:c r="AX104" s="49"/>
      <x:c r="AY104" s="49"/>
      <x:c r="AZ104" s="49"/>
    </x:row>
    <x:row r="105">
      <x:c r="A105" s="49"/>
      <x:c r="B105" s="49"/>
      <x:c r="C105" s="49"/>
      <x:c r="D105" s="49"/>
      <x:c r="E105" s="49"/>
      <x:c r="F105" s="49"/>
      <x:c r="G105" s="49"/>
      <x:c r="H105" s="49"/>
      <x:c r="I105" s="49"/>
      <x:c r="J105" s="49"/>
      <x:c r="K105" s="49"/>
      <x:c r="L105" s="49"/>
      <x:c r="M105" s="49"/>
      <x:c r="N105" s="49"/>
      <x:c r="O105" s="49"/>
      <x:c r="P105" s="49"/>
      <x:c r="Q105" s="49"/>
      <x:c r="R105" s="49"/>
      <x:c r="S105" s="49"/>
      <x:c r="T105" s="49"/>
      <x:c r="U105" s="49"/>
      <x:c r="V105" s="49"/>
      <x:c r="W105" s="49"/>
      <x:c r="X105" s="49"/>
      <x:c r="Y105" s="49"/>
      <x:c r="Z105" s="49"/>
      <x:c r="AA105" s="49"/>
      <x:c r="AB105" s="49"/>
      <x:c r="AC105" s="49"/>
      <x:c r="AD105" s="49"/>
      <x:c r="AE105" s="49"/>
      <x:c r="AF105" s="49"/>
      <x:c r="AG105" s="49"/>
      <x:c r="AH105" s="49"/>
      <x:c r="AI105" s="49"/>
      <x:c r="AJ105" s="49"/>
      <x:c r="AK105" s="49"/>
      <x:c r="AL105" s="49"/>
      <x:c r="AM105" s="49"/>
      <x:c r="AN105" s="49"/>
      <x:c r="AO105" s="49"/>
      <x:c r="AP105" s="49"/>
      <x:c r="AQ105" s="49"/>
      <x:c r="AR105" s="49"/>
      <x:c r="AS105" s="49"/>
      <x:c r="AT105" s="49"/>
      <x:c r="AU105" s="49"/>
      <x:c r="AV105" s="49"/>
      <x:c r="AW105" s="49"/>
      <x:c r="AX105" s="49"/>
      <x:c r="AY105" s="49"/>
      <x:c r="AZ105" s="49"/>
    </x:row>
    <x:row r="106">
      <x:c r="A106" s="49"/>
      <x:c r="B106" s="49"/>
      <x:c r="C106" s="49"/>
      <x:c r="D106" s="49"/>
      <x:c r="E106" s="49"/>
      <x:c r="F106" s="49"/>
      <x:c r="G106" s="49"/>
      <x:c r="H106" s="49"/>
      <x:c r="I106" s="49"/>
      <x:c r="J106" s="49"/>
      <x:c r="K106" s="49"/>
      <x:c r="L106" s="49"/>
      <x:c r="M106" s="49"/>
      <x:c r="N106" s="49"/>
      <x:c r="O106" s="49"/>
      <x:c r="P106" s="49"/>
      <x:c r="Q106" s="49"/>
      <x:c r="R106" s="49"/>
      <x:c r="S106" s="49"/>
      <x:c r="T106" s="49"/>
      <x:c r="U106" s="49"/>
      <x:c r="V106" s="49"/>
      <x:c r="W106" s="49"/>
      <x:c r="X106" s="49"/>
      <x:c r="Y106" s="49"/>
      <x:c r="Z106" s="49"/>
      <x:c r="AA106" s="49"/>
      <x:c r="AB106" s="49"/>
      <x:c r="AC106" s="49"/>
      <x:c r="AD106" s="49"/>
      <x:c r="AE106" s="49"/>
      <x:c r="AF106" s="49"/>
      <x:c r="AG106" s="49"/>
      <x:c r="AH106" s="49"/>
      <x:c r="AI106" s="49"/>
      <x:c r="AJ106" s="49"/>
      <x:c r="AK106" s="49"/>
      <x:c r="AL106" s="49"/>
      <x:c r="AM106" s="49"/>
      <x:c r="AN106" s="49"/>
      <x:c r="AO106" s="49"/>
      <x:c r="AP106" s="49"/>
      <x:c r="AQ106" s="49"/>
      <x:c r="AR106" s="49"/>
      <x:c r="AS106" s="49"/>
      <x:c r="AT106" s="49"/>
      <x:c r="AU106" s="49"/>
      <x:c r="AV106" s="49"/>
      <x:c r="AW106" s="49"/>
      <x:c r="AX106" s="49"/>
      <x:c r="AY106" s="49"/>
      <x:c r="AZ106" s="49"/>
    </x:row>
    <x:row r="107">
      <x:c r="A107" s="49"/>
      <x:c r="B107" s="49"/>
      <x:c r="C107" s="49"/>
      <x:c r="D107" s="49"/>
      <x:c r="E107" s="49"/>
      <x:c r="F107" s="49"/>
      <x:c r="G107" s="49"/>
      <x:c r="H107" s="49"/>
      <x:c r="I107" s="49"/>
      <x:c r="J107" s="49"/>
      <x:c r="K107" s="49"/>
      <x:c r="L107" s="49"/>
      <x:c r="M107" s="49"/>
      <x:c r="N107" s="49"/>
      <x:c r="O107" s="49"/>
      <x:c r="P107" s="49"/>
      <x:c r="Q107" s="49"/>
      <x:c r="R107" s="49"/>
      <x:c r="S107" s="49"/>
      <x:c r="T107" s="49"/>
      <x:c r="U107" s="49"/>
      <x:c r="V107" s="49"/>
      <x:c r="W107" s="49"/>
      <x:c r="X107" s="49"/>
      <x:c r="Y107" s="49"/>
      <x:c r="Z107" s="49"/>
      <x:c r="AA107" s="49"/>
      <x:c r="AB107" s="49"/>
      <x:c r="AC107" s="49"/>
      <x:c r="AD107" s="49"/>
      <x:c r="AE107" s="49"/>
      <x:c r="AF107" s="49"/>
      <x:c r="AG107" s="49"/>
      <x:c r="AH107" s="49"/>
      <x:c r="AI107" s="49"/>
      <x:c r="AJ107" s="49"/>
      <x:c r="AK107" s="49"/>
      <x:c r="AL107" s="49"/>
      <x:c r="AM107" s="49"/>
      <x:c r="AN107" s="49"/>
      <x:c r="AO107" s="49"/>
      <x:c r="AP107" s="49"/>
      <x:c r="AQ107" s="49"/>
      <x:c r="AR107" s="49"/>
      <x:c r="AS107" s="49"/>
      <x:c r="AT107" s="49"/>
      <x:c r="AU107" s="49"/>
      <x:c r="AV107" s="49"/>
      <x:c r="AW107" s="49"/>
      <x:c r="AX107" s="49"/>
      <x:c r="AY107" s="49"/>
      <x:c r="AZ107" s="49"/>
    </x:row>
    <x:row r="108">
      <x:c r="A108" s="49"/>
      <x:c r="B108" s="49"/>
      <x:c r="C108" s="49"/>
      <x:c r="D108" s="49"/>
      <x:c r="E108" s="49"/>
      <x:c r="F108" s="49"/>
      <x:c r="G108" s="49"/>
      <x:c r="H108" s="49"/>
      <x:c r="I108" s="49"/>
      <x:c r="J108" s="49"/>
      <x:c r="K108" s="49"/>
      <x:c r="L108" s="49"/>
      <x:c r="M108" s="49"/>
      <x:c r="N108" s="49"/>
      <x:c r="O108" s="49"/>
      <x:c r="P108" s="49"/>
      <x:c r="Q108" s="49"/>
      <x:c r="R108" s="49"/>
      <x:c r="S108" s="49"/>
      <x:c r="T108" s="49"/>
      <x:c r="U108" s="49"/>
      <x:c r="V108" s="49"/>
      <x:c r="W108" s="49"/>
      <x:c r="X108" s="49"/>
      <x:c r="Y108" s="49"/>
      <x:c r="Z108" s="49"/>
      <x:c r="AA108" s="49"/>
      <x:c r="AB108" s="49"/>
      <x:c r="AC108" s="49"/>
      <x:c r="AD108" s="49"/>
      <x:c r="AE108" s="49"/>
      <x:c r="AF108" s="49"/>
      <x:c r="AG108" s="49"/>
      <x:c r="AH108" s="49"/>
      <x:c r="AI108" s="49"/>
      <x:c r="AJ108" s="49"/>
      <x:c r="AK108" s="49"/>
      <x:c r="AL108" s="49"/>
      <x:c r="AM108" s="49"/>
      <x:c r="AN108" s="49"/>
      <x:c r="AO108" s="49"/>
      <x:c r="AP108" s="49"/>
      <x:c r="AQ108" s="49"/>
      <x:c r="AR108" s="49"/>
      <x:c r="AS108" s="49"/>
      <x:c r="AT108" s="49"/>
      <x:c r="AU108" s="49"/>
      <x:c r="AV108" s="49"/>
      <x:c r="AW108" s="49"/>
      <x:c r="AX108" s="49"/>
      <x:c r="AY108" s="49"/>
      <x:c r="AZ108" s="49"/>
    </x:row>
    <x:row r="109">
      <x:c r="A109" s="49"/>
      <x:c r="B109" s="49"/>
      <x:c r="C109" s="49"/>
      <x:c r="D109" s="49"/>
      <x:c r="E109" s="49"/>
      <x:c r="F109" s="49"/>
      <x:c r="G109" s="49"/>
      <x:c r="H109" s="49"/>
      <x:c r="I109" s="49"/>
      <x:c r="J109" s="49"/>
      <x:c r="K109" s="49"/>
      <x:c r="L109" s="49"/>
      <x:c r="M109" s="49"/>
      <x:c r="N109" s="49"/>
      <x:c r="O109" s="49"/>
      <x:c r="P109" s="49"/>
      <x:c r="Q109" s="49"/>
      <x:c r="R109" s="49"/>
      <x:c r="S109" s="49"/>
      <x:c r="T109" s="49"/>
      <x:c r="U109" s="49"/>
      <x:c r="V109" s="49"/>
      <x:c r="W109" s="49"/>
      <x:c r="X109" s="49"/>
      <x:c r="Y109" s="49"/>
      <x:c r="Z109" s="49"/>
      <x:c r="AA109" s="49"/>
      <x:c r="AB109" s="49"/>
      <x:c r="AC109" s="49"/>
      <x:c r="AD109" s="49"/>
      <x:c r="AE109" s="49"/>
      <x:c r="AF109" s="49"/>
      <x:c r="AG109" s="49"/>
      <x:c r="AH109" s="49"/>
      <x:c r="AI109" s="49"/>
      <x:c r="AJ109" s="49"/>
      <x:c r="AK109" s="49"/>
      <x:c r="AL109" s="49"/>
      <x:c r="AM109" s="49"/>
      <x:c r="AN109" s="49"/>
      <x:c r="AO109" s="49"/>
      <x:c r="AP109" s="49"/>
      <x:c r="AQ109" s="49"/>
      <x:c r="AR109" s="49"/>
      <x:c r="AS109" s="49"/>
      <x:c r="AT109" s="49"/>
      <x:c r="AU109" s="49"/>
      <x:c r="AV109" s="49"/>
      <x:c r="AW109" s="49"/>
      <x:c r="AX109" s="49"/>
      <x:c r="AY109" s="49"/>
      <x:c r="AZ109" s="49"/>
    </x:row>
    <x:row r="110">
      <x:c r="A110" s="49"/>
      <x:c r="B110" s="49"/>
      <x:c r="C110" s="49"/>
      <x:c r="D110" s="49"/>
      <x:c r="E110" s="49"/>
      <x:c r="F110" s="49"/>
      <x:c r="G110" s="49"/>
      <x:c r="H110" s="49"/>
      <x:c r="I110" s="49"/>
      <x:c r="J110" s="49"/>
      <x:c r="K110" s="49"/>
      <x:c r="L110" s="49"/>
      <x:c r="M110" s="49"/>
      <x:c r="N110" s="49"/>
      <x:c r="O110" s="49"/>
      <x:c r="P110" s="49"/>
      <x:c r="Q110" s="49"/>
      <x:c r="R110" s="49"/>
      <x:c r="S110" s="49"/>
      <x:c r="T110" s="49"/>
      <x:c r="U110" s="49"/>
      <x:c r="V110" s="49"/>
      <x:c r="W110" s="49"/>
      <x:c r="X110" s="49"/>
      <x:c r="Y110" s="49"/>
      <x:c r="Z110" s="49"/>
      <x:c r="AA110" s="49"/>
      <x:c r="AB110" s="49"/>
      <x:c r="AC110" s="49"/>
      <x:c r="AD110" s="49"/>
      <x:c r="AE110" s="49"/>
      <x:c r="AF110" s="49"/>
      <x:c r="AG110" s="49"/>
      <x:c r="AH110" s="49"/>
      <x:c r="AI110" s="49"/>
      <x:c r="AJ110" s="49"/>
      <x:c r="AK110" s="49"/>
      <x:c r="AL110" s="49"/>
      <x:c r="AM110" s="49"/>
      <x:c r="AN110" s="49"/>
      <x:c r="AO110" s="49"/>
      <x:c r="AP110" s="49"/>
      <x:c r="AQ110" s="49"/>
      <x:c r="AR110" s="49"/>
      <x:c r="AS110" s="49"/>
      <x:c r="AT110" s="49"/>
      <x:c r="AU110" s="49"/>
      <x:c r="AV110" s="49"/>
      <x:c r="AW110" s="49"/>
      <x:c r="AX110" s="49"/>
      <x:c r="AY110" s="49"/>
      <x:c r="AZ110" s="49"/>
    </x:row>
    <x:row r="111">
      <x:c r="A111" s="49"/>
      <x:c r="B111" s="49"/>
      <x:c r="C111" s="49"/>
      <x:c r="D111" s="49"/>
      <x:c r="E111" s="49"/>
      <x:c r="F111" s="49"/>
      <x:c r="G111" s="49"/>
      <x:c r="H111" s="49"/>
      <x:c r="I111" s="49"/>
      <x:c r="J111" s="49"/>
      <x:c r="K111" s="49"/>
      <x:c r="L111" s="49"/>
      <x:c r="M111" s="49"/>
      <x:c r="N111" s="49"/>
      <x:c r="O111" s="49"/>
      <x:c r="P111" s="49"/>
      <x:c r="Q111" s="49"/>
      <x:c r="R111" s="49"/>
      <x:c r="S111" s="49"/>
      <x:c r="T111" s="49"/>
      <x:c r="U111" s="49"/>
      <x:c r="V111" s="49"/>
      <x:c r="W111" s="49"/>
      <x:c r="X111" s="49"/>
      <x:c r="Y111" s="49"/>
      <x:c r="Z111" s="49"/>
      <x:c r="AA111" s="49"/>
      <x:c r="AB111" s="49"/>
      <x:c r="AC111" s="49"/>
      <x:c r="AD111" s="49"/>
      <x:c r="AE111" s="49"/>
      <x:c r="AF111" s="49"/>
      <x:c r="AG111" s="49"/>
      <x:c r="AH111" s="49"/>
      <x:c r="AI111" s="49"/>
      <x:c r="AJ111" s="49"/>
      <x:c r="AK111" s="49"/>
      <x:c r="AL111" s="49"/>
      <x:c r="AM111" s="49"/>
      <x:c r="AN111" s="49"/>
      <x:c r="AO111" s="49"/>
      <x:c r="AP111" s="49"/>
      <x:c r="AQ111" s="49"/>
      <x:c r="AR111" s="49"/>
      <x:c r="AS111" s="49"/>
      <x:c r="AT111" s="49"/>
      <x:c r="AU111" s="49"/>
      <x:c r="AV111" s="49"/>
      <x:c r="AW111" s="49"/>
      <x:c r="AX111" s="49"/>
      <x:c r="AY111" s="49"/>
      <x:c r="AZ111" s="49"/>
    </x:row>
    <x:row r="112">
      <x:c r="A112" s="49"/>
      <x:c r="B112" s="49"/>
      <x:c r="C112" s="49"/>
      <x:c r="D112" s="49"/>
      <x:c r="E112" s="49"/>
      <x:c r="F112" s="49"/>
      <x:c r="G112" s="49"/>
      <x:c r="H112" s="49"/>
      <x:c r="I112" s="49"/>
      <x:c r="J112" s="49"/>
      <x:c r="K112" s="49"/>
      <x:c r="L112" s="49"/>
      <x:c r="M112" s="49"/>
      <x:c r="N112" s="49"/>
      <x:c r="O112" s="49"/>
      <x:c r="P112" s="49"/>
      <x:c r="Q112" s="49"/>
      <x:c r="R112" s="49"/>
      <x:c r="S112" s="49"/>
      <x:c r="T112" s="49"/>
      <x:c r="U112" s="49"/>
      <x:c r="V112" s="49"/>
      <x:c r="W112" s="49"/>
      <x:c r="X112" s="49"/>
      <x:c r="Y112" s="49"/>
      <x:c r="Z112" s="49"/>
      <x:c r="AA112" s="49"/>
      <x:c r="AB112" s="49"/>
      <x:c r="AC112" s="49"/>
      <x:c r="AD112" s="49"/>
      <x:c r="AE112" s="49"/>
      <x:c r="AF112" s="49"/>
      <x:c r="AG112" s="49"/>
      <x:c r="AH112" s="49"/>
      <x:c r="AI112" s="49"/>
      <x:c r="AJ112" s="49"/>
      <x:c r="AK112" s="49"/>
      <x:c r="AL112" s="49"/>
      <x:c r="AM112" s="49"/>
      <x:c r="AN112" s="49"/>
      <x:c r="AO112" s="49"/>
      <x:c r="AP112" s="49"/>
      <x:c r="AQ112" s="49"/>
      <x:c r="AR112" s="49"/>
      <x:c r="AS112" s="49"/>
      <x:c r="AT112" s="49"/>
      <x:c r="AU112" s="49"/>
      <x:c r="AV112" s="49"/>
      <x:c r="AW112" s="49"/>
      <x:c r="AX112" s="49"/>
      <x:c r="AY112" s="49"/>
      <x:c r="AZ112" s="49"/>
    </x:row>
    <x:row r="113">
      <x:c r="A113" s="49"/>
      <x:c r="B113" s="49"/>
      <x:c r="C113" s="49"/>
      <x:c r="D113" s="49"/>
      <x:c r="E113" s="49"/>
      <x:c r="F113" s="49"/>
      <x:c r="G113" s="49"/>
      <x:c r="H113" s="49"/>
      <x:c r="I113" s="49"/>
      <x:c r="J113" s="49"/>
      <x:c r="K113" s="49"/>
      <x:c r="L113" s="49"/>
      <x:c r="M113" s="49"/>
      <x:c r="N113" s="49"/>
      <x:c r="O113" s="49"/>
      <x:c r="P113" s="49"/>
      <x:c r="Q113" s="49"/>
      <x:c r="R113" s="49"/>
      <x:c r="S113" s="49"/>
      <x:c r="T113" s="49"/>
      <x:c r="U113" s="49"/>
      <x:c r="V113" s="49"/>
      <x:c r="W113" s="49"/>
      <x:c r="X113" s="49"/>
      <x:c r="Y113" s="49"/>
      <x:c r="Z113" s="49"/>
      <x:c r="AA113" s="49"/>
      <x:c r="AB113" s="49"/>
      <x:c r="AC113" s="49"/>
      <x:c r="AD113" s="49"/>
      <x:c r="AE113" s="49"/>
      <x:c r="AF113" s="49"/>
      <x:c r="AG113" s="49"/>
      <x:c r="AH113" s="49"/>
      <x:c r="AI113" s="49"/>
      <x:c r="AJ113" s="49"/>
      <x:c r="AK113" s="49"/>
      <x:c r="AL113" s="49"/>
      <x:c r="AM113" s="49"/>
      <x:c r="AN113" s="49"/>
      <x:c r="AO113" s="49"/>
      <x:c r="AP113" s="49"/>
      <x:c r="AQ113" s="49"/>
      <x:c r="AR113" s="49"/>
      <x:c r="AS113" s="49"/>
      <x:c r="AT113" s="49"/>
      <x:c r="AU113" s="49"/>
      <x:c r="AV113" s="49"/>
      <x:c r="AW113" s="49"/>
      <x:c r="AX113" s="49"/>
      <x:c r="AY113" s="49"/>
      <x:c r="AZ113" s="49"/>
    </x:row>
    <x:row r="114">
      <x:c r="A114" s="49"/>
      <x:c r="B114" s="49"/>
      <x:c r="C114" s="49"/>
      <x:c r="D114" s="49"/>
      <x:c r="E114" s="49"/>
      <x:c r="F114" s="49"/>
      <x:c r="G114" s="49"/>
      <x:c r="H114" s="49"/>
      <x:c r="I114" s="49"/>
      <x:c r="J114" s="49"/>
      <x:c r="K114" s="49"/>
      <x:c r="L114" s="49"/>
      <x:c r="M114" s="49"/>
      <x:c r="N114" s="49"/>
      <x:c r="O114" s="49"/>
      <x:c r="P114" s="49"/>
      <x:c r="Q114" s="49"/>
      <x:c r="R114" s="49"/>
      <x:c r="S114" s="49"/>
      <x:c r="T114" s="49"/>
      <x:c r="U114" s="49"/>
      <x:c r="V114" s="49"/>
      <x:c r="W114" s="49"/>
      <x:c r="X114" s="49"/>
      <x:c r="Y114" s="49"/>
      <x:c r="Z114" s="49"/>
      <x:c r="AA114" s="49"/>
      <x:c r="AB114" s="49"/>
      <x:c r="AC114" s="49"/>
      <x:c r="AD114" s="49"/>
      <x:c r="AE114" s="49"/>
      <x:c r="AF114" s="49"/>
      <x:c r="AG114" s="49"/>
      <x:c r="AH114" s="49"/>
      <x:c r="AI114" s="49"/>
      <x:c r="AJ114" s="49"/>
      <x:c r="AK114" s="49"/>
      <x:c r="AL114" s="49"/>
      <x:c r="AM114" s="49"/>
      <x:c r="AN114" s="49"/>
      <x:c r="AO114" s="49"/>
      <x:c r="AP114" s="49"/>
      <x:c r="AQ114" s="49"/>
      <x:c r="AR114" s="49"/>
      <x:c r="AS114" s="49"/>
      <x:c r="AT114" s="49"/>
      <x:c r="AU114" s="49"/>
      <x:c r="AV114" s="49"/>
      <x:c r="AW114" s="49"/>
      <x:c r="AX114" s="49"/>
      <x:c r="AY114" s="49"/>
      <x:c r="AZ114" s="49"/>
    </x:row>
    <x:row r="115">
      <x:c r="A115" s="49"/>
      <x:c r="B115" s="49"/>
      <x:c r="C115" s="49"/>
      <x:c r="D115" s="49"/>
      <x:c r="E115" s="49"/>
      <x:c r="F115" s="49"/>
      <x:c r="G115" s="49"/>
      <x:c r="H115" s="49"/>
      <x:c r="I115" s="49"/>
      <x:c r="J115" s="49"/>
      <x:c r="K115" s="49"/>
      <x:c r="L115" s="49"/>
      <x:c r="M115" s="49"/>
      <x:c r="N115" s="49"/>
      <x:c r="O115" s="49"/>
      <x:c r="P115" s="49"/>
      <x:c r="Q115" s="49"/>
      <x:c r="R115" s="49"/>
      <x:c r="S115" s="49"/>
      <x:c r="T115" s="49"/>
      <x:c r="U115" s="49"/>
      <x:c r="V115" s="49"/>
      <x:c r="W115" s="49"/>
      <x:c r="X115" s="49"/>
      <x:c r="Y115" s="49"/>
      <x:c r="Z115" s="49"/>
      <x:c r="AA115" s="49"/>
      <x:c r="AB115" s="49"/>
      <x:c r="AC115" s="49"/>
      <x:c r="AD115" s="49"/>
      <x:c r="AE115" s="49"/>
      <x:c r="AF115" s="49"/>
      <x:c r="AG115" s="49"/>
      <x:c r="AH115" s="49"/>
      <x:c r="AI115" s="49"/>
      <x:c r="AJ115" s="49"/>
      <x:c r="AK115" s="49"/>
      <x:c r="AL115" s="49"/>
      <x:c r="AM115" s="49"/>
      <x:c r="AN115" s="49"/>
      <x:c r="AO115" s="49"/>
      <x:c r="AP115" s="49"/>
      <x:c r="AQ115" s="49"/>
      <x:c r="AR115" s="49"/>
      <x:c r="AS115" s="49"/>
      <x:c r="AT115" s="49"/>
      <x:c r="AU115" s="49"/>
      <x:c r="AV115" s="49"/>
      <x:c r="AW115" s="49"/>
      <x:c r="AX115" s="49"/>
      <x:c r="AY115" s="49"/>
      <x:c r="AZ115" s="49"/>
    </x:row>
    <x:row r="116">
      <x:c r="A116" s="49"/>
      <x:c r="B116" s="49"/>
      <x:c r="C116" s="49"/>
      <x:c r="D116" s="49"/>
      <x:c r="E116" s="49"/>
      <x:c r="F116" s="49"/>
      <x:c r="G116" s="49"/>
      <x:c r="H116" s="49"/>
      <x:c r="I116" s="49"/>
      <x:c r="J116" s="49"/>
      <x:c r="K116" s="49"/>
      <x:c r="L116" s="49"/>
      <x:c r="M116" s="49"/>
      <x:c r="N116" s="49"/>
      <x:c r="O116" s="49"/>
      <x:c r="P116" s="49"/>
      <x:c r="Q116" s="49"/>
      <x:c r="R116" s="49"/>
      <x:c r="S116" s="49"/>
      <x:c r="T116" s="49"/>
      <x:c r="U116" s="49"/>
      <x:c r="V116" s="49"/>
      <x:c r="W116" s="49"/>
      <x:c r="X116" s="49"/>
      <x:c r="Y116" s="49"/>
      <x:c r="Z116" s="49"/>
      <x:c r="AA116" s="49"/>
      <x:c r="AB116" s="49"/>
      <x:c r="AC116" s="49"/>
      <x:c r="AD116" s="49"/>
      <x:c r="AE116" s="49"/>
      <x:c r="AF116" s="49"/>
      <x:c r="AG116" s="49"/>
      <x:c r="AH116" s="49"/>
      <x:c r="AI116" s="49"/>
      <x:c r="AJ116" s="49"/>
      <x:c r="AK116" s="49"/>
      <x:c r="AL116" s="49"/>
      <x:c r="AM116" s="49"/>
      <x:c r="AN116" s="49"/>
      <x:c r="AO116" s="49"/>
      <x:c r="AP116" s="49"/>
      <x:c r="AQ116" s="49"/>
      <x:c r="AR116" s="49"/>
      <x:c r="AS116" s="49"/>
      <x:c r="AT116" s="49"/>
      <x:c r="AU116" s="49"/>
      <x:c r="AV116" s="49"/>
      <x:c r="AW116" s="49"/>
      <x:c r="AX116" s="49"/>
      <x:c r="AY116" s="49"/>
      <x:c r="AZ116" s="49"/>
    </x:row>
    <x:row r="117">
      <x:c r="A117" s="49"/>
      <x:c r="B117" s="49"/>
      <x:c r="C117" s="49"/>
      <x:c r="D117" s="49"/>
      <x:c r="E117" s="49"/>
      <x:c r="F117" s="49"/>
      <x:c r="G117" s="49"/>
      <x:c r="H117" s="49"/>
      <x:c r="I117" s="49"/>
      <x:c r="J117" s="49"/>
      <x:c r="K117" s="49"/>
      <x:c r="L117" s="49"/>
      <x:c r="M117" s="49"/>
      <x:c r="N117" s="49"/>
      <x:c r="O117" s="49"/>
      <x:c r="P117" s="49"/>
      <x:c r="Q117" s="49"/>
      <x:c r="R117" s="49"/>
      <x:c r="S117" s="49"/>
      <x:c r="T117" s="49"/>
      <x:c r="U117" s="49"/>
      <x:c r="V117" s="49"/>
      <x:c r="W117" s="49"/>
      <x:c r="X117" s="49"/>
      <x:c r="Y117" s="49"/>
      <x:c r="Z117" s="49"/>
      <x:c r="AA117" s="49"/>
      <x:c r="AB117" s="49"/>
      <x:c r="AC117" s="49"/>
      <x:c r="AD117" s="49"/>
      <x:c r="AE117" s="49"/>
      <x:c r="AF117" s="49"/>
      <x:c r="AG117" s="49"/>
      <x:c r="AH117" s="49"/>
      <x:c r="AI117" s="49"/>
      <x:c r="AJ117" s="49"/>
      <x:c r="AK117" s="49"/>
      <x:c r="AL117" s="49"/>
      <x:c r="AM117" s="49"/>
      <x:c r="AN117" s="49"/>
      <x:c r="AO117" s="49"/>
      <x:c r="AP117" s="49"/>
      <x:c r="AQ117" s="49"/>
      <x:c r="AR117" s="49"/>
      <x:c r="AS117" s="49"/>
      <x:c r="AT117" s="49"/>
      <x:c r="AU117" s="49"/>
      <x:c r="AV117" s="49"/>
      <x:c r="AW117" s="49"/>
      <x:c r="AX117" s="49"/>
      <x:c r="AY117" s="49"/>
      <x:c r="AZ117" s="49"/>
    </x:row>
    <x:row r="118">
      <x:c r="A118" s="49"/>
      <x:c r="B118" s="49"/>
      <x:c r="C118" s="49"/>
      <x:c r="D118" s="49"/>
      <x:c r="E118" s="49"/>
      <x:c r="F118" s="49"/>
      <x:c r="G118" s="49"/>
      <x:c r="H118" s="49"/>
      <x:c r="I118" s="49"/>
      <x:c r="J118" s="49"/>
      <x:c r="K118" s="49"/>
      <x:c r="L118" s="49"/>
      <x:c r="M118" s="49"/>
      <x:c r="N118" s="49"/>
      <x:c r="O118" s="49"/>
      <x:c r="P118" s="49"/>
      <x:c r="Q118" s="49"/>
      <x:c r="R118" s="49"/>
      <x:c r="S118" s="49"/>
      <x:c r="T118" s="49"/>
      <x:c r="U118" s="49"/>
      <x:c r="V118" s="49"/>
      <x:c r="W118" s="49"/>
      <x:c r="X118" s="49"/>
      <x:c r="Y118" s="49"/>
      <x:c r="Z118" s="49"/>
      <x:c r="AA118" s="49"/>
      <x:c r="AB118" s="49"/>
      <x:c r="AC118" s="49"/>
      <x:c r="AD118" s="49"/>
      <x:c r="AE118" s="49"/>
      <x:c r="AF118" s="49"/>
      <x:c r="AG118" s="49"/>
      <x:c r="AH118" s="49"/>
      <x:c r="AI118" s="49"/>
      <x:c r="AJ118" s="49"/>
      <x:c r="AK118" s="49"/>
      <x:c r="AL118" s="49"/>
      <x:c r="AM118" s="49"/>
      <x:c r="AN118" s="49"/>
      <x:c r="AO118" s="49"/>
      <x:c r="AP118" s="49"/>
      <x:c r="AQ118" s="49"/>
      <x:c r="AR118" s="49"/>
      <x:c r="AS118" s="49"/>
      <x:c r="AT118" s="49"/>
      <x:c r="AU118" s="49"/>
      <x:c r="AV118" s="49"/>
      <x:c r="AW118" s="49"/>
      <x:c r="AX118" s="49"/>
      <x:c r="AY118" s="49"/>
      <x:c r="AZ118" s="49"/>
    </x:row>
    <x:row r="119">
      <x:c r="A119" s="49"/>
      <x:c r="B119" s="49"/>
      <x:c r="C119" s="49"/>
      <x:c r="D119" s="49"/>
      <x:c r="E119" s="49"/>
      <x:c r="F119" s="49"/>
      <x:c r="G119" s="49"/>
      <x:c r="H119" s="49"/>
      <x:c r="I119" s="49"/>
      <x:c r="J119" s="49"/>
      <x:c r="K119" s="49"/>
      <x:c r="L119" s="49"/>
      <x:c r="M119" s="49"/>
      <x:c r="N119" s="49"/>
      <x:c r="O119" s="49"/>
      <x:c r="P119" s="49"/>
      <x:c r="Q119" s="49"/>
      <x:c r="R119" s="49"/>
      <x:c r="S119" s="49"/>
      <x:c r="T119" s="49"/>
      <x:c r="U119" s="49"/>
      <x:c r="V119" s="49"/>
      <x:c r="W119" s="49"/>
      <x:c r="X119" s="49"/>
      <x:c r="Y119" s="49"/>
      <x:c r="Z119" s="49"/>
      <x:c r="AA119" s="49"/>
      <x:c r="AB119" s="49"/>
      <x:c r="AC119" s="49"/>
      <x:c r="AD119" s="49"/>
      <x:c r="AE119" s="49"/>
      <x:c r="AF119" s="49"/>
      <x:c r="AG119" s="49"/>
      <x:c r="AH119" s="49"/>
      <x:c r="AI119" s="49"/>
      <x:c r="AJ119" s="49"/>
      <x:c r="AK119" s="49"/>
      <x:c r="AL119" s="49"/>
      <x:c r="AM119" s="49"/>
      <x:c r="AN119" s="49"/>
      <x:c r="AO119" s="49"/>
      <x:c r="AP119" s="49"/>
      <x:c r="AQ119" s="49"/>
      <x:c r="AR119" s="49"/>
      <x:c r="AS119" s="49"/>
      <x:c r="AT119" s="49"/>
      <x:c r="AU119" s="49"/>
      <x:c r="AV119" s="49"/>
      <x:c r="AW119" s="49"/>
      <x:c r="AX119" s="49"/>
      <x:c r="AY119" s="49"/>
      <x:c r="AZ119" s="49"/>
    </x:row>
    <x:row r="120">
      <x:c r="A120" s="49"/>
      <x:c r="B120" s="49"/>
      <x:c r="C120" s="49"/>
      <x:c r="D120" s="49"/>
      <x:c r="E120" s="49"/>
      <x:c r="F120" s="49"/>
      <x:c r="G120" s="49"/>
      <x:c r="H120" s="49"/>
      <x:c r="I120" s="49"/>
      <x:c r="J120" s="49"/>
      <x:c r="K120" s="49"/>
      <x:c r="L120" s="49"/>
      <x:c r="M120" s="49"/>
      <x:c r="N120" s="49"/>
      <x:c r="O120" s="49"/>
      <x:c r="P120" s="49"/>
      <x:c r="Q120" s="49"/>
      <x:c r="R120" s="49"/>
      <x:c r="S120" s="49"/>
      <x:c r="T120" s="49"/>
      <x:c r="U120" s="49"/>
      <x:c r="V120" s="49"/>
      <x:c r="W120" s="49"/>
      <x:c r="X120" s="49"/>
      <x:c r="Y120" s="49"/>
      <x:c r="Z120" s="49"/>
      <x:c r="AA120" s="49"/>
      <x:c r="AB120" s="49"/>
      <x:c r="AC120" s="49"/>
      <x:c r="AD120" s="49"/>
      <x:c r="AE120" s="49"/>
      <x:c r="AF120" s="49"/>
      <x:c r="AG120" s="49"/>
      <x:c r="AH120" s="49"/>
      <x:c r="AI120" s="49"/>
      <x:c r="AJ120" s="49"/>
      <x:c r="AK120" s="49"/>
      <x:c r="AL120" s="49"/>
      <x:c r="AM120" s="49"/>
      <x:c r="AN120" s="49"/>
      <x:c r="AO120" s="49"/>
      <x:c r="AP120" s="49"/>
      <x:c r="AQ120" s="49"/>
      <x:c r="AR120" s="49"/>
      <x:c r="AS120" s="49"/>
      <x:c r="AT120" s="49"/>
      <x:c r="AU120" s="49"/>
      <x:c r="AV120" s="49"/>
      <x:c r="AW120" s="49"/>
      <x:c r="AX120" s="49"/>
      <x:c r="AY120" s="49"/>
      <x:c r="AZ120" s="49"/>
    </x:row>
    <x:row r="121">
      <x:c r="A121" s="49"/>
      <x:c r="B121" s="49"/>
      <x:c r="C121" s="49"/>
      <x:c r="D121" s="49"/>
      <x:c r="E121" s="49"/>
      <x:c r="F121" s="49"/>
      <x:c r="G121" s="49"/>
      <x:c r="H121" s="49"/>
      <x:c r="I121" s="49"/>
      <x:c r="J121" s="49"/>
      <x:c r="K121" s="49"/>
      <x:c r="L121" s="49"/>
      <x:c r="M121" s="49"/>
      <x:c r="N121" s="49"/>
      <x:c r="O121" s="49"/>
      <x:c r="P121" s="49"/>
      <x:c r="Q121" s="49"/>
      <x:c r="R121" s="49"/>
      <x:c r="S121" s="49"/>
      <x:c r="T121" s="49"/>
      <x:c r="U121" s="49"/>
      <x:c r="V121" s="49"/>
      <x:c r="W121" s="49"/>
      <x:c r="X121" s="49"/>
      <x:c r="Y121" s="49"/>
      <x:c r="Z121" s="49"/>
      <x:c r="AA121" s="49"/>
      <x:c r="AB121" s="49"/>
      <x:c r="AC121" s="49"/>
      <x:c r="AD121" s="49"/>
      <x:c r="AE121" s="49"/>
      <x:c r="AF121" s="49"/>
      <x:c r="AG121" s="49"/>
      <x:c r="AH121" s="49"/>
      <x:c r="AI121" s="49"/>
      <x:c r="AJ121" s="49"/>
      <x:c r="AK121" s="49"/>
      <x:c r="AL121" s="49"/>
      <x:c r="AM121" s="49"/>
      <x:c r="AN121" s="49"/>
      <x:c r="AO121" s="49"/>
      <x:c r="AP121" s="49"/>
      <x:c r="AQ121" s="49"/>
      <x:c r="AR121" s="49"/>
      <x:c r="AS121" s="49"/>
      <x:c r="AT121" s="49"/>
      <x:c r="AU121" s="49"/>
      <x:c r="AV121" s="49"/>
      <x:c r="AW121" s="49"/>
      <x:c r="AX121" s="49"/>
      <x:c r="AY121" s="49"/>
      <x:c r="AZ121" s="49"/>
    </x:row>
    <x:row r="122">
      <x:c r="A122" s="49"/>
      <x:c r="B122" s="49"/>
      <x:c r="C122" s="49"/>
      <x:c r="D122" s="49"/>
      <x:c r="E122" s="49"/>
      <x:c r="F122" s="49"/>
      <x:c r="G122" s="49"/>
      <x:c r="H122" s="49"/>
      <x:c r="I122" s="49"/>
      <x:c r="J122" s="49"/>
      <x:c r="K122" s="49"/>
      <x:c r="L122" s="49"/>
      <x:c r="M122" s="49"/>
      <x:c r="N122" s="49"/>
      <x:c r="O122" s="49"/>
      <x:c r="P122" s="49"/>
      <x:c r="Q122" s="49"/>
      <x:c r="R122" s="49"/>
      <x:c r="S122" s="49"/>
      <x:c r="T122" s="49"/>
      <x:c r="U122" s="49"/>
      <x:c r="V122" s="49"/>
      <x:c r="W122" s="49"/>
      <x:c r="X122" s="49"/>
      <x:c r="Y122" s="49"/>
      <x:c r="Z122" s="49"/>
      <x:c r="AA122" s="49"/>
      <x:c r="AB122" s="49"/>
      <x:c r="AC122" s="49"/>
      <x:c r="AD122" s="49"/>
      <x:c r="AE122" s="49"/>
      <x:c r="AF122" s="49"/>
      <x:c r="AG122" s="49"/>
      <x:c r="AH122" s="49"/>
      <x:c r="AI122" s="49"/>
      <x:c r="AJ122" s="49"/>
      <x:c r="AK122" s="49"/>
      <x:c r="AL122" s="49"/>
      <x:c r="AM122" s="49"/>
      <x:c r="AN122" s="49"/>
      <x:c r="AO122" s="49"/>
      <x:c r="AP122" s="49"/>
      <x:c r="AQ122" s="49"/>
      <x:c r="AR122" s="49"/>
      <x:c r="AS122" s="49"/>
      <x:c r="AT122" s="49"/>
      <x:c r="AU122" s="49"/>
      <x:c r="AV122" s="49"/>
      <x:c r="AW122" s="49"/>
      <x:c r="AX122" s="49"/>
      <x:c r="AY122" s="49"/>
      <x:c r="AZ122" s="49"/>
    </x:row>
    <x:row r="123">
      <x:c r="A123" s="49"/>
      <x:c r="B123" s="49"/>
      <x:c r="C123" s="49"/>
      <x:c r="D123" s="49"/>
      <x:c r="E123" s="49"/>
      <x:c r="F123" s="49"/>
      <x:c r="G123" s="49"/>
      <x:c r="H123" s="49"/>
      <x:c r="I123" s="49"/>
      <x:c r="J123" s="49"/>
      <x:c r="K123" s="49"/>
      <x:c r="L123" s="49"/>
      <x:c r="M123" s="49"/>
      <x:c r="N123" s="49"/>
      <x:c r="O123" s="49"/>
      <x:c r="P123" s="49"/>
      <x:c r="Q123" s="49"/>
      <x:c r="R123" s="49"/>
      <x:c r="S123" s="49"/>
      <x:c r="T123" s="49"/>
      <x:c r="U123" s="49"/>
      <x:c r="V123" s="49"/>
      <x:c r="W123" s="49"/>
      <x:c r="X123" s="49"/>
      <x:c r="Y123" s="49"/>
      <x:c r="Z123" s="49"/>
      <x:c r="AA123" s="49"/>
      <x:c r="AB123" s="49"/>
      <x:c r="AC123" s="49"/>
      <x:c r="AD123" s="49"/>
      <x:c r="AE123" s="49"/>
      <x:c r="AF123" s="49"/>
      <x:c r="AG123" s="49"/>
      <x:c r="AH123" s="49"/>
      <x:c r="AI123" s="49"/>
      <x:c r="AJ123" s="49"/>
      <x:c r="AK123" s="49"/>
      <x:c r="AL123" s="49"/>
      <x:c r="AM123" s="49"/>
      <x:c r="AN123" s="49"/>
      <x:c r="AO123" s="49"/>
      <x:c r="AP123" s="49"/>
      <x:c r="AQ123" s="49"/>
      <x:c r="AR123" s="49"/>
      <x:c r="AS123" s="49"/>
      <x:c r="AT123" s="49"/>
      <x:c r="AU123" s="49"/>
      <x:c r="AV123" s="49"/>
      <x:c r="AW123" s="49"/>
      <x:c r="AX123" s="49"/>
      <x:c r="AY123" s="49"/>
      <x:c r="AZ123" s="49"/>
    </x:row>
    <x:row r="124">
      <x:c r="A124" s="49"/>
      <x:c r="B124" s="49"/>
      <x:c r="C124" s="49"/>
      <x:c r="D124" s="49"/>
      <x:c r="E124" s="49"/>
      <x:c r="F124" s="49"/>
      <x:c r="G124" s="49"/>
      <x:c r="H124" s="49"/>
      <x:c r="I124" s="49"/>
      <x:c r="J124" s="49"/>
      <x:c r="K124" s="49"/>
      <x:c r="L124" s="49"/>
      <x:c r="M124" s="49"/>
      <x:c r="N124" s="49"/>
      <x:c r="O124" s="49"/>
      <x:c r="P124" s="49"/>
      <x:c r="Q124" s="49"/>
      <x:c r="R124" s="49"/>
      <x:c r="S124" s="49"/>
      <x:c r="T124" s="49"/>
      <x:c r="U124" s="49"/>
      <x:c r="V124" s="49"/>
      <x:c r="W124" s="49"/>
      <x:c r="X124" s="49"/>
      <x:c r="Y124" s="49"/>
      <x:c r="Z124" s="49"/>
      <x:c r="AA124" s="49"/>
      <x:c r="AB124" s="49"/>
      <x:c r="AC124" s="49"/>
      <x:c r="AD124" s="49"/>
      <x:c r="AE124" s="49"/>
      <x:c r="AF124" s="49"/>
      <x:c r="AG124" s="49"/>
      <x:c r="AH124" s="49"/>
      <x:c r="AI124" s="49"/>
      <x:c r="AJ124" s="49"/>
      <x:c r="AK124" s="49"/>
      <x:c r="AL124" s="49"/>
      <x:c r="AM124" s="49"/>
      <x:c r="AN124" s="49"/>
      <x:c r="AO124" s="49"/>
      <x:c r="AP124" s="49"/>
      <x:c r="AQ124" s="49"/>
      <x:c r="AR124" s="49"/>
      <x:c r="AS124" s="49"/>
      <x:c r="AT124" s="49"/>
      <x:c r="AU124" s="49"/>
      <x:c r="AV124" s="49"/>
      <x:c r="AW124" s="49"/>
      <x:c r="AX124" s="49"/>
      <x:c r="AY124" s="49"/>
      <x:c r="AZ124" s="49"/>
    </x:row>
    <x:row r="125">
      <x:c r="A125" s="49"/>
      <x:c r="B125" s="49"/>
      <x:c r="C125" s="49"/>
      <x:c r="D125" s="49"/>
      <x:c r="E125" s="49"/>
      <x:c r="F125" s="49"/>
      <x:c r="G125" s="49"/>
      <x:c r="H125" s="49"/>
      <x:c r="I125" s="49"/>
      <x:c r="J125" s="49"/>
      <x:c r="K125" s="49"/>
      <x:c r="L125" s="49"/>
      <x:c r="M125" s="49"/>
      <x:c r="N125" s="49"/>
      <x:c r="O125" s="49"/>
      <x:c r="P125" s="49"/>
      <x:c r="Q125" s="49"/>
      <x:c r="R125" s="49"/>
      <x:c r="S125" s="49"/>
      <x:c r="T125" s="49"/>
      <x:c r="U125" s="49"/>
      <x:c r="V125" s="49"/>
      <x:c r="W125" s="49"/>
      <x:c r="X125" s="49"/>
      <x:c r="Y125" s="49"/>
      <x:c r="Z125" s="49"/>
      <x:c r="AA125" s="49"/>
      <x:c r="AB125" s="49"/>
      <x:c r="AC125" s="49"/>
      <x:c r="AD125" s="49"/>
      <x:c r="AE125" s="49"/>
      <x:c r="AF125" s="49"/>
      <x:c r="AG125" s="49"/>
      <x:c r="AH125" s="49"/>
      <x:c r="AI125" s="49"/>
      <x:c r="AJ125" s="49"/>
      <x:c r="AK125" s="49"/>
      <x:c r="AL125" s="49"/>
      <x:c r="AM125" s="49"/>
      <x:c r="AN125" s="49"/>
      <x:c r="AO125" s="49"/>
      <x:c r="AP125" s="49"/>
      <x:c r="AQ125" s="49"/>
      <x:c r="AR125" s="49"/>
      <x:c r="AS125" s="49"/>
      <x:c r="AT125" s="49"/>
      <x:c r="AU125" s="49"/>
      <x:c r="AV125" s="49"/>
      <x:c r="AW125" s="49"/>
      <x:c r="AX125" s="49"/>
      <x:c r="AY125" s="49"/>
      <x:c r="AZ125" s="49"/>
    </x:row>
    <x:row r="126">
      <x:c r="A126" s="49"/>
      <x:c r="B126" s="49"/>
      <x:c r="C126" s="49"/>
      <x:c r="D126" s="49"/>
      <x:c r="E126" s="49"/>
      <x:c r="F126" s="49"/>
      <x:c r="G126" s="49"/>
      <x:c r="H126" s="49"/>
      <x:c r="I126" s="49"/>
      <x:c r="J126" s="49"/>
      <x:c r="K126" s="49"/>
      <x:c r="L126" s="49"/>
      <x:c r="M126" s="49"/>
      <x:c r="N126" s="49"/>
      <x:c r="O126" s="49"/>
      <x:c r="P126" s="49"/>
      <x:c r="Q126" s="49"/>
      <x:c r="R126" s="49"/>
      <x:c r="S126" s="49"/>
      <x:c r="T126" s="49"/>
      <x:c r="U126" s="49"/>
      <x:c r="V126" s="49"/>
      <x:c r="W126" s="49"/>
      <x:c r="X126" s="49"/>
      <x:c r="Y126" s="49"/>
      <x:c r="Z126" s="49"/>
      <x:c r="AA126" s="49"/>
      <x:c r="AB126" s="49"/>
      <x:c r="AC126" s="49"/>
      <x:c r="AD126" s="49"/>
      <x:c r="AE126" s="49"/>
      <x:c r="AF126" s="49"/>
      <x:c r="AG126" s="49"/>
      <x:c r="AH126" s="49"/>
      <x:c r="AI126" s="49"/>
      <x:c r="AJ126" s="49"/>
      <x:c r="AK126" s="49"/>
      <x:c r="AL126" s="49"/>
      <x:c r="AM126" s="49"/>
      <x:c r="AN126" s="49"/>
      <x:c r="AO126" s="49"/>
      <x:c r="AP126" s="49"/>
      <x:c r="AQ126" s="49"/>
      <x:c r="AR126" s="49"/>
      <x:c r="AS126" s="49"/>
      <x:c r="AT126" s="49"/>
      <x:c r="AU126" s="49"/>
      <x:c r="AV126" s="49"/>
      <x:c r="AW126" s="49"/>
      <x:c r="AX126" s="49"/>
      <x:c r="AY126" s="49"/>
      <x:c r="AZ126" s="49"/>
    </x:row>
    <x:row r="127">
      <x:c r="A127" s="49"/>
      <x:c r="B127" s="49"/>
      <x:c r="C127" s="49"/>
      <x:c r="D127" s="49"/>
      <x:c r="E127" s="49"/>
      <x:c r="F127" s="49"/>
      <x:c r="G127" s="49"/>
      <x:c r="H127" s="49"/>
      <x:c r="I127" s="49"/>
      <x:c r="J127" s="49"/>
      <x:c r="K127" s="49"/>
      <x:c r="L127" s="49"/>
      <x:c r="M127" s="49"/>
      <x:c r="N127" s="49"/>
      <x:c r="O127" s="49"/>
      <x:c r="P127" s="49"/>
      <x:c r="Q127" s="49"/>
      <x:c r="R127" s="49"/>
      <x:c r="S127" s="49"/>
      <x:c r="T127" s="49"/>
      <x:c r="U127" s="49"/>
      <x:c r="V127" s="49"/>
      <x:c r="W127" s="49"/>
      <x:c r="X127" s="49"/>
      <x:c r="Y127" s="49"/>
      <x:c r="Z127" s="49"/>
      <x:c r="AA127" s="49"/>
      <x:c r="AB127" s="49"/>
      <x:c r="AC127" s="49"/>
      <x:c r="AD127" s="49"/>
      <x:c r="AE127" s="49"/>
      <x:c r="AF127" s="49"/>
      <x:c r="AG127" s="49"/>
      <x:c r="AH127" s="49"/>
      <x:c r="AI127" s="49"/>
      <x:c r="AJ127" s="49"/>
      <x:c r="AK127" s="49"/>
      <x:c r="AL127" s="49"/>
      <x:c r="AM127" s="49"/>
      <x:c r="AN127" s="49"/>
      <x:c r="AO127" s="49"/>
      <x:c r="AP127" s="49"/>
      <x:c r="AQ127" s="49"/>
      <x:c r="AR127" s="49"/>
      <x:c r="AS127" s="49"/>
      <x:c r="AT127" s="49"/>
      <x:c r="AU127" s="49"/>
      <x:c r="AV127" s="49"/>
      <x:c r="AW127" s="49"/>
      <x:c r="AX127" s="49"/>
      <x:c r="AY127" s="49"/>
      <x:c r="AZ127" s="49"/>
    </x:row>
    <x:row r="128">
      <x:c r="A128" s="49"/>
      <x:c r="B128" s="49"/>
      <x:c r="C128" s="49"/>
      <x:c r="D128" s="49"/>
      <x:c r="E128" s="49"/>
      <x:c r="F128" s="49"/>
      <x:c r="G128" s="49"/>
      <x:c r="H128" s="49"/>
      <x:c r="I128" s="49"/>
      <x:c r="J128" s="49"/>
      <x:c r="K128" s="49"/>
      <x:c r="L128" s="49"/>
      <x:c r="M128" s="49"/>
      <x:c r="N128" s="49"/>
      <x:c r="O128" s="49"/>
      <x:c r="P128" s="49"/>
      <x:c r="Q128" s="49"/>
      <x:c r="R128" s="49"/>
      <x:c r="S128" s="49"/>
      <x:c r="T128" s="49"/>
      <x:c r="U128" s="49"/>
      <x:c r="V128" s="49"/>
      <x:c r="W128" s="49"/>
      <x:c r="X128" s="49"/>
      <x:c r="Y128" s="49"/>
      <x:c r="Z128" s="49"/>
      <x:c r="AA128" s="49"/>
      <x:c r="AB128" s="49"/>
      <x:c r="AC128" s="49"/>
      <x:c r="AD128" s="49"/>
      <x:c r="AE128" s="49"/>
      <x:c r="AF128" s="49"/>
      <x:c r="AG128" s="49"/>
      <x:c r="AH128" s="49"/>
      <x:c r="AI128" s="49"/>
      <x:c r="AJ128" s="49"/>
      <x:c r="AK128" s="49"/>
      <x:c r="AL128" s="49"/>
      <x:c r="AM128" s="49"/>
      <x:c r="AN128" s="49"/>
      <x:c r="AO128" s="49"/>
      <x:c r="AP128" s="49"/>
      <x:c r="AQ128" s="49"/>
      <x:c r="AR128" s="49"/>
      <x:c r="AS128" s="49"/>
      <x:c r="AT128" s="49"/>
      <x:c r="AU128" s="49"/>
      <x:c r="AV128" s="49"/>
      <x:c r="AW128" s="49"/>
      <x:c r="AX128" s="49"/>
      <x:c r="AY128" s="49"/>
      <x:c r="AZ128" s="49"/>
    </x:row>
    <x:row r="129">
      <x:c r="A129" s="49"/>
      <x:c r="B129" s="49"/>
      <x:c r="C129" s="49"/>
      <x:c r="D129" s="49"/>
      <x:c r="E129" s="49"/>
      <x:c r="F129" s="49"/>
      <x:c r="G129" s="49"/>
      <x:c r="H129" s="49"/>
      <x:c r="I129" s="49"/>
      <x:c r="J129" s="49"/>
      <x:c r="K129" s="49"/>
      <x:c r="L129" s="49"/>
      <x:c r="M129" s="49"/>
      <x:c r="N129" s="49"/>
      <x:c r="O129" s="49"/>
      <x:c r="P129" s="49"/>
      <x:c r="Q129" s="49"/>
      <x:c r="R129" s="49"/>
      <x:c r="S129" s="49"/>
      <x:c r="T129" s="49"/>
      <x:c r="U129" s="49"/>
      <x:c r="V129" s="49"/>
      <x:c r="W129" s="49"/>
      <x:c r="X129" s="49"/>
      <x:c r="Y129" s="49"/>
      <x:c r="Z129" s="49"/>
      <x:c r="AA129" s="49"/>
      <x:c r="AB129" s="49"/>
      <x:c r="AC129" s="49"/>
      <x:c r="AD129" s="49"/>
      <x:c r="AE129" s="49"/>
      <x:c r="AF129" s="49"/>
      <x:c r="AG129" s="49"/>
      <x:c r="AH129" s="49"/>
      <x:c r="AI129" s="49"/>
      <x:c r="AJ129" s="49"/>
      <x:c r="AK129" s="49"/>
      <x:c r="AL129" s="49"/>
      <x:c r="AM129" s="49"/>
      <x:c r="AN129" s="49"/>
      <x:c r="AO129" s="49"/>
      <x:c r="AP129" s="49"/>
      <x:c r="AQ129" s="49"/>
      <x:c r="AR129" s="49"/>
      <x:c r="AS129" s="49"/>
      <x:c r="AT129" s="49"/>
      <x:c r="AU129" s="49"/>
      <x:c r="AV129" s="49"/>
      <x:c r="AW129" s="49"/>
      <x:c r="AX129" s="49"/>
      <x:c r="AY129" s="49"/>
      <x:c r="AZ129" s="49"/>
    </x:row>
    <x:row r="130">
      <x:c r="A130" s="49"/>
      <x:c r="B130" s="49"/>
      <x:c r="C130" s="49"/>
      <x:c r="D130" s="49"/>
      <x:c r="E130" s="49"/>
      <x:c r="F130" s="49"/>
      <x:c r="G130" s="49"/>
      <x:c r="H130" s="49"/>
      <x:c r="I130" s="49"/>
      <x:c r="J130" s="49"/>
      <x:c r="K130" s="49"/>
      <x:c r="L130" s="49"/>
      <x:c r="M130" s="49"/>
      <x:c r="N130" s="49"/>
      <x:c r="O130" s="49"/>
      <x:c r="P130" s="49"/>
      <x:c r="Q130" s="49"/>
      <x:c r="R130" s="49"/>
      <x:c r="S130" s="49"/>
      <x:c r="T130" s="49"/>
      <x:c r="U130" s="49"/>
      <x:c r="V130" s="49"/>
      <x:c r="W130" s="49"/>
      <x:c r="X130" s="49"/>
      <x:c r="Y130" s="49"/>
      <x:c r="Z130" s="49"/>
      <x:c r="AA130" s="49"/>
      <x:c r="AB130" s="49"/>
      <x:c r="AC130" s="49"/>
      <x:c r="AD130" s="49"/>
      <x:c r="AE130" s="49"/>
      <x:c r="AF130" s="49"/>
      <x:c r="AG130" s="49"/>
      <x:c r="AH130" s="49"/>
      <x:c r="AI130" s="49"/>
      <x:c r="AJ130" s="49"/>
      <x:c r="AK130" s="49"/>
      <x:c r="AL130" s="49"/>
      <x:c r="AM130" s="49"/>
      <x:c r="AN130" s="49"/>
      <x:c r="AO130" s="49"/>
      <x:c r="AP130" s="49"/>
      <x:c r="AQ130" s="49"/>
      <x:c r="AR130" s="49"/>
      <x:c r="AS130" s="49"/>
      <x:c r="AT130" s="49"/>
      <x:c r="AU130" s="49"/>
      <x:c r="AV130" s="49"/>
      <x:c r="AW130" s="49"/>
      <x:c r="AX130" s="49"/>
      <x:c r="AY130" s="49"/>
      <x:c r="AZ130" s="49"/>
    </x:row>
    <x:row r="131">
      <x:c r="A131" s="49"/>
      <x:c r="B131" s="49"/>
      <x:c r="C131" s="49"/>
      <x:c r="D131" s="49"/>
      <x:c r="E131" s="49"/>
      <x:c r="F131" s="49"/>
      <x:c r="G131" s="49"/>
      <x:c r="H131" s="49"/>
      <x:c r="I131" s="49"/>
      <x:c r="J131" s="49"/>
      <x:c r="K131" s="49"/>
      <x:c r="L131" s="49"/>
      <x:c r="M131" s="49"/>
      <x:c r="N131" s="49"/>
      <x:c r="O131" s="49"/>
      <x:c r="P131" s="49"/>
      <x:c r="Q131" s="49"/>
      <x:c r="R131" s="49"/>
      <x:c r="S131" s="49"/>
      <x:c r="T131" s="49"/>
      <x:c r="U131" s="49"/>
      <x:c r="V131" s="49"/>
      <x:c r="W131" s="49"/>
      <x:c r="X131" s="49"/>
      <x:c r="Y131" s="49"/>
      <x:c r="Z131" s="49"/>
      <x:c r="AA131" s="49"/>
      <x:c r="AB131" s="49"/>
      <x:c r="AC131" s="49"/>
      <x:c r="AD131" s="49"/>
      <x:c r="AE131" s="49"/>
      <x:c r="AF131" s="49"/>
      <x:c r="AG131" s="49"/>
      <x:c r="AH131" s="49"/>
      <x:c r="AI131" s="49"/>
      <x:c r="AJ131" s="49"/>
      <x:c r="AK131" s="49"/>
      <x:c r="AL131" s="49"/>
      <x:c r="AM131" s="49"/>
      <x:c r="AN131" s="49"/>
      <x:c r="AO131" s="49"/>
      <x:c r="AP131" s="49"/>
      <x:c r="AQ131" s="49"/>
      <x:c r="AR131" s="49"/>
      <x:c r="AS131" s="49"/>
      <x:c r="AT131" s="49"/>
      <x:c r="AU131" s="49"/>
      <x:c r="AV131" s="49"/>
      <x:c r="AW131" s="49"/>
      <x:c r="AX131" s="49"/>
      <x:c r="AY131" s="49"/>
      <x:c r="AZ131" s="49"/>
    </x:row>
    <x:row r="132">
      <x:c r="A132" s="49"/>
      <x:c r="B132" s="49"/>
      <x:c r="C132" s="49"/>
      <x:c r="D132" s="49"/>
      <x:c r="E132" s="49"/>
      <x:c r="F132" s="49"/>
      <x:c r="G132" s="49"/>
      <x:c r="H132" s="49"/>
      <x:c r="I132" s="49"/>
      <x:c r="J132" s="49"/>
      <x:c r="K132" s="49"/>
      <x:c r="L132" s="49"/>
      <x:c r="M132" s="49"/>
      <x:c r="N132" s="49"/>
      <x:c r="O132" s="49"/>
      <x:c r="P132" s="49"/>
      <x:c r="Q132" s="49"/>
      <x:c r="R132" s="49"/>
      <x:c r="S132" s="49"/>
      <x:c r="T132" s="49"/>
      <x:c r="U132" s="49"/>
      <x:c r="V132" s="49"/>
      <x:c r="W132" s="49"/>
      <x:c r="X132" s="49"/>
      <x:c r="Y132" s="49"/>
      <x:c r="Z132" s="49"/>
      <x:c r="AA132" s="49"/>
      <x:c r="AB132" s="49"/>
      <x:c r="AC132" s="49"/>
      <x:c r="AD132" s="49"/>
      <x:c r="AE132" s="49"/>
      <x:c r="AF132" s="49"/>
      <x:c r="AG132" s="49"/>
      <x:c r="AH132" s="49"/>
      <x:c r="AI132" s="49"/>
      <x:c r="AJ132" s="49"/>
      <x:c r="AK132" s="49"/>
      <x:c r="AL132" s="49"/>
      <x:c r="AM132" s="49"/>
      <x:c r="AN132" s="49"/>
      <x:c r="AO132" s="49"/>
      <x:c r="AP132" s="49"/>
      <x:c r="AQ132" s="49"/>
      <x:c r="AR132" s="49"/>
      <x:c r="AS132" s="49"/>
      <x:c r="AT132" s="49"/>
      <x:c r="AU132" s="49"/>
      <x:c r="AV132" s="49"/>
      <x:c r="AW132" s="49"/>
      <x:c r="AX132" s="49"/>
      <x:c r="AY132" s="49"/>
      <x:c r="AZ132" s="49"/>
    </x:row>
    <x:row r="133">
      <x:c r="A133" s="49"/>
      <x:c r="B133" s="49"/>
      <x:c r="C133" s="49"/>
      <x:c r="D133" s="49"/>
      <x:c r="E133" s="49"/>
      <x:c r="F133" s="49"/>
      <x:c r="G133" s="49"/>
      <x:c r="H133" s="49"/>
      <x:c r="I133" s="49"/>
      <x:c r="J133" s="49"/>
      <x:c r="K133" s="49"/>
      <x:c r="L133" s="49"/>
      <x:c r="M133" s="49"/>
      <x:c r="N133" s="49"/>
      <x:c r="O133" s="49"/>
      <x:c r="P133" s="49"/>
      <x:c r="Q133" s="49"/>
      <x:c r="R133" s="49"/>
      <x:c r="S133" s="49"/>
      <x:c r="T133" s="49"/>
      <x:c r="U133" s="49"/>
      <x:c r="V133" s="49"/>
      <x:c r="W133" s="49"/>
      <x:c r="X133" s="49"/>
      <x:c r="Y133" s="49"/>
      <x:c r="Z133" s="49"/>
      <x:c r="AA133" s="49"/>
      <x:c r="AB133" s="49"/>
      <x:c r="AC133" s="49"/>
      <x:c r="AD133" s="49"/>
      <x:c r="AE133" s="49"/>
      <x:c r="AF133" s="49"/>
      <x:c r="AG133" s="49"/>
      <x:c r="AH133" s="49"/>
      <x:c r="AI133" s="49"/>
      <x:c r="AJ133" s="49"/>
      <x:c r="AK133" s="49"/>
      <x:c r="AL133" s="49"/>
      <x:c r="AM133" s="49"/>
      <x:c r="AN133" s="49"/>
      <x:c r="AO133" s="49"/>
      <x:c r="AP133" s="49"/>
      <x:c r="AQ133" s="49"/>
      <x:c r="AR133" s="49"/>
      <x:c r="AS133" s="49"/>
      <x:c r="AT133" s="49"/>
      <x:c r="AU133" s="49"/>
      <x:c r="AV133" s="49"/>
      <x:c r="AW133" s="49"/>
      <x:c r="AX133" s="49"/>
      <x:c r="AY133" s="49"/>
      <x:c r="AZ133" s="49"/>
    </x:row>
    <x:row r="134">
      <x:c r="A134" s="49"/>
      <x:c r="B134" s="49"/>
      <x:c r="C134" s="49"/>
      <x:c r="D134" s="49"/>
      <x:c r="E134" s="49"/>
      <x:c r="F134" s="49"/>
      <x:c r="G134" s="49"/>
      <x:c r="H134" s="49"/>
      <x:c r="I134" s="49"/>
      <x:c r="J134" s="49"/>
      <x:c r="K134" s="49"/>
      <x:c r="L134" s="49"/>
      <x:c r="M134" s="49"/>
      <x:c r="N134" s="49"/>
      <x:c r="O134" s="49"/>
      <x:c r="P134" s="49"/>
      <x:c r="Q134" s="49"/>
      <x:c r="R134" s="49"/>
      <x:c r="S134" s="49"/>
      <x:c r="T134" s="49"/>
      <x:c r="U134" s="49"/>
      <x:c r="V134" s="49"/>
      <x:c r="W134" s="49"/>
      <x:c r="X134" s="49"/>
      <x:c r="Y134" s="49"/>
      <x:c r="Z134" s="49"/>
      <x:c r="AA134" s="49"/>
      <x:c r="AB134" s="49"/>
      <x:c r="AC134" s="49"/>
      <x:c r="AD134" s="49"/>
      <x:c r="AE134" s="49"/>
      <x:c r="AF134" s="49"/>
      <x:c r="AG134" s="49"/>
      <x:c r="AH134" s="49"/>
      <x:c r="AI134" s="49"/>
      <x:c r="AJ134" s="49"/>
      <x:c r="AK134" s="49"/>
      <x:c r="AL134" s="49"/>
      <x:c r="AM134" s="49"/>
      <x:c r="AN134" s="49"/>
      <x:c r="AO134" s="49"/>
      <x:c r="AP134" s="49"/>
      <x:c r="AQ134" s="49"/>
      <x:c r="AR134" s="49"/>
      <x:c r="AS134" s="49"/>
      <x:c r="AT134" s="49"/>
      <x:c r="AU134" s="49"/>
      <x:c r="AV134" s="49"/>
      <x:c r="AW134" s="49"/>
      <x:c r="AX134" s="49"/>
      <x:c r="AY134" s="49"/>
      <x:c r="AZ134" s="49"/>
    </x:row>
    <x:row r="135">
      <x:c r="A135" s="49"/>
      <x:c r="B135" s="49"/>
      <x:c r="C135" s="49"/>
      <x:c r="D135" s="49"/>
      <x:c r="E135" s="49"/>
      <x:c r="F135" s="49"/>
      <x:c r="G135" s="49"/>
      <x:c r="H135" s="49"/>
      <x:c r="I135" s="49"/>
      <x:c r="J135" s="49"/>
      <x:c r="K135" s="49"/>
      <x:c r="L135" s="49"/>
      <x:c r="M135" s="49"/>
      <x:c r="N135" s="49"/>
      <x:c r="O135" s="49"/>
      <x:c r="P135" s="49"/>
      <x:c r="Q135" s="49"/>
      <x:c r="R135" s="49"/>
      <x:c r="S135" s="49"/>
      <x:c r="T135" s="49"/>
      <x:c r="U135" s="49"/>
      <x:c r="V135" s="49"/>
      <x:c r="W135" s="49"/>
      <x:c r="X135" s="49"/>
      <x:c r="Y135" s="49"/>
      <x:c r="Z135" s="49"/>
      <x:c r="AA135" s="49"/>
      <x:c r="AB135" s="49"/>
      <x:c r="AC135" s="49"/>
      <x:c r="AD135" s="49"/>
      <x:c r="AE135" s="49"/>
      <x:c r="AF135" s="49"/>
      <x:c r="AG135" s="49"/>
      <x:c r="AH135" s="49"/>
      <x:c r="AI135" s="49"/>
      <x:c r="AJ135" s="49"/>
      <x:c r="AK135" s="49"/>
      <x:c r="AL135" s="49"/>
      <x:c r="AM135" s="49"/>
      <x:c r="AN135" s="49"/>
      <x:c r="AO135" s="49"/>
      <x:c r="AP135" s="49"/>
      <x:c r="AQ135" s="49"/>
      <x:c r="AR135" s="49"/>
      <x:c r="AS135" s="49"/>
      <x:c r="AT135" s="49"/>
      <x:c r="AU135" s="49"/>
      <x:c r="AV135" s="49"/>
      <x:c r="AW135" s="49"/>
      <x:c r="AX135" s="49"/>
      <x:c r="AY135" s="49"/>
      <x:c r="AZ135" s="49"/>
    </x:row>
    <x:row r="136">
      <x:c r="A136" s="49"/>
      <x:c r="B136" s="49"/>
      <x:c r="C136" s="49"/>
      <x:c r="D136" s="49"/>
      <x:c r="E136" s="49"/>
      <x:c r="F136" s="49"/>
      <x:c r="G136" s="49"/>
      <x:c r="H136" s="49"/>
      <x:c r="I136" s="49"/>
      <x:c r="J136" s="49"/>
      <x:c r="K136" s="49"/>
      <x:c r="L136" s="49"/>
      <x:c r="M136" s="49"/>
      <x:c r="N136" s="49"/>
      <x:c r="O136" s="49"/>
      <x:c r="P136" s="49"/>
      <x:c r="Q136" s="49"/>
      <x:c r="R136" s="49"/>
      <x:c r="S136" s="49"/>
      <x:c r="T136" s="49"/>
      <x:c r="U136" s="49"/>
      <x:c r="V136" s="49"/>
      <x:c r="W136" s="49"/>
      <x:c r="X136" s="49"/>
      <x:c r="Y136" s="49"/>
      <x:c r="Z136" s="49"/>
      <x:c r="AA136" s="49"/>
      <x:c r="AB136" s="49"/>
      <x:c r="AC136" s="49"/>
      <x:c r="AD136" s="49"/>
      <x:c r="AE136" s="49"/>
      <x:c r="AF136" s="49"/>
      <x:c r="AG136" s="49"/>
      <x:c r="AH136" s="49"/>
      <x:c r="AI136" s="49"/>
      <x:c r="AJ136" s="49"/>
      <x:c r="AK136" s="49"/>
      <x:c r="AL136" s="49"/>
      <x:c r="AM136" s="49"/>
      <x:c r="AN136" s="49"/>
      <x:c r="AO136" s="49"/>
      <x:c r="AP136" s="49"/>
      <x:c r="AQ136" s="49"/>
      <x:c r="AR136" s="49"/>
      <x:c r="AS136" s="49"/>
      <x:c r="AT136" s="49"/>
      <x:c r="AU136" s="49"/>
      <x:c r="AV136" s="49"/>
      <x:c r="AW136" s="49"/>
      <x:c r="AX136" s="49"/>
      <x:c r="AY136" s="49"/>
      <x:c r="AZ136" s="49"/>
    </x:row>
    <x:row r="137">
      <x:c r="A137" s="49"/>
      <x:c r="B137" s="49"/>
      <x:c r="C137" s="49"/>
      <x:c r="D137" s="49"/>
      <x:c r="E137" s="49"/>
      <x:c r="F137" s="49"/>
      <x:c r="G137" s="49"/>
      <x:c r="H137" s="49"/>
      <x:c r="I137" s="49"/>
      <x:c r="J137" s="49"/>
      <x:c r="K137" s="49"/>
      <x:c r="L137" s="49"/>
      <x:c r="M137" s="49"/>
      <x:c r="N137" s="49"/>
      <x:c r="O137" s="49"/>
      <x:c r="P137" s="49"/>
      <x:c r="Q137" s="49"/>
      <x:c r="R137" s="49"/>
      <x:c r="S137" s="49"/>
      <x:c r="T137" s="49"/>
      <x:c r="U137" s="49"/>
      <x:c r="V137" s="49"/>
      <x:c r="W137" s="49"/>
      <x:c r="X137" s="49"/>
      <x:c r="Y137" s="49"/>
      <x:c r="Z137" s="49"/>
      <x:c r="AA137" s="49"/>
      <x:c r="AB137" s="49"/>
      <x:c r="AC137" s="49"/>
      <x:c r="AD137" s="49"/>
      <x:c r="AE137" s="49"/>
      <x:c r="AF137" s="49"/>
      <x:c r="AG137" s="49"/>
      <x:c r="AH137" s="49"/>
      <x:c r="AI137" s="49"/>
      <x:c r="AJ137" s="49"/>
      <x:c r="AK137" s="49"/>
      <x:c r="AL137" s="49"/>
      <x:c r="AM137" s="49"/>
      <x:c r="AN137" s="49"/>
      <x:c r="AO137" s="49"/>
      <x:c r="AP137" s="49"/>
      <x:c r="AQ137" s="49"/>
      <x:c r="AR137" s="49"/>
      <x:c r="AS137" s="49"/>
      <x:c r="AT137" s="49"/>
      <x:c r="AU137" s="49"/>
      <x:c r="AV137" s="49"/>
      <x:c r="AW137" s="49"/>
      <x:c r="AX137" s="49"/>
      <x:c r="AY137" s="49"/>
      <x:c r="AZ137" s="49"/>
    </x:row>
    <x:row r="138">
      <x:c r="A138" s="49"/>
      <x:c r="B138" s="49"/>
      <x:c r="C138" s="49"/>
      <x:c r="D138" s="49"/>
      <x:c r="E138" s="49"/>
      <x:c r="F138" s="49"/>
      <x:c r="G138" s="49"/>
      <x:c r="H138" s="49"/>
      <x:c r="I138" s="49"/>
      <x:c r="J138" s="49"/>
      <x:c r="K138" s="49"/>
      <x:c r="L138" s="49"/>
      <x:c r="M138" s="49"/>
      <x:c r="N138" s="49"/>
      <x:c r="O138" s="49"/>
      <x:c r="P138" s="49"/>
      <x:c r="Q138" s="49"/>
      <x:c r="R138" s="49"/>
      <x:c r="S138" s="49"/>
      <x:c r="T138" s="49"/>
      <x:c r="U138" s="49"/>
      <x:c r="V138" s="49"/>
      <x:c r="W138" s="49"/>
      <x:c r="X138" s="49"/>
      <x:c r="Y138" s="49"/>
      <x:c r="Z138" s="49"/>
      <x:c r="AA138" s="49"/>
      <x:c r="AB138" s="49"/>
      <x:c r="AC138" s="49"/>
      <x:c r="AD138" s="49"/>
      <x:c r="AE138" s="49"/>
      <x:c r="AF138" s="49"/>
      <x:c r="AG138" s="49"/>
      <x:c r="AH138" s="49"/>
      <x:c r="AI138" s="49"/>
      <x:c r="AJ138" s="49"/>
      <x:c r="AK138" s="49"/>
      <x:c r="AL138" s="49"/>
      <x:c r="AM138" s="49"/>
      <x:c r="AN138" s="49"/>
      <x:c r="AO138" s="49"/>
      <x:c r="AP138" s="49"/>
      <x:c r="AQ138" s="49"/>
      <x:c r="AR138" s="49"/>
      <x:c r="AS138" s="49"/>
      <x:c r="AT138" s="49"/>
      <x:c r="AU138" s="49"/>
      <x:c r="AV138" s="49"/>
      <x:c r="AW138" s="49"/>
      <x:c r="AX138" s="49"/>
      <x:c r="AY138" s="49"/>
      <x:c r="AZ138" s="49"/>
    </x:row>
    <x:row r="139">
      <x:c r="A139" s="49"/>
      <x:c r="B139" s="49"/>
      <x:c r="C139" s="49"/>
      <x:c r="D139" s="49"/>
      <x:c r="E139" s="49"/>
      <x:c r="F139" s="49"/>
      <x:c r="G139" s="49"/>
      <x:c r="H139" s="49"/>
      <x:c r="I139" s="49"/>
      <x:c r="J139" s="49"/>
      <x:c r="K139" s="49"/>
      <x:c r="L139" s="49"/>
      <x:c r="M139" s="49"/>
      <x:c r="N139" s="49"/>
      <x:c r="O139" s="49"/>
      <x:c r="P139" s="49"/>
      <x:c r="Q139" s="49"/>
      <x:c r="R139" s="49"/>
      <x:c r="S139" s="49"/>
      <x:c r="T139" s="49"/>
      <x:c r="U139" s="49"/>
      <x:c r="V139" s="49"/>
      <x:c r="W139" s="49"/>
      <x:c r="X139" s="49"/>
      <x:c r="Y139" s="49"/>
      <x:c r="Z139" s="49"/>
      <x:c r="AA139" s="49"/>
      <x:c r="AB139" s="49"/>
      <x:c r="AC139" s="49"/>
      <x:c r="AD139" s="49"/>
      <x:c r="AE139" s="49"/>
      <x:c r="AF139" s="49"/>
      <x:c r="AG139" s="49"/>
      <x:c r="AH139" s="49"/>
      <x:c r="AI139" s="49"/>
      <x:c r="AJ139" s="49"/>
      <x:c r="AK139" s="49"/>
      <x:c r="AL139" s="49"/>
      <x:c r="AM139" s="49"/>
      <x:c r="AN139" s="49"/>
      <x:c r="AO139" s="49"/>
      <x:c r="AP139" s="49"/>
      <x:c r="AQ139" s="49"/>
      <x:c r="AR139" s="49"/>
      <x:c r="AS139" s="49"/>
      <x:c r="AT139" s="49"/>
      <x:c r="AU139" s="49"/>
      <x:c r="AV139" s="49"/>
      <x:c r="AW139" s="49"/>
      <x:c r="AX139" s="49"/>
      <x:c r="AY139" s="49"/>
      <x:c r="AZ139" s="49"/>
    </x:row>
    <x:row r="140">
      <x:c r="A140" s="49"/>
      <x:c r="B140" s="49"/>
      <x:c r="C140" s="49"/>
      <x:c r="D140" s="49"/>
      <x:c r="E140" s="49"/>
      <x:c r="F140" s="49"/>
      <x:c r="G140" s="49"/>
      <x:c r="H140" s="49"/>
      <x:c r="I140" s="49"/>
      <x:c r="J140" s="49"/>
      <x:c r="K140" s="49"/>
      <x:c r="L140" s="49"/>
      <x:c r="M140" s="49"/>
      <x:c r="N140" s="49"/>
      <x:c r="O140" s="49"/>
      <x:c r="P140" s="49"/>
      <x:c r="Q140" s="49"/>
      <x:c r="R140" s="49"/>
      <x:c r="S140" s="49"/>
      <x:c r="T140" s="49"/>
      <x:c r="U140" s="49"/>
      <x:c r="V140" s="49"/>
      <x:c r="W140" s="49"/>
      <x:c r="X140" s="49"/>
      <x:c r="Y140" s="49"/>
      <x:c r="Z140" s="49"/>
      <x:c r="AA140" s="49"/>
      <x:c r="AB140" s="49"/>
      <x:c r="AC140" s="49"/>
      <x:c r="AD140" s="49"/>
      <x:c r="AE140" s="49"/>
      <x:c r="AF140" s="49"/>
      <x:c r="AG140" s="49"/>
      <x:c r="AH140" s="49"/>
      <x:c r="AI140" s="49"/>
      <x:c r="AJ140" s="49"/>
      <x:c r="AK140" s="49"/>
      <x:c r="AL140" s="49"/>
      <x:c r="AM140" s="49"/>
      <x:c r="AN140" s="49"/>
      <x:c r="AO140" s="49"/>
      <x:c r="AP140" s="49"/>
      <x:c r="AQ140" s="49"/>
      <x:c r="AR140" s="49"/>
      <x:c r="AS140" s="49"/>
      <x:c r="AT140" s="49"/>
      <x:c r="AU140" s="49"/>
      <x:c r="AV140" s="49"/>
      <x:c r="AW140" s="49"/>
      <x:c r="AX140" s="49"/>
      <x:c r="AY140" s="49"/>
      <x:c r="AZ140" s="49"/>
    </x:row>
    <x:row r="141">
      <x:c r="A141" s="49"/>
      <x:c r="B141" s="49"/>
      <x:c r="C141" s="49"/>
      <x:c r="D141" s="49"/>
      <x:c r="E141" s="49"/>
      <x:c r="F141" s="49"/>
      <x:c r="G141" s="49"/>
      <x:c r="H141" s="49"/>
      <x:c r="I141" s="49"/>
      <x:c r="J141" s="49"/>
      <x:c r="K141" s="49"/>
      <x:c r="L141" s="49"/>
      <x:c r="M141" s="49"/>
      <x:c r="N141" s="49"/>
      <x:c r="O141" s="49"/>
      <x:c r="P141" s="49"/>
      <x:c r="Q141" s="49"/>
      <x:c r="R141" s="49"/>
      <x:c r="S141" s="49"/>
      <x:c r="T141" s="49"/>
      <x:c r="U141" s="49"/>
      <x:c r="V141" s="49"/>
      <x:c r="W141" s="49"/>
      <x:c r="X141" s="49"/>
      <x:c r="Y141" s="49"/>
      <x:c r="Z141" s="49"/>
      <x:c r="AA141" s="49"/>
      <x:c r="AB141" s="49"/>
      <x:c r="AC141" s="49"/>
      <x:c r="AD141" s="49"/>
      <x:c r="AE141" s="49"/>
      <x:c r="AF141" s="49"/>
      <x:c r="AG141" s="49"/>
      <x:c r="AH141" s="49"/>
      <x:c r="AI141" s="49"/>
      <x:c r="AJ141" s="49"/>
      <x:c r="AK141" s="49"/>
      <x:c r="AL141" s="49"/>
      <x:c r="AM141" s="49"/>
      <x:c r="AN141" s="49"/>
      <x:c r="AO141" s="49"/>
      <x:c r="AP141" s="49"/>
      <x:c r="AQ141" s="49"/>
      <x:c r="AR141" s="49"/>
      <x:c r="AS141" s="49"/>
      <x:c r="AT141" s="49"/>
      <x:c r="AU141" s="49"/>
      <x:c r="AV141" s="49"/>
      <x:c r="AW141" s="49"/>
      <x:c r="AX141" s="49"/>
      <x:c r="AY141" s="49"/>
      <x:c r="AZ141" s="49"/>
    </x:row>
    <x:row r="142">
      <x:c r="A142" s="49"/>
      <x:c r="B142" s="49"/>
      <x:c r="C142" s="49"/>
      <x:c r="D142" s="49"/>
      <x:c r="E142" s="49"/>
      <x:c r="F142" s="49"/>
      <x:c r="G142" s="49"/>
      <x:c r="H142" s="49"/>
      <x:c r="I142" s="49"/>
      <x:c r="J142" s="49"/>
      <x:c r="K142" s="49"/>
      <x:c r="L142" s="49"/>
      <x:c r="M142" s="49"/>
      <x:c r="N142" s="49"/>
      <x:c r="O142" s="49"/>
      <x:c r="P142" s="49"/>
      <x:c r="Q142" s="49"/>
      <x:c r="R142" s="49"/>
      <x:c r="S142" s="49"/>
      <x:c r="T142" s="49"/>
      <x:c r="U142" s="49"/>
      <x:c r="V142" s="49"/>
      <x:c r="W142" s="49"/>
      <x:c r="X142" s="49"/>
      <x:c r="Y142" s="49"/>
      <x:c r="Z142" s="49"/>
      <x:c r="AA142" s="49"/>
      <x:c r="AB142" s="49"/>
      <x:c r="AC142" s="49"/>
      <x:c r="AD142" s="49"/>
      <x:c r="AE142" s="49"/>
      <x:c r="AF142" s="49"/>
      <x:c r="AG142" s="49"/>
      <x:c r="AH142" s="49"/>
      <x:c r="AI142" s="49"/>
      <x:c r="AJ142" s="49"/>
      <x:c r="AK142" s="49"/>
      <x:c r="AL142" s="49"/>
      <x:c r="AM142" s="49"/>
      <x:c r="AN142" s="49"/>
      <x:c r="AO142" s="49"/>
      <x:c r="AP142" s="49"/>
      <x:c r="AQ142" s="49"/>
      <x:c r="AR142" s="49"/>
      <x:c r="AS142" s="49"/>
      <x:c r="AT142" s="49"/>
      <x:c r="AU142" s="49"/>
      <x:c r="AV142" s="49"/>
      <x:c r="AW142" s="49"/>
      <x:c r="AX142" s="49"/>
      <x:c r="AY142" s="49"/>
      <x:c r="AZ142" s="49"/>
    </x:row>
    <x:row r="143">
      <x:c r="A143" s="49"/>
      <x:c r="B143" s="49"/>
      <x:c r="C143" s="49"/>
      <x:c r="D143" s="49"/>
      <x:c r="E143" s="49"/>
      <x:c r="F143" s="49"/>
      <x:c r="G143" s="49"/>
      <x:c r="H143" s="49"/>
      <x:c r="I143" s="49"/>
      <x:c r="J143" s="49"/>
      <x:c r="K143" s="49"/>
      <x:c r="L143" s="49"/>
      <x:c r="M143" s="49"/>
      <x:c r="N143" s="49"/>
      <x:c r="O143" s="49"/>
      <x:c r="P143" s="49"/>
      <x:c r="Q143" s="49"/>
      <x:c r="R143" s="49"/>
      <x:c r="S143" s="49"/>
      <x:c r="T143" s="49"/>
      <x:c r="U143" s="49"/>
      <x:c r="V143" s="49"/>
      <x:c r="W143" s="49"/>
      <x:c r="X143" s="49"/>
      <x:c r="Y143" s="49"/>
      <x:c r="Z143" s="49"/>
      <x:c r="AA143" s="49"/>
      <x:c r="AB143" s="49"/>
      <x:c r="AC143" s="49"/>
      <x:c r="AD143" s="49"/>
      <x:c r="AE143" s="49"/>
      <x:c r="AF143" s="49"/>
      <x:c r="AG143" s="49"/>
      <x:c r="AH143" s="49"/>
      <x:c r="AI143" s="49"/>
      <x:c r="AJ143" s="49"/>
      <x:c r="AK143" s="49"/>
      <x:c r="AL143" s="49"/>
      <x:c r="AM143" s="49"/>
      <x:c r="AN143" s="49"/>
      <x:c r="AO143" s="49"/>
      <x:c r="AP143" s="49"/>
      <x:c r="AQ143" s="49"/>
      <x:c r="AR143" s="49"/>
      <x:c r="AS143" s="49"/>
      <x:c r="AT143" s="49"/>
      <x:c r="AU143" s="49"/>
      <x:c r="AV143" s="49"/>
      <x:c r="AW143" s="49"/>
      <x:c r="AX143" s="49"/>
      <x:c r="AY143" s="49"/>
      <x:c r="AZ143" s="49"/>
    </x:row>
    <x:row r="144">
      <x:c r="A144" s="49"/>
      <x:c r="B144" s="49"/>
      <x:c r="C144" s="49"/>
      <x:c r="D144" s="49"/>
      <x:c r="E144" s="49"/>
      <x:c r="F144" s="49"/>
      <x:c r="G144" s="49"/>
      <x:c r="H144" s="49"/>
      <x:c r="I144" s="49"/>
      <x:c r="J144" s="49"/>
      <x:c r="K144" s="49"/>
      <x:c r="L144" s="49"/>
      <x:c r="M144" s="49"/>
      <x:c r="N144" s="49"/>
      <x:c r="O144" s="49"/>
      <x:c r="P144" s="49"/>
      <x:c r="Q144" s="49"/>
      <x:c r="R144" s="49"/>
      <x:c r="S144" s="49"/>
      <x:c r="T144" s="49"/>
      <x:c r="U144" s="49"/>
      <x:c r="V144" s="49"/>
      <x:c r="W144" s="49"/>
      <x:c r="X144" s="49"/>
      <x:c r="Y144" s="49"/>
      <x:c r="Z144" s="49"/>
      <x:c r="AA144" s="49"/>
      <x:c r="AB144" s="49"/>
      <x:c r="AC144" s="49"/>
      <x:c r="AD144" s="49"/>
      <x:c r="AE144" s="49"/>
      <x:c r="AF144" s="49"/>
      <x:c r="AG144" s="49"/>
      <x:c r="AH144" s="49"/>
      <x:c r="AI144" s="49"/>
      <x:c r="AJ144" s="49"/>
      <x:c r="AK144" s="49"/>
      <x:c r="AL144" s="49"/>
      <x:c r="AM144" s="49"/>
      <x:c r="AN144" s="49"/>
      <x:c r="AO144" s="49"/>
      <x:c r="AP144" s="49"/>
      <x:c r="AQ144" s="49"/>
      <x:c r="AR144" s="49"/>
      <x:c r="AS144" s="49"/>
      <x:c r="AT144" s="49"/>
      <x:c r="AU144" s="49"/>
      <x:c r="AV144" s="49"/>
      <x:c r="AW144" s="49"/>
      <x:c r="AX144" s="49"/>
      <x:c r="AY144" s="49"/>
      <x:c r="AZ144" s="49"/>
    </x:row>
    <x:row r="145">
      <x:c r="A145" s="49"/>
      <x:c r="B145" s="49"/>
      <x:c r="C145" s="49"/>
      <x:c r="D145" s="49"/>
      <x:c r="E145" s="49"/>
      <x:c r="F145" s="49"/>
      <x:c r="G145" s="49"/>
      <x:c r="H145" s="49"/>
      <x:c r="I145" s="49"/>
      <x:c r="J145" s="49"/>
      <x:c r="K145" s="49"/>
      <x:c r="L145" s="49"/>
      <x:c r="M145" s="49"/>
      <x:c r="N145" s="49"/>
      <x:c r="O145" s="49"/>
      <x:c r="P145" s="49"/>
      <x:c r="Q145" s="49"/>
      <x:c r="R145" s="49"/>
      <x:c r="S145" s="49"/>
      <x:c r="T145" s="49"/>
      <x:c r="U145" s="49"/>
      <x:c r="V145" s="49"/>
      <x:c r="W145" s="49"/>
      <x:c r="X145" s="49"/>
      <x:c r="Y145" s="49"/>
      <x:c r="Z145" s="49"/>
      <x:c r="AA145" s="49"/>
      <x:c r="AB145" s="49"/>
      <x:c r="AC145" s="49"/>
      <x:c r="AD145" s="49"/>
      <x:c r="AE145" s="49"/>
      <x:c r="AF145" s="49"/>
      <x:c r="AG145" s="49"/>
      <x:c r="AH145" s="49"/>
      <x:c r="AI145" s="49"/>
      <x:c r="AJ145" s="49"/>
      <x:c r="AK145" s="49"/>
      <x:c r="AL145" s="49"/>
      <x:c r="AM145" s="49"/>
      <x:c r="AN145" s="49"/>
      <x:c r="AO145" s="49"/>
      <x:c r="AP145" s="49"/>
      <x:c r="AQ145" s="49"/>
      <x:c r="AR145" s="49"/>
      <x:c r="AS145" s="49"/>
      <x:c r="AT145" s="49"/>
      <x:c r="AU145" s="49"/>
      <x:c r="AV145" s="49"/>
      <x:c r="AW145" s="49"/>
      <x:c r="AX145" s="49"/>
      <x:c r="AY145" s="49"/>
      <x:c r="AZ145" s="49"/>
    </x:row>
    <x:row r="146">
      <x:c r="A146" s="49"/>
      <x:c r="B146" s="49"/>
      <x:c r="C146" s="49"/>
      <x:c r="D146" s="49"/>
      <x:c r="E146" s="49"/>
      <x:c r="F146" s="49"/>
      <x:c r="G146" s="49"/>
      <x:c r="H146" s="49"/>
      <x:c r="I146" s="49"/>
      <x:c r="J146" s="49"/>
      <x:c r="K146" s="49"/>
      <x:c r="L146" s="49"/>
      <x:c r="M146" s="49"/>
      <x:c r="N146" s="49"/>
      <x:c r="O146" s="49"/>
      <x:c r="P146" s="49"/>
      <x:c r="Q146" s="49"/>
      <x:c r="R146" s="49"/>
      <x:c r="S146" s="49"/>
      <x:c r="T146" s="49"/>
      <x:c r="U146" s="49"/>
      <x:c r="V146" s="49"/>
      <x:c r="W146" s="49"/>
      <x:c r="X146" s="49"/>
      <x:c r="Y146" s="49"/>
      <x:c r="Z146" s="49"/>
      <x:c r="AA146" s="49"/>
      <x:c r="AB146" s="49"/>
      <x:c r="AC146" s="49"/>
      <x:c r="AD146" s="49"/>
      <x:c r="AE146" s="49"/>
      <x:c r="AF146" s="49"/>
      <x:c r="AG146" s="49"/>
      <x:c r="AH146" s="49"/>
      <x:c r="AI146" s="49"/>
      <x:c r="AJ146" s="49"/>
      <x:c r="AK146" s="49"/>
      <x:c r="AL146" s="49"/>
      <x:c r="AM146" s="49"/>
      <x:c r="AN146" s="49"/>
      <x:c r="AO146" s="49"/>
      <x:c r="AP146" s="49"/>
      <x:c r="AQ146" s="49"/>
      <x:c r="AR146" s="49"/>
      <x:c r="AS146" s="49"/>
      <x:c r="AT146" s="49"/>
      <x:c r="AU146" s="49"/>
      <x:c r="AV146" s="49"/>
      <x:c r="AW146" s="49"/>
      <x:c r="AX146" s="49"/>
      <x:c r="AY146" s="49"/>
      <x:c r="AZ146" s="49"/>
    </x:row>
    <x:row r="147">
      <x:c r="A147" s="49"/>
      <x:c r="B147" s="49"/>
      <x:c r="C147" s="49"/>
      <x:c r="D147" s="49"/>
      <x:c r="E147" s="49"/>
      <x:c r="F147" s="49"/>
      <x:c r="G147" s="49"/>
      <x:c r="H147" s="49"/>
      <x:c r="I147" s="49"/>
      <x:c r="J147" s="49"/>
      <x:c r="K147" s="49"/>
      <x:c r="L147" s="49"/>
      <x:c r="M147" s="49"/>
      <x:c r="N147" s="49"/>
      <x:c r="O147" s="49"/>
      <x:c r="P147" s="49"/>
      <x:c r="Q147" s="49"/>
      <x:c r="R147" s="49"/>
      <x:c r="S147" s="49"/>
      <x:c r="T147" s="49"/>
      <x:c r="U147" s="49"/>
      <x:c r="V147" s="49"/>
      <x:c r="W147" s="49"/>
      <x:c r="X147" s="49"/>
      <x:c r="Y147" s="49"/>
      <x:c r="Z147" s="49"/>
      <x:c r="AA147" s="49"/>
      <x:c r="AB147" s="49"/>
      <x:c r="AC147" s="49"/>
      <x:c r="AD147" s="49"/>
      <x:c r="AE147" s="49"/>
      <x:c r="AF147" s="49"/>
      <x:c r="AG147" s="49"/>
      <x:c r="AH147" s="49"/>
      <x:c r="AI147" s="49"/>
      <x:c r="AJ147" s="49"/>
      <x:c r="AK147" s="49"/>
      <x:c r="AL147" s="49"/>
      <x:c r="AM147" s="49"/>
      <x:c r="AN147" s="49"/>
      <x:c r="AO147" s="49"/>
      <x:c r="AP147" s="49"/>
      <x:c r="AQ147" s="49"/>
      <x:c r="AR147" s="49"/>
      <x:c r="AS147" s="49"/>
      <x:c r="AT147" s="49"/>
      <x:c r="AU147" s="49"/>
      <x:c r="AV147" s="49"/>
      <x:c r="AW147" s="49"/>
      <x:c r="AX147" s="49"/>
      <x:c r="AY147" s="49"/>
      <x:c r="AZ147" s="49"/>
    </x:row>
    <x:row r="148">
      <x:c r="A148" s="49"/>
      <x:c r="B148" s="49"/>
      <x:c r="C148" s="49"/>
      <x:c r="D148" s="49"/>
      <x:c r="E148" s="49"/>
      <x:c r="F148" s="49"/>
      <x:c r="G148" s="49"/>
      <x:c r="H148" s="49"/>
      <x:c r="I148" s="49"/>
      <x:c r="J148" s="49"/>
      <x:c r="K148" s="49"/>
      <x:c r="L148" s="49"/>
      <x:c r="M148" s="49"/>
      <x:c r="N148" s="49"/>
      <x:c r="O148" s="49"/>
      <x:c r="P148" s="49"/>
      <x:c r="Q148" s="49"/>
      <x:c r="R148" s="49"/>
      <x:c r="S148" s="49"/>
      <x:c r="T148" s="49"/>
      <x:c r="U148" s="49"/>
      <x:c r="V148" s="49"/>
      <x:c r="W148" s="49"/>
      <x:c r="X148" s="49"/>
      <x:c r="Y148" s="49"/>
      <x:c r="Z148" s="49"/>
      <x:c r="AA148" s="49"/>
      <x:c r="AB148" s="49"/>
      <x:c r="AC148" s="49"/>
      <x:c r="AD148" s="49"/>
      <x:c r="AE148" s="49"/>
      <x:c r="AF148" s="49"/>
      <x:c r="AG148" s="49"/>
      <x:c r="AH148" s="49"/>
      <x:c r="AI148" s="49"/>
      <x:c r="AJ148" s="49"/>
      <x:c r="AK148" s="49"/>
      <x:c r="AL148" s="49"/>
      <x:c r="AM148" s="49"/>
      <x:c r="AN148" s="49"/>
      <x:c r="AO148" s="49"/>
      <x:c r="AP148" s="49"/>
      <x:c r="AQ148" s="49"/>
      <x:c r="AR148" s="49"/>
      <x:c r="AS148" s="49"/>
      <x:c r="AT148" s="49"/>
      <x:c r="AU148" s="49"/>
      <x:c r="AV148" s="49"/>
      <x:c r="AW148" s="49"/>
      <x:c r="AX148" s="49"/>
      <x:c r="AY148" s="49"/>
      <x:c r="AZ148" s="49"/>
    </x:row>
    <x:row r="149">
      <x:c r="A149" s="49"/>
      <x:c r="B149" s="49"/>
      <x:c r="C149" s="49"/>
      <x:c r="D149" s="49"/>
      <x:c r="E149" s="49"/>
      <x:c r="F149" s="49"/>
      <x:c r="G149" s="49"/>
      <x:c r="H149" s="49"/>
      <x:c r="I149" s="49"/>
      <x:c r="J149" s="49"/>
      <x:c r="K149" s="49"/>
      <x:c r="L149" s="49"/>
      <x:c r="M149" s="49"/>
      <x:c r="N149" s="49"/>
      <x:c r="O149" s="49"/>
      <x:c r="P149" s="49"/>
      <x:c r="Q149" s="49"/>
      <x:c r="R149" s="49"/>
      <x:c r="S149" s="49"/>
      <x:c r="T149" s="49"/>
      <x:c r="U149" s="49"/>
      <x:c r="V149" s="49"/>
      <x:c r="W149" s="49"/>
      <x:c r="X149" s="49"/>
      <x:c r="Y149" s="49"/>
      <x:c r="Z149" s="49"/>
      <x:c r="AA149" s="49"/>
      <x:c r="AB149" s="49"/>
      <x:c r="AC149" s="49"/>
      <x:c r="AD149" s="49"/>
      <x:c r="AE149" s="49"/>
      <x:c r="AF149" s="49"/>
      <x:c r="AG149" s="49"/>
      <x:c r="AH149" s="49"/>
      <x:c r="AI149" s="49"/>
      <x:c r="AJ149" s="49"/>
      <x:c r="AK149" s="49"/>
      <x:c r="AL149" s="49"/>
      <x:c r="AM149" s="49"/>
      <x:c r="AN149" s="49"/>
      <x:c r="AO149" s="49"/>
      <x:c r="AP149" s="49"/>
      <x:c r="AQ149" s="49"/>
      <x:c r="AR149" s="49"/>
      <x:c r="AS149" s="49"/>
      <x:c r="AT149" s="49"/>
      <x:c r="AU149" s="49"/>
      <x:c r="AV149" s="49"/>
      <x:c r="AW149" s="49"/>
      <x:c r="AX149" s="49"/>
      <x:c r="AY149" s="49"/>
      <x:c r="AZ149" s="49"/>
    </x:row>
    <x:row r="150">
      <x:c r="A150" s="49"/>
      <x:c r="B150" s="49"/>
      <x:c r="C150" s="49"/>
      <x:c r="D150" s="49"/>
      <x:c r="E150" s="49"/>
      <x:c r="F150" s="49"/>
      <x:c r="G150" s="49"/>
      <x:c r="H150" s="49"/>
      <x:c r="I150" s="49"/>
      <x:c r="J150" s="49"/>
      <x:c r="K150" s="49"/>
      <x:c r="L150" s="49"/>
      <x:c r="M150" s="49"/>
      <x:c r="N150" s="49"/>
      <x:c r="O150" s="49"/>
      <x:c r="P150" s="49"/>
      <x:c r="Q150" s="49"/>
      <x:c r="R150" s="49"/>
      <x:c r="S150" s="49"/>
      <x:c r="T150" s="49"/>
      <x:c r="U150" s="49"/>
      <x:c r="V150" s="49"/>
      <x:c r="W150" s="49"/>
      <x:c r="X150" s="49"/>
      <x:c r="Y150" s="49"/>
      <x:c r="Z150" s="49"/>
      <x:c r="AA150" s="49"/>
      <x:c r="AB150" s="49"/>
      <x:c r="AC150" s="49"/>
      <x:c r="AD150" s="49"/>
      <x:c r="AE150" s="49"/>
      <x:c r="AF150" s="49"/>
      <x:c r="AG150" s="49"/>
      <x:c r="AH150" s="49"/>
      <x:c r="AI150" s="49"/>
      <x:c r="AJ150" s="49"/>
      <x:c r="AK150" s="49"/>
      <x:c r="AL150" s="49"/>
      <x:c r="AM150" s="49"/>
      <x:c r="AN150" s="49"/>
      <x:c r="AO150" s="49"/>
      <x:c r="AP150" s="49"/>
      <x:c r="AQ150" s="49"/>
      <x:c r="AR150" s="49"/>
      <x:c r="AS150" s="49"/>
      <x:c r="AT150" s="49"/>
      <x:c r="AU150" s="49"/>
      <x:c r="AV150" s="49"/>
      <x:c r="AW150" s="49"/>
      <x:c r="AX150" s="49"/>
      <x:c r="AY150" s="49"/>
      <x:c r="AZ150" s="49"/>
    </x:row>
    <x:row r="151">
      <x:c r="A151" s="49"/>
      <x:c r="B151" s="49"/>
      <x:c r="C151" s="49"/>
      <x:c r="D151" s="49"/>
      <x:c r="E151" s="49"/>
      <x:c r="F151" s="49"/>
      <x:c r="G151" s="49"/>
      <x:c r="H151" s="49"/>
      <x:c r="I151" s="49"/>
      <x:c r="J151" s="49"/>
      <x:c r="K151" s="49"/>
      <x:c r="L151" s="49"/>
      <x:c r="M151" s="49"/>
      <x:c r="N151" s="49"/>
      <x:c r="O151" s="49"/>
      <x:c r="P151" s="49"/>
      <x:c r="Q151" s="49"/>
      <x:c r="R151" s="49"/>
      <x:c r="S151" s="49"/>
      <x:c r="T151" s="49"/>
      <x:c r="U151" s="49"/>
      <x:c r="V151" s="49"/>
      <x:c r="W151" s="49"/>
      <x:c r="X151" s="49"/>
      <x:c r="Y151" s="49"/>
      <x:c r="Z151" s="49"/>
      <x:c r="AA151" s="49"/>
      <x:c r="AB151" s="49"/>
      <x:c r="AC151" s="49"/>
      <x:c r="AD151" s="49"/>
      <x:c r="AE151" s="49"/>
      <x:c r="AF151" s="49"/>
      <x:c r="AG151" s="49"/>
      <x:c r="AH151" s="49"/>
      <x:c r="AI151" s="49"/>
      <x:c r="AJ151" s="49"/>
      <x:c r="AK151" s="49"/>
      <x:c r="AL151" s="49"/>
      <x:c r="AM151" s="49"/>
      <x:c r="AN151" s="49"/>
      <x:c r="AO151" s="49"/>
      <x:c r="AP151" s="49"/>
      <x:c r="AQ151" s="49"/>
      <x:c r="AR151" s="49"/>
      <x:c r="AS151" s="49"/>
      <x:c r="AT151" s="49"/>
      <x:c r="AU151" s="49"/>
      <x:c r="AV151" s="49"/>
      <x:c r="AW151" s="49"/>
      <x:c r="AX151" s="49"/>
      <x:c r="AY151" s="49"/>
      <x:c r="AZ151" s="49"/>
    </x:row>
    <x:row r="152">
      <x:c r="A152" s="49"/>
      <x:c r="B152" s="49"/>
      <x:c r="C152" s="49"/>
      <x:c r="D152" s="49"/>
      <x:c r="E152" s="49"/>
      <x:c r="F152" s="49"/>
      <x:c r="G152" s="49"/>
      <x:c r="H152" s="49"/>
      <x:c r="I152" s="49"/>
      <x:c r="J152" s="49"/>
      <x:c r="K152" s="49"/>
      <x:c r="L152" s="49"/>
      <x:c r="M152" s="49"/>
      <x:c r="N152" s="49"/>
      <x:c r="O152" s="49"/>
      <x:c r="P152" s="49"/>
      <x:c r="Q152" s="49"/>
      <x:c r="R152" s="49"/>
      <x:c r="S152" s="49"/>
      <x:c r="T152" s="49"/>
      <x:c r="U152" s="49"/>
      <x:c r="V152" s="49"/>
      <x:c r="W152" s="49"/>
      <x:c r="X152" s="49"/>
      <x:c r="Y152" s="49"/>
      <x:c r="Z152" s="49"/>
      <x:c r="AA152" s="49"/>
      <x:c r="AB152" s="49"/>
      <x:c r="AC152" s="49"/>
      <x:c r="AD152" s="49"/>
      <x:c r="AE152" s="49"/>
      <x:c r="AF152" s="49"/>
      <x:c r="AG152" s="49"/>
      <x:c r="AH152" s="49"/>
      <x:c r="AI152" s="49"/>
      <x:c r="AJ152" s="49"/>
      <x:c r="AK152" s="49"/>
      <x:c r="AL152" s="49"/>
      <x:c r="AM152" s="49"/>
      <x:c r="AN152" s="49"/>
      <x:c r="AO152" s="49"/>
      <x:c r="AP152" s="49"/>
      <x:c r="AQ152" s="49"/>
      <x:c r="AR152" s="49"/>
      <x:c r="AS152" s="49"/>
      <x:c r="AT152" s="49"/>
      <x:c r="AU152" s="49"/>
      <x:c r="AV152" s="49"/>
      <x:c r="AW152" s="49"/>
      <x:c r="AX152" s="49"/>
      <x:c r="AY152" s="49"/>
      <x:c r="AZ152" s="49"/>
    </x:row>
    <x:row r="153">
      <x:c r="A153" s="49"/>
      <x:c r="B153" s="49"/>
      <x:c r="C153" s="49"/>
      <x:c r="D153" s="49"/>
      <x:c r="E153" s="49"/>
      <x:c r="F153" s="49"/>
      <x:c r="G153" s="49"/>
      <x:c r="H153" s="49"/>
      <x:c r="I153" s="49"/>
      <x:c r="J153" s="49"/>
      <x:c r="K153" s="49"/>
      <x:c r="L153" s="49"/>
      <x:c r="M153" s="49"/>
      <x:c r="N153" s="49"/>
      <x:c r="O153" s="49"/>
      <x:c r="P153" s="49"/>
      <x:c r="Q153" s="49"/>
      <x:c r="R153" s="49"/>
      <x:c r="S153" s="49"/>
      <x:c r="T153" s="49"/>
      <x:c r="U153" s="49"/>
      <x:c r="V153" s="49"/>
      <x:c r="W153" s="49"/>
      <x:c r="X153" s="49"/>
      <x:c r="Y153" s="49"/>
      <x:c r="Z153" s="49"/>
      <x:c r="AA153" s="49"/>
      <x:c r="AB153" s="49"/>
      <x:c r="AC153" s="49"/>
      <x:c r="AD153" s="49"/>
      <x:c r="AE153" s="49"/>
      <x:c r="AF153" s="49"/>
      <x:c r="AG153" s="49"/>
      <x:c r="AH153" s="49"/>
      <x:c r="AI153" s="49"/>
      <x:c r="AJ153" s="49"/>
      <x:c r="AK153" s="49"/>
      <x:c r="AL153" s="49"/>
      <x:c r="AM153" s="49"/>
      <x:c r="AN153" s="49"/>
      <x:c r="AO153" s="49"/>
      <x:c r="AP153" s="49"/>
      <x:c r="AQ153" s="49"/>
      <x:c r="AR153" s="49"/>
      <x:c r="AS153" s="49"/>
      <x:c r="AT153" s="49"/>
      <x:c r="AU153" s="49"/>
      <x:c r="AV153" s="49"/>
      <x:c r="AW153" s="49"/>
      <x:c r="AX153" s="49"/>
      <x:c r="AY153" s="49"/>
      <x:c r="AZ153" s="49"/>
    </x:row>
    <x:row r="154">
      <x:c r="A154" s="49"/>
      <x:c r="B154" s="49"/>
      <x:c r="C154" s="49"/>
      <x:c r="D154" s="49"/>
      <x:c r="E154" s="49"/>
      <x:c r="F154" s="49"/>
      <x:c r="G154" s="49"/>
      <x:c r="H154" s="49"/>
      <x:c r="I154" s="49"/>
      <x:c r="J154" s="49"/>
      <x:c r="K154" s="49"/>
      <x:c r="L154" s="49"/>
      <x:c r="M154" s="49"/>
      <x:c r="N154" s="49"/>
      <x:c r="O154" s="49"/>
      <x:c r="P154" s="49"/>
      <x:c r="Q154" s="49"/>
      <x:c r="R154" s="49"/>
      <x:c r="S154" s="49"/>
      <x:c r="T154" s="49"/>
      <x:c r="U154" s="49"/>
      <x:c r="V154" s="49"/>
      <x:c r="W154" s="49"/>
      <x:c r="X154" s="49"/>
      <x:c r="Y154" s="49"/>
      <x:c r="Z154" s="49"/>
      <x:c r="AA154" s="49"/>
      <x:c r="AB154" s="49"/>
      <x:c r="AC154" s="49"/>
      <x:c r="AD154" s="49"/>
      <x:c r="AE154" s="49"/>
      <x:c r="AF154" s="49"/>
      <x:c r="AG154" s="49"/>
      <x:c r="AH154" s="49"/>
      <x:c r="AI154" s="49"/>
      <x:c r="AJ154" s="49"/>
      <x:c r="AK154" s="49"/>
      <x:c r="AL154" s="49"/>
      <x:c r="AM154" s="49"/>
      <x:c r="AN154" s="49"/>
      <x:c r="AO154" s="49"/>
      <x:c r="AP154" s="49"/>
      <x:c r="AQ154" s="49"/>
      <x:c r="AR154" s="49"/>
      <x:c r="AS154" s="49"/>
      <x:c r="AT154" s="49"/>
      <x:c r="AU154" s="49"/>
      <x:c r="AV154" s="49"/>
      <x:c r="AW154" s="49"/>
      <x:c r="AX154" s="49"/>
      <x:c r="AY154" s="49"/>
      <x:c r="AZ154" s="49"/>
    </x:row>
    <x:row r="155">
      <x:c r="A155" s="49"/>
      <x:c r="B155" s="49"/>
      <x:c r="C155" s="49"/>
      <x:c r="D155" s="49"/>
      <x:c r="E155" s="49"/>
      <x:c r="F155" s="49"/>
      <x:c r="G155" s="49"/>
      <x:c r="H155" s="49"/>
      <x:c r="I155" s="49"/>
      <x:c r="J155" s="49"/>
      <x:c r="K155" s="49"/>
      <x:c r="L155" s="49"/>
      <x:c r="M155" s="49"/>
      <x:c r="N155" s="49"/>
      <x:c r="O155" s="49"/>
      <x:c r="P155" s="49"/>
      <x:c r="Q155" s="49"/>
      <x:c r="R155" s="49"/>
      <x:c r="S155" s="49"/>
      <x:c r="T155" s="49"/>
      <x:c r="U155" s="49"/>
      <x:c r="V155" s="49"/>
      <x:c r="W155" s="49"/>
      <x:c r="X155" s="49"/>
      <x:c r="Y155" s="49"/>
      <x:c r="Z155" s="49"/>
      <x:c r="AA155" s="49"/>
      <x:c r="AB155" s="49"/>
      <x:c r="AC155" s="49"/>
      <x:c r="AD155" s="49"/>
      <x:c r="AE155" s="49"/>
      <x:c r="AF155" s="49"/>
      <x:c r="AG155" s="49"/>
      <x:c r="AH155" s="49"/>
      <x:c r="AI155" s="49"/>
      <x:c r="AJ155" s="49"/>
      <x:c r="AK155" s="49"/>
      <x:c r="AL155" s="49"/>
      <x:c r="AM155" s="49"/>
      <x:c r="AN155" s="49"/>
      <x:c r="AO155" s="49"/>
      <x:c r="AP155" s="49"/>
      <x:c r="AQ155" s="49"/>
      <x:c r="AR155" s="49"/>
      <x:c r="AS155" s="49"/>
      <x:c r="AT155" s="49"/>
      <x:c r="AU155" s="49"/>
      <x:c r="AV155" s="49"/>
      <x:c r="AW155" s="49"/>
      <x:c r="AX155" s="49"/>
      <x:c r="AY155" s="49"/>
      <x:c r="AZ155" s="49"/>
    </x:row>
    <x:row r="156">
      <x:c r="A156" s="49"/>
      <x:c r="B156" s="49"/>
      <x:c r="C156" s="49"/>
      <x:c r="D156" s="49"/>
      <x:c r="E156" s="49"/>
      <x:c r="F156" s="49"/>
      <x:c r="G156" s="49"/>
      <x:c r="H156" s="49"/>
      <x:c r="I156" s="49"/>
      <x:c r="J156" s="49"/>
      <x:c r="K156" s="49"/>
      <x:c r="L156" s="49"/>
      <x:c r="M156" s="49"/>
      <x:c r="N156" s="49"/>
      <x:c r="O156" s="49"/>
      <x:c r="P156" s="49"/>
      <x:c r="Q156" s="49"/>
      <x:c r="R156" s="49"/>
      <x:c r="S156" s="49"/>
      <x:c r="T156" s="49"/>
      <x:c r="U156" s="49"/>
      <x:c r="V156" s="49"/>
      <x:c r="W156" s="49"/>
      <x:c r="X156" s="49"/>
      <x:c r="Y156" s="49"/>
      <x:c r="Z156" s="49"/>
      <x:c r="AA156" s="49"/>
      <x:c r="AB156" s="49"/>
      <x:c r="AC156" s="49"/>
      <x:c r="AD156" s="49"/>
      <x:c r="AE156" s="49"/>
      <x:c r="AF156" s="49"/>
      <x:c r="AG156" s="49"/>
      <x:c r="AH156" s="49"/>
      <x:c r="AI156" s="49"/>
      <x:c r="AJ156" s="49"/>
      <x:c r="AK156" s="49"/>
      <x:c r="AL156" s="49"/>
      <x:c r="AM156" s="49"/>
      <x:c r="AN156" s="49"/>
      <x:c r="AO156" s="49"/>
      <x:c r="AP156" s="49"/>
      <x:c r="AQ156" s="49"/>
      <x:c r="AR156" s="49"/>
      <x:c r="AS156" s="49"/>
      <x:c r="AT156" s="49"/>
      <x:c r="AU156" s="49"/>
      <x:c r="AV156" s="49"/>
      <x:c r="AW156" s="49"/>
      <x:c r="AX156" s="49"/>
      <x:c r="AY156" s="49"/>
      <x:c r="AZ156" s="49"/>
    </x:row>
    <x:row r="157">
      <x:c r="A157" s="49"/>
      <x:c r="B157" s="49"/>
      <x:c r="C157" s="49"/>
      <x:c r="D157" s="49"/>
      <x:c r="E157" s="49"/>
      <x:c r="F157" s="49"/>
      <x:c r="G157" s="49"/>
      <x:c r="H157" s="49"/>
      <x:c r="I157" s="49"/>
      <x:c r="J157" s="49"/>
      <x:c r="K157" s="49"/>
      <x:c r="L157" s="49"/>
      <x:c r="M157" s="49"/>
      <x:c r="N157" s="49"/>
      <x:c r="O157" s="49"/>
      <x:c r="P157" s="49"/>
      <x:c r="Q157" s="49"/>
      <x:c r="R157" s="49"/>
      <x:c r="S157" s="49"/>
      <x:c r="T157" s="49"/>
      <x:c r="U157" s="49"/>
      <x:c r="V157" s="49"/>
      <x:c r="W157" s="49"/>
      <x:c r="X157" s="49"/>
      <x:c r="Y157" s="49"/>
      <x:c r="Z157" s="49"/>
      <x:c r="AA157" s="49"/>
      <x:c r="AB157" s="49"/>
      <x:c r="AC157" s="49"/>
      <x:c r="AD157" s="49"/>
      <x:c r="AE157" s="49"/>
      <x:c r="AF157" s="49"/>
      <x:c r="AG157" s="49"/>
      <x:c r="AH157" s="49"/>
      <x:c r="AI157" s="49"/>
      <x:c r="AJ157" s="49"/>
      <x:c r="AK157" s="49"/>
      <x:c r="AL157" s="49"/>
      <x:c r="AM157" s="49"/>
      <x:c r="AN157" s="49"/>
      <x:c r="AO157" s="49"/>
      <x:c r="AP157" s="49"/>
      <x:c r="AQ157" s="49"/>
      <x:c r="AR157" s="49"/>
      <x:c r="AS157" s="49"/>
      <x:c r="AT157" s="49"/>
      <x:c r="AU157" s="49"/>
      <x:c r="AV157" s="49"/>
      <x:c r="AW157" s="49"/>
      <x:c r="AX157" s="49"/>
      <x:c r="AY157" s="49"/>
      <x:c r="AZ157" s="49"/>
    </x:row>
    <x:row r="158">
      <x:c r="A158" s="49"/>
      <x:c r="B158" s="49"/>
      <x:c r="C158" s="49"/>
      <x:c r="D158" s="49"/>
      <x:c r="E158" s="49"/>
      <x:c r="F158" s="49"/>
      <x:c r="G158" s="49"/>
      <x:c r="H158" s="49"/>
      <x:c r="I158" s="49"/>
      <x:c r="J158" s="49"/>
      <x:c r="K158" s="49"/>
      <x:c r="L158" s="49"/>
      <x:c r="M158" s="49"/>
      <x:c r="N158" s="49"/>
      <x:c r="O158" s="49"/>
      <x:c r="P158" s="49"/>
      <x:c r="Q158" s="49"/>
      <x:c r="R158" s="49"/>
      <x:c r="S158" s="49"/>
      <x:c r="T158" s="49"/>
      <x:c r="U158" s="49"/>
      <x:c r="V158" s="49"/>
      <x:c r="W158" s="49"/>
      <x:c r="X158" s="49"/>
      <x:c r="Y158" s="49"/>
      <x:c r="Z158" s="49"/>
      <x:c r="AA158" s="49"/>
      <x:c r="AB158" s="49"/>
      <x:c r="AC158" s="49"/>
      <x:c r="AD158" s="49"/>
      <x:c r="AE158" s="49"/>
      <x:c r="AF158" s="49"/>
      <x:c r="AG158" s="49"/>
      <x:c r="AH158" s="49"/>
      <x:c r="AI158" s="49"/>
      <x:c r="AJ158" s="49"/>
      <x:c r="AK158" s="49"/>
      <x:c r="AL158" s="49"/>
      <x:c r="AM158" s="49"/>
      <x:c r="AN158" s="49"/>
      <x:c r="AO158" s="49"/>
      <x:c r="AP158" s="49"/>
      <x:c r="AQ158" s="49"/>
      <x:c r="AR158" s="49"/>
      <x:c r="AS158" s="49"/>
      <x:c r="AT158" s="49"/>
      <x:c r="AU158" s="49"/>
      <x:c r="AV158" s="49"/>
      <x:c r="AW158" s="49"/>
      <x:c r="AX158" s="49"/>
      <x:c r="AY158" s="49"/>
      <x:c r="AZ158" s="49"/>
    </x:row>
    <x:row r="159">
      <x:c r="A159" s="49"/>
      <x:c r="B159" s="49"/>
      <x:c r="C159" s="49"/>
      <x:c r="D159" s="49"/>
      <x:c r="E159" s="49"/>
      <x:c r="F159" s="49"/>
      <x:c r="G159" s="49"/>
      <x:c r="H159" s="49"/>
      <x:c r="I159" s="49"/>
      <x:c r="J159" s="49"/>
      <x:c r="K159" s="49"/>
      <x:c r="L159" s="49"/>
      <x:c r="M159" s="49"/>
      <x:c r="N159" s="49"/>
      <x:c r="O159" s="49"/>
      <x:c r="P159" s="49"/>
      <x:c r="Q159" s="49"/>
      <x:c r="R159" s="49"/>
      <x:c r="S159" s="49"/>
      <x:c r="T159" s="49"/>
      <x:c r="U159" s="49"/>
      <x:c r="V159" s="49"/>
      <x:c r="W159" s="49"/>
      <x:c r="X159" s="49"/>
      <x:c r="Y159" s="49"/>
      <x:c r="Z159" s="49"/>
      <x:c r="AA159" s="49"/>
      <x:c r="AB159" s="49"/>
      <x:c r="AC159" s="49"/>
      <x:c r="AD159" s="49"/>
      <x:c r="AE159" s="49"/>
      <x:c r="AF159" s="49"/>
      <x:c r="AG159" s="49"/>
      <x:c r="AH159" s="49"/>
      <x:c r="AI159" s="49"/>
      <x:c r="AJ159" s="49"/>
      <x:c r="AK159" s="49"/>
      <x:c r="AL159" s="49"/>
      <x:c r="AM159" s="49"/>
      <x:c r="AN159" s="49"/>
      <x:c r="AO159" s="49"/>
      <x:c r="AP159" s="49"/>
      <x:c r="AQ159" s="49"/>
      <x:c r="AR159" s="49"/>
      <x:c r="AS159" s="49"/>
      <x:c r="AT159" s="49"/>
      <x:c r="AU159" s="49"/>
      <x:c r="AV159" s="49"/>
      <x:c r="AW159" s="49"/>
      <x:c r="AX159" s="49"/>
      <x:c r="AY159" s="49"/>
      <x:c r="AZ159" s="49"/>
    </x:row>
    <x:row r="160">
      <x:c r="A160" s="49"/>
      <x:c r="B160" s="49"/>
      <x:c r="C160" s="49"/>
      <x:c r="D160" s="49"/>
      <x:c r="E160" s="49"/>
      <x:c r="F160" s="49"/>
      <x:c r="G160" s="49"/>
      <x:c r="H160" s="49"/>
      <x:c r="I160" s="49"/>
      <x:c r="J160" s="49"/>
      <x:c r="K160" s="49"/>
      <x:c r="L160" s="49"/>
      <x:c r="M160" s="49"/>
      <x:c r="N160" s="49"/>
      <x:c r="O160" s="49"/>
      <x:c r="P160" s="49"/>
      <x:c r="Q160" s="49"/>
      <x:c r="R160" s="49"/>
      <x:c r="S160" s="49"/>
      <x:c r="T160" s="49"/>
      <x:c r="U160" s="49"/>
      <x:c r="V160" s="49"/>
      <x:c r="W160" s="49"/>
      <x:c r="X160" s="49"/>
      <x:c r="Y160" s="49"/>
      <x:c r="Z160" s="49"/>
      <x:c r="AA160" s="49"/>
      <x:c r="AB160" s="49"/>
      <x:c r="AC160" s="49"/>
      <x:c r="AD160" s="49"/>
      <x:c r="AE160" s="49"/>
      <x:c r="AF160" s="49"/>
      <x:c r="AG160" s="49"/>
      <x:c r="AH160" s="49"/>
      <x:c r="AI160" s="49"/>
      <x:c r="AJ160" s="49"/>
      <x:c r="AK160" s="49"/>
      <x:c r="AL160" s="49"/>
      <x:c r="AM160" s="49"/>
      <x:c r="AN160" s="49"/>
      <x:c r="AO160" s="49"/>
      <x:c r="AP160" s="49"/>
      <x:c r="AQ160" s="49"/>
      <x:c r="AR160" s="49"/>
      <x:c r="AS160" s="49"/>
      <x:c r="AT160" s="49"/>
      <x:c r="AU160" s="49"/>
      <x:c r="AV160" s="49"/>
      <x:c r="AW160" s="49"/>
      <x:c r="AX160" s="49"/>
      <x:c r="AY160" s="49"/>
      <x:c r="AZ160" s="49"/>
    </x:row>
    <x:row r="161">
      <x:c r="A161" s="49"/>
      <x:c r="B161" s="49"/>
      <x:c r="C161" s="49"/>
      <x:c r="D161" s="49"/>
      <x:c r="E161" s="49"/>
      <x:c r="F161" s="49"/>
      <x:c r="G161" s="49"/>
      <x:c r="H161" s="49"/>
      <x:c r="I161" s="49"/>
      <x:c r="J161" s="49"/>
      <x:c r="K161" s="49"/>
      <x:c r="L161" s="49"/>
      <x:c r="M161" s="49"/>
      <x:c r="N161" s="49"/>
      <x:c r="O161" s="49"/>
      <x:c r="P161" s="49"/>
      <x:c r="Q161" s="49"/>
      <x:c r="R161" s="49"/>
      <x:c r="S161" s="49"/>
      <x:c r="T161" s="49"/>
      <x:c r="U161" s="49"/>
      <x:c r="V161" s="49"/>
      <x:c r="W161" s="49"/>
      <x:c r="X161" s="49"/>
      <x:c r="Y161" s="49"/>
      <x:c r="Z161" s="49"/>
      <x:c r="AA161" s="49"/>
      <x:c r="AB161" s="49"/>
      <x:c r="AC161" s="49"/>
      <x:c r="AD161" s="49"/>
      <x:c r="AE161" s="49"/>
      <x:c r="AF161" s="49"/>
      <x:c r="AG161" s="49"/>
      <x:c r="AH161" s="49"/>
      <x:c r="AI161" s="49"/>
      <x:c r="AJ161" s="49"/>
      <x:c r="AK161" s="49"/>
      <x:c r="AL161" s="49"/>
      <x:c r="AM161" s="49"/>
      <x:c r="AN161" s="49"/>
      <x:c r="AO161" s="49"/>
      <x:c r="AP161" s="49"/>
      <x:c r="AQ161" s="49"/>
      <x:c r="AR161" s="49"/>
      <x:c r="AS161" s="49"/>
      <x:c r="AT161" s="49"/>
      <x:c r="AU161" s="49"/>
      <x:c r="AV161" s="49"/>
      <x:c r="AW161" s="49"/>
      <x:c r="AX161" s="49"/>
      <x:c r="AY161" s="49"/>
      <x:c r="AZ161" s="49"/>
    </x:row>
    <x:row r="162">
      <x:c r="A162" s="49"/>
      <x:c r="B162" s="49"/>
      <x:c r="C162" s="49"/>
      <x:c r="D162" s="49"/>
      <x:c r="E162" s="49"/>
      <x:c r="F162" s="49"/>
      <x:c r="G162" s="49"/>
      <x:c r="H162" s="49"/>
      <x:c r="I162" s="49"/>
      <x:c r="J162" s="49"/>
      <x:c r="K162" s="49"/>
      <x:c r="L162" s="49"/>
      <x:c r="M162" s="49"/>
      <x:c r="N162" s="49"/>
      <x:c r="O162" s="49"/>
      <x:c r="P162" s="49"/>
      <x:c r="Q162" s="49"/>
      <x:c r="R162" s="49"/>
      <x:c r="S162" s="49"/>
      <x:c r="T162" s="49"/>
      <x:c r="U162" s="49"/>
      <x:c r="V162" s="49"/>
      <x:c r="W162" s="49"/>
      <x:c r="X162" s="49"/>
      <x:c r="Y162" s="49"/>
      <x:c r="Z162" s="49"/>
      <x:c r="AA162" s="49"/>
      <x:c r="AB162" s="49"/>
      <x:c r="AC162" s="49"/>
      <x:c r="AD162" s="49"/>
      <x:c r="AE162" s="49"/>
      <x:c r="AF162" s="49"/>
      <x:c r="AG162" s="49"/>
      <x:c r="AH162" s="49"/>
      <x:c r="AI162" s="49"/>
      <x:c r="AJ162" s="49"/>
      <x:c r="AK162" s="49"/>
      <x:c r="AL162" s="49"/>
      <x:c r="AM162" s="49"/>
      <x:c r="AN162" s="49"/>
      <x:c r="AO162" s="49"/>
      <x:c r="AP162" s="49"/>
      <x:c r="AQ162" s="49"/>
      <x:c r="AR162" s="49"/>
      <x:c r="AS162" s="49"/>
      <x:c r="AT162" s="49"/>
      <x:c r="AU162" s="49"/>
      <x:c r="AV162" s="49"/>
      <x:c r="AW162" s="49"/>
      <x:c r="AX162" s="49"/>
      <x:c r="AY162" s="49"/>
      <x:c r="AZ162" s="49"/>
    </x:row>
    <x:row r="163">
      <x:c r="A163" s="49"/>
      <x:c r="B163" s="49"/>
      <x:c r="C163" s="49"/>
      <x:c r="D163" s="49"/>
      <x:c r="E163" s="49"/>
      <x:c r="F163" s="49"/>
      <x:c r="G163" s="49"/>
      <x:c r="H163" s="49"/>
      <x:c r="I163" s="49"/>
      <x:c r="J163" s="49"/>
      <x:c r="K163" s="49"/>
      <x:c r="L163" s="49"/>
      <x:c r="M163" s="49"/>
      <x:c r="N163" s="49"/>
      <x:c r="O163" s="49"/>
      <x:c r="P163" s="49"/>
      <x:c r="Q163" s="49"/>
      <x:c r="R163" s="49"/>
      <x:c r="S163" s="49"/>
      <x:c r="T163" s="49"/>
      <x:c r="U163" s="49"/>
      <x:c r="V163" s="49"/>
      <x:c r="W163" s="49"/>
      <x:c r="X163" s="49"/>
      <x:c r="Y163" s="49"/>
      <x:c r="Z163" s="49"/>
      <x:c r="AA163" s="49"/>
      <x:c r="AB163" s="49"/>
      <x:c r="AC163" s="49"/>
      <x:c r="AD163" s="49"/>
      <x:c r="AE163" s="49"/>
      <x:c r="AF163" s="49"/>
      <x:c r="AG163" s="49"/>
      <x:c r="AH163" s="49"/>
      <x:c r="AI163" s="49"/>
      <x:c r="AJ163" s="49"/>
      <x:c r="AK163" s="49"/>
      <x:c r="AL163" s="49"/>
      <x:c r="AM163" s="49"/>
      <x:c r="AN163" s="49"/>
      <x:c r="AO163" s="49"/>
      <x:c r="AP163" s="49"/>
      <x:c r="AQ163" s="49"/>
      <x:c r="AR163" s="49"/>
      <x:c r="AS163" s="49"/>
      <x:c r="AT163" s="49"/>
      <x:c r="AU163" s="49"/>
      <x:c r="AV163" s="49"/>
      <x:c r="AW163" s="49"/>
      <x:c r="AX163" s="49"/>
      <x:c r="AY163" s="49"/>
      <x:c r="AZ163" s="49"/>
    </x:row>
    <x:row r="164">
      <x:c r="A164" s="49"/>
      <x:c r="B164" s="49"/>
      <x:c r="C164" s="49"/>
      <x:c r="D164" s="49"/>
      <x:c r="E164" s="49"/>
      <x:c r="F164" s="49"/>
      <x:c r="G164" s="49"/>
      <x:c r="H164" s="49"/>
      <x:c r="I164" s="49"/>
      <x:c r="J164" s="49"/>
      <x:c r="K164" s="49"/>
      <x:c r="L164" s="49"/>
      <x:c r="M164" s="49"/>
      <x:c r="N164" s="49"/>
      <x:c r="O164" s="49"/>
      <x:c r="P164" s="49"/>
      <x:c r="Q164" s="49"/>
      <x:c r="R164" s="49"/>
      <x:c r="S164" s="49"/>
      <x:c r="T164" s="49"/>
      <x:c r="U164" s="49"/>
      <x:c r="V164" s="49"/>
      <x:c r="W164" s="49"/>
      <x:c r="X164" s="49"/>
      <x:c r="Y164" s="49"/>
      <x:c r="Z164" s="49"/>
      <x:c r="AA164" s="49"/>
      <x:c r="AB164" s="49"/>
      <x:c r="AC164" s="49"/>
      <x:c r="AD164" s="49"/>
      <x:c r="AE164" s="49"/>
      <x:c r="AF164" s="49"/>
      <x:c r="AG164" s="49"/>
      <x:c r="AH164" s="49"/>
      <x:c r="AI164" s="49"/>
      <x:c r="AJ164" s="49"/>
      <x:c r="AK164" s="49"/>
      <x:c r="AL164" s="49"/>
      <x:c r="AM164" s="49"/>
      <x:c r="AN164" s="49"/>
      <x:c r="AO164" s="49"/>
      <x:c r="AP164" s="49"/>
      <x:c r="AQ164" s="49"/>
      <x:c r="AR164" s="49"/>
      <x:c r="AS164" s="49"/>
      <x:c r="AT164" s="49"/>
      <x:c r="AU164" s="49"/>
      <x:c r="AV164" s="49"/>
      <x:c r="AW164" s="49"/>
      <x:c r="AX164" s="49"/>
      <x:c r="AY164" s="49"/>
      <x:c r="AZ164" s="49"/>
    </x:row>
    <x:row r="165">
      <x:c r="A165" s="49"/>
      <x:c r="B165" s="49"/>
      <x:c r="C165" s="49"/>
      <x:c r="D165" s="49"/>
      <x:c r="E165" s="49"/>
      <x:c r="F165" s="49"/>
      <x:c r="G165" s="49"/>
      <x:c r="H165" s="49"/>
      <x:c r="I165" s="49"/>
      <x:c r="J165" s="49"/>
      <x:c r="K165" s="49"/>
      <x:c r="L165" s="49"/>
      <x:c r="M165" s="49"/>
      <x:c r="N165" s="49"/>
      <x:c r="O165" s="49"/>
      <x:c r="P165" s="49"/>
      <x:c r="Q165" s="49"/>
      <x:c r="R165" s="49"/>
      <x:c r="S165" s="49"/>
      <x:c r="T165" s="49"/>
      <x:c r="U165" s="49"/>
      <x:c r="V165" s="49"/>
      <x:c r="W165" s="49"/>
      <x:c r="X165" s="49"/>
      <x:c r="Y165" s="49"/>
      <x:c r="Z165" s="49"/>
      <x:c r="AA165" s="49"/>
      <x:c r="AB165" s="49"/>
      <x:c r="AC165" s="49"/>
      <x:c r="AD165" s="49"/>
      <x:c r="AE165" s="49"/>
      <x:c r="AF165" s="49"/>
      <x:c r="AG165" s="49"/>
      <x:c r="AH165" s="49"/>
      <x:c r="AI165" s="49"/>
      <x:c r="AJ165" s="49"/>
      <x:c r="AK165" s="49"/>
      <x:c r="AL165" s="49"/>
      <x:c r="AM165" s="49"/>
      <x:c r="AN165" s="49"/>
      <x:c r="AO165" s="49"/>
      <x:c r="AP165" s="49"/>
      <x:c r="AQ165" s="49"/>
      <x:c r="AR165" s="49"/>
      <x:c r="AS165" s="49"/>
      <x:c r="AT165" s="49"/>
      <x:c r="AU165" s="49"/>
      <x:c r="AV165" s="49"/>
      <x:c r="AW165" s="49"/>
      <x:c r="AX165" s="49"/>
      <x:c r="AY165" s="49"/>
      <x:c r="AZ165" s="49"/>
    </x:row>
    <x:row r="166">
      <x:c r="A166" s="49"/>
      <x:c r="B166" s="49"/>
      <x:c r="C166" s="49"/>
      <x:c r="D166" s="49"/>
      <x:c r="E166" s="49"/>
      <x:c r="F166" s="49"/>
      <x:c r="G166" s="49"/>
      <x:c r="H166" s="49"/>
      <x:c r="I166" s="49"/>
      <x:c r="J166" s="49"/>
      <x:c r="K166" s="49"/>
      <x:c r="L166" s="49"/>
      <x:c r="M166" s="49"/>
      <x:c r="N166" s="49"/>
      <x:c r="O166" s="49"/>
      <x:c r="P166" s="49"/>
      <x:c r="Q166" s="49"/>
      <x:c r="R166" s="49"/>
      <x:c r="S166" s="49"/>
      <x:c r="T166" s="49"/>
      <x:c r="U166" s="49"/>
      <x:c r="V166" s="49"/>
      <x:c r="W166" s="49"/>
      <x:c r="X166" s="49"/>
      <x:c r="Y166" s="49"/>
      <x:c r="Z166" s="49"/>
      <x:c r="AA166" s="49"/>
      <x:c r="AB166" s="49"/>
      <x:c r="AC166" s="49"/>
      <x:c r="AD166" s="49"/>
      <x:c r="AE166" s="49"/>
      <x:c r="AF166" s="49"/>
      <x:c r="AG166" s="49"/>
      <x:c r="AH166" s="49"/>
      <x:c r="AI166" s="49"/>
      <x:c r="AJ166" s="49"/>
      <x:c r="AK166" s="49"/>
      <x:c r="AL166" s="49"/>
      <x:c r="AM166" s="49"/>
      <x:c r="AN166" s="49"/>
      <x:c r="AO166" s="49"/>
      <x:c r="AP166" s="49"/>
      <x:c r="AQ166" s="49"/>
      <x:c r="AR166" s="49"/>
      <x:c r="AS166" s="49"/>
      <x:c r="AT166" s="49"/>
      <x:c r="AU166" s="49"/>
      <x:c r="AV166" s="49"/>
      <x:c r="AW166" s="49"/>
      <x:c r="AX166" s="49"/>
      <x:c r="AY166" s="49"/>
      <x:c r="AZ166" s="49"/>
    </x:row>
    <x:row r="167">
      <x:c r="A167" s="49"/>
      <x:c r="B167" s="49"/>
      <x:c r="C167" s="49"/>
      <x:c r="D167" s="49"/>
      <x:c r="E167" s="49"/>
      <x:c r="F167" s="49"/>
      <x:c r="G167" s="49"/>
      <x:c r="H167" s="49"/>
      <x:c r="I167" s="49"/>
      <x:c r="J167" s="49"/>
      <x:c r="K167" s="49"/>
      <x:c r="L167" s="49"/>
      <x:c r="M167" s="49"/>
      <x:c r="N167" s="49"/>
      <x:c r="O167" s="49"/>
      <x:c r="P167" s="49"/>
      <x:c r="Q167" s="49"/>
      <x:c r="R167" s="49"/>
      <x:c r="S167" s="49"/>
      <x:c r="T167" s="49"/>
      <x:c r="U167" s="49"/>
      <x:c r="V167" s="49"/>
      <x:c r="W167" s="49"/>
      <x:c r="X167" s="49"/>
      <x:c r="Y167" s="49"/>
      <x:c r="Z167" s="49"/>
      <x:c r="AA167" s="49"/>
      <x:c r="AB167" s="49"/>
      <x:c r="AC167" s="49"/>
      <x:c r="AD167" s="49"/>
      <x:c r="AE167" s="49"/>
      <x:c r="AF167" s="49"/>
      <x:c r="AG167" s="49"/>
      <x:c r="AH167" s="49"/>
      <x:c r="AI167" s="49"/>
      <x:c r="AJ167" s="49"/>
      <x:c r="AK167" s="49"/>
      <x:c r="AL167" s="49"/>
      <x:c r="AM167" s="49"/>
      <x:c r="AN167" s="49"/>
      <x:c r="AO167" s="49"/>
      <x:c r="AP167" s="49"/>
      <x:c r="AQ167" s="49"/>
      <x:c r="AR167" s="49"/>
      <x:c r="AS167" s="49"/>
      <x:c r="AT167" s="49"/>
      <x:c r="AU167" s="49"/>
      <x:c r="AV167" s="49"/>
      <x:c r="AW167" s="49"/>
      <x:c r="AX167" s="49"/>
      <x:c r="AY167" s="49"/>
      <x:c r="AZ167" s="49"/>
    </x:row>
    <x:row r="168">
      <x:c r="A168" s="49"/>
      <x:c r="B168" s="49"/>
      <x:c r="C168" s="49"/>
      <x:c r="D168" s="49"/>
      <x:c r="E168" s="49"/>
      <x:c r="F168" s="49"/>
      <x:c r="G168" s="49"/>
      <x:c r="H168" s="49"/>
      <x:c r="I168" s="49"/>
      <x:c r="J168" s="49"/>
      <x:c r="K168" s="49"/>
      <x:c r="L168" s="49"/>
      <x:c r="M168" s="49"/>
      <x:c r="N168" s="49"/>
      <x:c r="O168" s="49"/>
      <x:c r="P168" s="49"/>
      <x:c r="Q168" s="49"/>
      <x:c r="R168" s="49"/>
      <x:c r="S168" s="49"/>
      <x:c r="T168" s="49"/>
      <x:c r="U168" s="49"/>
      <x:c r="V168" s="49"/>
      <x:c r="W168" s="49"/>
      <x:c r="X168" s="49"/>
      <x:c r="Y168" s="49"/>
      <x:c r="Z168" s="49"/>
      <x:c r="AA168" s="49"/>
      <x:c r="AB168" s="49"/>
      <x:c r="AC168" s="49"/>
      <x:c r="AD168" s="49"/>
      <x:c r="AE168" s="49"/>
      <x:c r="AF168" s="49"/>
      <x:c r="AG168" s="49"/>
      <x:c r="AH168" s="49"/>
      <x:c r="AI168" s="49"/>
      <x:c r="AJ168" s="49"/>
      <x:c r="AK168" s="49"/>
      <x:c r="AL168" s="49"/>
      <x:c r="AM168" s="49"/>
      <x:c r="AN168" s="49"/>
      <x:c r="AO168" s="49"/>
      <x:c r="AP168" s="49"/>
      <x:c r="AQ168" s="49"/>
      <x:c r="AR168" s="49"/>
      <x:c r="AS168" s="49"/>
      <x:c r="AT168" s="49"/>
      <x:c r="AU168" s="49"/>
      <x:c r="AV168" s="49"/>
      <x:c r="AW168" s="49"/>
      <x:c r="AX168" s="49"/>
      <x:c r="AY168" s="49"/>
      <x:c r="AZ168" s="49"/>
    </x:row>
    <x:row r="169">
      <x:c r="A169" s="49"/>
      <x:c r="B169" s="49"/>
      <x:c r="C169" s="49"/>
      <x:c r="D169" s="49"/>
      <x:c r="E169" s="49"/>
      <x:c r="F169" s="49"/>
      <x:c r="G169" s="49"/>
      <x:c r="H169" s="49"/>
      <x:c r="I169" s="49"/>
      <x:c r="J169" s="49"/>
      <x:c r="K169" s="49"/>
      <x:c r="L169" s="49"/>
      <x:c r="M169" s="49"/>
      <x:c r="N169" s="49"/>
      <x:c r="O169" s="49"/>
      <x:c r="P169" s="49"/>
      <x:c r="Q169" s="49"/>
      <x:c r="R169" s="49"/>
      <x:c r="S169" s="49"/>
      <x:c r="T169" s="49"/>
      <x:c r="U169" s="49"/>
      <x:c r="V169" s="49"/>
      <x:c r="W169" s="49"/>
      <x:c r="X169" s="49"/>
      <x:c r="Y169" s="49"/>
      <x:c r="Z169" s="49"/>
      <x:c r="AA169" s="49"/>
      <x:c r="AB169" s="49"/>
      <x:c r="AC169" s="49"/>
      <x:c r="AD169" s="49"/>
      <x:c r="AE169" s="49"/>
      <x:c r="AF169" s="49"/>
      <x:c r="AG169" s="49"/>
      <x:c r="AH169" s="49"/>
      <x:c r="AI169" s="49"/>
      <x:c r="AJ169" s="49"/>
      <x:c r="AK169" s="49"/>
      <x:c r="AL169" s="49"/>
      <x:c r="AM169" s="49"/>
      <x:c r="AN169" s="49"/>
      <x:c r="AO169" s="49"/>
      <x:c r="AP169" s="49"/>
      <x:c r="AQ169" s="49"/>
      <x:c r="AR169" s="49"/>
      <x:c r="AS169" s="49"/>
      <x:c r="AT169" s="49"/>
      <x:c r="AU169" s="49"/>
      <x:c r="AV169" s="49"/>
      <x:c r="AW169" s="49"/>
      <x:c r="AX169" s="49"/>
      <x:c r="AY169" s="49"/>
      <x:c r="AZ169" s="49"/>
    </x:row>
    <x:row r="170">
      <x:c r="A170" s="49"/>
      <x:c r="B170" s="49"/>
      <x:c r="C170" s="49"/>
      <x:c r="D170" s="49"/>
      <x:c r="E170" s="49"/>
      <x:c r="F170" s="49"/>
      <x:c r="G170" s="49"/>
      <x:c r="H170" s="49"/>
      <x:c r="I170" s="49"/>
      <x:c r="J170" s="49"/>
      <x:c r="K170" s="49"/>
      <x:c r="L170" s="49"/>
      <x:c r="M170" s="49"/>
      <x:c r="N170" s="49"/>
      <x:c r="O170" s="49"/>
      <x:c r="P170" s="49"/>
      <x:c r="Q170" s="49"/>
      <x:c r="R170" s="49"/>
      <x:c r="S170" s="49"/>
      <x:c r="T170" s="49"/>
      <x:c r="U170" s="49"/>
      <x:c r="V170" s="49"/>
      <x:c r="W170" s="49"/>
      <x:c r="X170" s="49"/>
      <x:c r="Y170" s="49"/>
      <x:c r="Z170" s="49"/>
      <x:c r="AA170" s="49"/>
      <x:c r="AB170" s="49"/>
      <x:c r="AC170" s="49"/>
      <x:c r="AD170" s="49"/>
      <x:c r="AE170" s="49"/>
      <x:c r="AF170" s="49"/>
      <x:c r="AG170" s="49"/>
      <x:c r="AH170" s="49"/>
      <x:c r="AI170" s="49"/>
      <x:c r="AJ170" s="49"/>
      <x:c r="AK170" s="49"/>
      <x:c r="AL170" s="49"/>
      <x:c r="AM170" s="49"/>
      <x:c r="AN170" s="49"/>
      <x:c r="AO170" s="49"/>
      <x:c r="AP170" s="49"/>
      <x:c r="AQ170" s="49"/>
      <x:c r="AR170" s="49"/>
      <x:c r="AS170" s="49"/>
      <x:c r="AT170" s="49"/>
      <x:c r="AU170" s="49"/>
      <x:c r="AV170" s="49"/>
      <x:c r="AW170" s="49"/>
      <x:c r="AX170" s="49"/>
      <x:c r="AY170" s="49"/>
      <x:c r="AZ170" s="49"/>
    </x:row>
    <x:row r="171">
      <x:c r="A171" s="49"/>
      <x:c r="B171" s="49"/>
      <x:c r="C171" s="49"/>
      <x:c r="D171" s="49"/>
      <x:c r="E171" s="49"/>
      <x:c r="F171" s="49"/>
      <x:c r="G171" s="49"/>
      <x:c r="H171" s="49"/>
      <x:c r="I171" s="49"/>
      <x:c r="J171" s="49"/>
      <x:c r="K171" s="49"/>
      <x:c r="L171" s="49"/>
      <x:c r="M171" s="49"/>
      <x:c r="N171" s="49"/>
      <x:c r="O171" s="49"/>
      <x:c r="P171" s="49"/>
      <x:c r="Q171" s="49"/>
      <x:c r="R171" s="49"/>
      <x:c r="S171" s="49"/>
      <x:c r="T171" s="49"/>
      <x:c r="U171" s="49"/>
      <x:c r="V171" s="49"/>
      <x:c r="W171" s="49"/>
      <x:c r="X171" s="49"/>
      <x:c r="Y171" s="49"/>
      <x:c r="Z171" s="49"/>
      <x:c r="AA171" s="49"/>
      <x:c r="AB171" s="49"/>
      <x:c r="AC171" s="49"/>
      <x:c r="AD171" s="49"/>
      <x:c r="AE171" s="49"/>
      <x:c r="AF171" s="49"/>
      <x:c r="AG171" s="49"/>
      <x:c r="AH171" s="49"/>
      <x:c r="AI171" s="49"/>
      <x:c r="AJ171" s="49"/>
      <x:c r="AK171" s="49"/>
      <x:c r="AL171" s="49"/>
      <x:c r="AM171" s="49"/>
      <x:c r="AN171" s="49"/>
      <x:c r="AO171" s="49"/>
      <x:c r="AP171" s="49"/>
      <x:c r="AQ171" s="49"/>
      <x:c r="AR171" s="49"/>
      <x:c r="AS171" s="49"/>
      <x:c r="AT171" s="49"/>
      <x:c r="AU171" s="49"/>
      <x:c r="AV171" s="49"/>
      <x:c r="AW171" s="49"/>
      <x:c r="AX171" s="49"/>
      <x:c r="AY171" s="49"/>
      <x:c r="AZ171" s="49"/>
    </x:row>
    <x:row r="172">
      <x:c r="A172" s="49"/>
      <x:c r="B172" s="49"/>
      <x:c r="C172" s="49"/>
      <x:c r="D172" s="49"/>
      <x:c r="E172" s="49"/>
      <x:c r="F172" s="49"/>
      <x:c r="G172" s="49"/>
      <x:c r="H172" s="49"/>
      <x:c r="I172" s="49"/>
      <x:c r="J172" s="49"/>
      <x:c r="K172" s="49"/>
      <x:c r="L172" s="49"/>
      <x:c r="M172" s="49"/>
      <x:c r="N172" s="49"/>
      <x:c r="O172" s="49"/>
      <x:c r="P172" s="49"/>
      <x:c r="Q172" s="49"/>
      <x:c r="R172" s="49"/>
      <x:c r="S172" s="49"/>
      <x:c r="T172" s="49"/>
      <x:c r="U172" s="49"/>
      <x:c r="V172" s="49"/>
      <x:c r="W172" s="49"/>
      <x:c r="X172" s="49"/>
      <x:c r="Y172" s="49"/>
      <x:c r="Z172" s="49"/>
      <x:c r="AA172" s="49"/>
      <x:c r="AB172" s="49"/>
      <x:c r="AC172" s="49"/>
      <x:c r="AD172" s="49"/>
      <x:c r="AE172" s="49"/>
      <x:c r="AF172" s="49"/>
      <x:c r="AG172" s="49"/>
      <x:c r="AH172" s="49"/>
      <x:c r="AI172" s="49"/>
      <x:c r="AJ172" s="49"/>
      <x:c r="AK172" s="49"/>
      <x:c r="AL172" s="49"/>
      <x:c r="AM172" s="49"/>
      <x:c r="AN172" s="49"/>
      <x:c r="AO172" s="49"/>
      <x:c r="AP172" s="49"/>
      <x:c r="AQ172" s="49"/>
      <x:c r="AR172" s="49"/>
      <x:c r="AS172" s="49"/>
      <x:c r="AT172" s="49"/>
      <x:c r="AU172" s="49"/>
      <x:c r="AV172" s="49"/>
      <x:c r="AW172" s="49"/>
      <x:c r="AX172" s="49"/>
      <x:c r="AY172" s="49"/>
      <x:c r="AZ172" s="49"/>
    </x:row>
    <x:row r="173">
      <x:c r="A173" s="49"/>
      <x:c r="B173" s="49"/>
      <x:c r="C173" s="49"/>
      <x:c r="D173" s="49"/>
      <x:c r="E173" s="49"/>
      <x:c r="F173" s="49"/>
      <x:c r="G173" s="49"/>
      <x:c r="H173" s="49"/>
      <x:c r="I173" s="49"/>
      <x:c r="J173" s="49"/>
      <x:c r="K173" s="49"/>
      <x:c r="L173" s="49"/>
      <x:c r="M173" s="49"/>
      <x:c r="N173" s="49"/>
      <x:c r="O173" s="49"/>
      <x:c r="P173" s="49"/>
      <x:c r="Q173" s="49"/>
      <x:c r="R173" s="49"/>
      <x:c r="S173" s="49"/>
      <x:c r="T173" s="49"/>
      <x:c r="U173" s="49"/>
      <x:c r="V173" s="49"/>
      <x:c r="W173" s="49"/>
      <x:c r="X173" s="49"/>
      <x:c r="Y173" s="49"/>
      <x:c r="Z173" s="49"/>
      <x:c r="AA173" s="49"/>
      <x:c r="AB173" s="49"/>
      <x:c r="AC173" s="49"/>
      <x:c r="AD173" s="49"/>
      <x:c r="AE173" s="49"/>
      <x:c r="AF173" s="49"/>
      <x:c r="AG173" s="49"/>
      <x:c r="AH173" s="49"/>
      <x:c r="AI173" s="49"/>
      <x:c r="AJ173" s="49"/>
      <x:c r="AK173" s="49"/>
      <x:c r="AL173" s="49"/>
      <x:c r="AM173" s="49"/>
      <x:c r="AN173" s="49"/>
      <x:c r="AO173" s="49"/>
      <x:c r="AP173" s="49"/>
      <x:c r="AQ173" s="49"/>
      <x:c r="AR173" s="49"/>
      <x:c r="AS173" s="49"/>
      <x:c r="AT173" s="49"/>
      <x:c r="AU173" s="49"/>
      <x:c r="AV173" s="49"/>
      <x:c r="AW173" s="49"/>
      <x:c r="AX173" s="49"/>
      <x:c r="AY173" s="49"/>
      <x:c r="AZ173" s="49"/>
    </x:row>
    <x:row r="174">
      <x:c r="A174" s="49"/>
      <x:c r="B174" s="49"/>
      <x:c r="C174" s="49"/>
      <x:c r="D174" s="49"/>
      <x:c r="E174" s="49"/>
      <x:c r="F174" s="49"/>
      <x:c r="G174" s="49"/>
      <x:c r="H174" s="49"/>
      <x:c r="I174" s="49"/>
      <x:c r="J174" s="49"/>
      <x:c r="K174" s="49"/>
      <x:c r="L174" s="49"/>
      <x:c r="M174" s="49"/>
      <x:c r="N174" s="49"/>
      <x:c r="O174" s="49"/>
      <x:c r="P174" s="49"/>
      <x:c r="Q174" s="49"/>
      <x:c r="R174" s="49"/>
      <x:c r="S174" s="49"/>
      <x:c r="T174" s="49"/>
      <x:c r="U174" s="49"/>
      <x:c r="V174" s="49"/>
      <x:c r="W174" s="49"/>
      <x:c r="X174" s="49"/>
      <x:c r="Y174" s="49"/>
      <x:c r="Z174" s="49"/>
      <x:c r="AA174" s="49"/>
      <x:c r="AB174" s="49"/>
      <x:c r="AC174" s="49"/>
      <x:c r="AD174" s="49"/>
      <x:c r="AE174" s="49"/>
      <x:c r="AF174" s="49"/>
      <x:c r="AG174" s="49"/>
      <x:c r="AH174" s="49"/>
      <x:c r="AI174" s="49"/>
      <x:c r="AJ174" s="49"/>
      <x:c r="AK174" s="49"/>
      <x:c r="AL174" s="49"/>
      <x:c r="AM174" s="49"/>
      <x:c r="AN174" s="49"/>
      <x:c r="AO174" s="49"/>
      <x:c r="AP174" s="49"/>
      <x:c r="AQ174" s="49"/>
      <x:c r="AR174" s="49"/>
      <x:c r="AS174" s="49"/>
      <x:c r="AT174" s="49"/>
      <x:c r="AU174" s="49"/>
      <x:c r="AV174" s="49"/>
      <x:c r="AW174" s="49"/>
      <x:c r="AX174" s="49"/>
      <x:c r="AY174" s="49"/>
      <x:c r="AZ174" s="49"/>
    </x:row>
    <x:row r="175">
      <x:c r="A175" s="49"/>
      <x:c r="B175" s="49"/>
      <x:c r="C175" s="49"/>
      <x:c r="D175" s="49"/>
      <x:c r="E175" s="49"/>
      <x:c r="F175" s="49"/>
      <x:c r="G175" s="49"/>
      <x:c r="H175" s="49"/>
      <x:c r="I175" s="49"/>
      <x:c r="J175" s="49"/>
      <x:c r="K175" s="49"/>
      <x:c r="L175" s="49"/>
      <x:c r="M175" s="49"/>
      <x:c r="N175" s="49"/>
      <x:c r="O175" s="49"/>
      <x:c r="P175" s="49"/>
      <x:c r="Q175" s="49"/>
      <x:c r="R175" s="49"/>
      <x:c r="S175" s="49"/>
      <x:c r="T175" s="49"/>
      <x:c r="U175" s="49"/>
      <x:c r="V175" s="49"/>
      <x:c r="W175" s="49"/>
      <x:c r="X175" s="49"/>
      <x:c r="Y175" s="49"/>
      <x:c r="Z175" s="49"/>
      <x:c r="AA175" s="49"/>
      <x:c r="AB175" s="49"/>
      <x:c r="AC175" s="49"/>
      <x:c r="AD175" s="49"/>
      <x:c r="AE175" s="49"/>
      <x:c r="AF175" s="49"/>
      <x:c r="AG175" s="49"/>
      <x:c r="AH175" s="49"/>
      <x:c r="AI175" s="49"/>
      <x:c r="AJ175" s="49"/>
      <x:c r="AK175" s="49"/>
      <x:c r="AL175" s="49"/>
      <x:c r="AM175" s="49"/>
      <x:c r="AN175" s="49"/>
      <x:c r="AO175" s="49"/>
      <x:c r="AP175" s="49"/>
      <x:c r="AQ175" s="49"/>
      <x:c r="AR175" s="49"/>
      <x:c r="AS175" s="49"/>
      <x:c r="AT175" s="49"/>
      <x:c r="AU175" s="49"/>
      <x:c r="AV175" s="49"/>
      <x:c r="AW175" s="49"/>
      <x:c r="AX175" s="49"/>
      <x:c r="AY175" s="49"/>
      <x:c r="AZ175" s="49"/>
    </x:row>
    <x:row r="176">
      <x:c r="A176" s="49"/>
      <x:c r="B176" s="49"/>
      <x:c r="C176" s="49"/>
      <x:c r="D176" s="49"/>
      <x:c r="E176" s="49"/>
      <x:c r="F176" s="49"/>
      <x:c r="G176" s="49"/>
      <x:c r="H176" s="49"/>
      <x:c r="I176" s="49"/>
      <x:c r="J176" s="49"/>
      <x:c r="K176" s="49"/>
      <x:c r="L176" s="49"/>
      <x:c r="M176" s="49"/>
      <x:c r="N176" s="49"/>
      <x:c r="O176" s="49"/>
      <x:c r="P176" s="49"/>
      <x:c r="Q176" s="49"/>
      <x:c r="R176" s="49"/>
      <x:c r="S176" s="49"/>
      <x:c r="T176" s="49"/>
      <x:c r="U176" s="49"/>
      <x:c r="V176" s="49"/>
      <x:c r="W176" s="49"/>
      <x:c r="X176" s="49"/>
      <x:c r="Y176" s="49"/>
      <x:c r="Z176" s="49"/>
      <x:c r="AA176" s="49"/>
      <x:c r="AB176" s="49"/>
      <x:c r="AC176" s="49"/>
      <x:c r="AD176" s="49"/>
      <x:c r="AE176" s="49"/>
      <x:c r="AF176" s="49"/>
      <x:c r="AG176" s="49"/>
      <x:c r="AH176" s="49"/>
      <x:c r="AI176" s="49"/>
      <x:c r="AJ176" s="49"/>
      <x:c r="AK176" s="49"/>
      <x:c r="AL176" s="49"/>
      <x:c r="AM176" s="49"/>
      <x:c r="AN176" s="49"/>
      <x:c r="AO176" s="49"/>
      <x:c r="AP176" s="49"/>
      <x:c r="AQ176" s="49"/>
      <x:c r="AR176" s="49"/>
      <x:c r="AS176" s="49"/>
      <x:c r="AT176" s="49"/>
      <x:c r="AU176" s="49"/>
      <x:c r="AV176" s="49"/>
      <x:c r="AW176" s="49"/>
      <x:c r="AX176" s="49"/>
      <x:c r="AY176" s="49"/>
      <x:c r="AZ176" s="49"/>
    </x:row>
    <x:row r="177">
      <x:c r="A177" s="49"/>
      <x:c r="B177" s="49"/>
      <x:c r="C177" s="49"/>
      <x:c r="D177" s="49"/>
      <x:c r="E177" s="49"/>
      <x:c r="F177" s="49"/>
      <x:c r="G177" s="49"/>
      <x:c r="H177" s="49"/>
      <x:c r="I177" s="49"/>
      <x:c r="J177" s="49"/>
      <x:c r="K177" s="49"/>
      <x:c r="L177" s="49"/>
      <x:c r="M177" s="49"/>
      <x:c r="N177" s="49"/>
      <x:c r="O177" s="49"/>
      <x:c r="P177" s="49"/>
      <x:c r="Q177" s="49"/>
      <x:c r="R177" s="49"/>
      <x:c r="S177" s="49"/>
      <x:c r="T177" s="49"/>
      <x:c r="U177" s="49"/>
      <x:c r="V177" s="49"/>
      <x:c r="W177" s="49"/>
      <x:c r="X177" s="49"/>
      <x:c r="Y177" s="49"/>
      <x:c r="Z177" s="49"/>
      <x:c r="AA177" s="49"/>
      <x:c r="AB177" s="49"/>
      <x:c r="AC177" s="49"/>
      <x:c r="AD177" s="49"/>
      <x:c r="AE177" s="49"/>
      <x:c r="AF177" s="49"/>
      <x:c r="AG177" s="49"/>
      <x:c r="AH177" s="49"/>
      <x:c r="AI177" s="49"/>
      <x:c r="AJ177" s="49"/>
      <x:c r="AK177" s="49"/>
      <x:c r="AL177" s="49"/>
      <x:c r="AM177" s="49"/>
      <x:c r="AN177" s="49"/>
      <x:c r="AO177" s="49"/>
      <x:c r="AP177" s="49"/>
      <x:c r="AQ177" s="49"/>
      <x:c r="AR177" s="49"/>
      <x:c r="AS177" s="49"/>
      <x:c r="AT177" s="49"/>
      <x:c r="AU177" s="49"/>
      <x:c r="AV177" s="49"/>
      <x:c r="AW177" s="49"/>
      <x:c r="AX177" s="49"/>
      <x:c r="AY177" s="49"/>
      <x:c r="AZ177" s="49"/>
    </x:row>
    <x:row r="178">
      <x:c r="A178" s="49"/>
      <x:c r="B178" s="49"/>
      <x:c r="C178" s="49"/>
      <x:c r="D178" s="49"/>
      <x:c r="E178" s="49"/>
      <x:c r="F178" s="49"/>
      <x:c r="G178" s="49"/>
      <x:c r="H178" s="49"/>
      <x:c r="I178" s="49"/>
      <x:c r="J178" s="49"/>
      <x:c r="K178" s="49"/>
      <x:c r="L178" s="49"/>
      <x:c r="M178" s="49"/>
      <x:c r="N178" s="49"/>
      <x:c r="O178" s="49"/>
      <x:c r="P178" s="49"/>
      <x:c r="Q178" s="49"/>
      <x:c r="R178" s="49"/>
      <x:c r="S178" s="49"/>
      <x:c r="T178" s="49"/>
      <x:c r="U178" s="49"/>
      <x:c r="V178" s="49"/>
      <x:c r="W178" s="49"/>
      <x:c r="X178" s="49"/>
      <x:c r="Y178" s="49"/>
      <x:c r="Z178" s="49"/>
      <x:c r="AA178" s="49"/>
      <x:c r="AB178" s="49"/>
      <x:c r="AC178" s="49"/>
      <x:c r="AD178" s="49"/>
      <x:c r="AE178" s="49"/>
      <x:c r="AF178" s="49"/>
      <x:c r="AG178" s="49"/>
      <x:c r="AH178" s="49"/>
      <x:c r="AI178" s="49"/>
      <x:c r="AJ178" s="49"/>
      <x:c r="AK178" s="49"/>
      <x:c r="AL178" s="49"/>
      <x:c r="AM178" s="49"/>
      <x:c r="AN178" s="49"/>
      <x:c r="AO178" s="49"/>
      <x:c r="AP178" s="49"/>
      <x:c r="AQ178" s="49"/>
      <x:c r="AR178" s="49"/>
      <x:c r="AS178" s="49"/>
      <x:c r="AT178" s="49"/>
      <x:c r="AU178" s="49"/>
      <x:c r="AV178" s="49"/>
      <x:c r="AW178" s="49"/>
      <x:c r="AX178" s="49"/>
      <x:c r="AY178" s="49"/>
      <x:c r="AZ178" s="49"/>
    </x:row>
    <x:row r="179">
      <x:c r="A179" s="49"/>
      <x:c r="B179" s="49"/>
      <x:c r="C179" s="49"/>
      <x:c r="D179" s="49"/>
      <x:c r="E179" s="49"/>
      <x:c r="F179" s="49"/>
      <x:c r="G179" s="49"/>
      <x:c r="H179" s="49"/>
      <x:c r="I179" s="49"/>
      <x:c r="J179" s="49"/>
      <x:c r="K179" s="49"/>
      <x:c r="L179" s="49"/>
      <x:c r="M179" s="49"/>
      <x:c r="N179" s="49"/>
      <x:c r="O179" s="49"/>
      <x:c r="P179" s="49"/>
      <x:c r="Q179" s="49"/>
      <x:c r="R179" s="49"/>
      <x:c r="S179" s="49"/>
      <x:c r="T179" s="49"/>
      <x:c r="U179" s="49"/>
      <x:c r="V179" s="49"/>
      <x:c r="W179" s="49"/>
      <x:c r="X179" s="49"/>
      <x:c r="Y179" s="49"/>
      <x:c r="Z179" s="49"/>
      <x:c r="AA179" s="49"/>
      <x:c r="AB179" s="49"/>
      <x:c r="AC179" s="49"/>
      <x:c r="AD179" s="49"/>
      <x:c r="AE179" s="49"/>
      <x:c r="AF179" s="49"/>
      <x:c r="AG179" s="49"/>
      <x:c r="AH179" s="49"/>
      <x:c r="AI179" s="49"/>
      <x:c r="AJ179" s="49"/>
      <x:c r="AK179" s="49"/>
      <x:c r="AL179" s="49"/>
      <x:c r="AM179" s="49"/>
      <x:c r="AN179" s="49"/>
      <x:c r="AO179" s="49"/>
      <x:c r="AP179" s="49"/>
      <x:c r="AQ179" s="49"/>
      <x:c r="AR179" s="49"/>
      <x:c r="AS179" s="49"/>
      <x:c r="AT179" s="49"/>
      <x:c r="AU179" s="49"/>
      <x:c r="AV179" s="49"/>
      <x:c r="AW179" s="49"/>
      <x:c r="AX179" s="49"/>
      <x:c r="AY179" s="49"/>
      <x:c r="AZ179" s="49"/>
    </x:row>
    <x:row r="180">
      <x:c r="A180" s="49"/>
      <x:c r="B180" s="49"/>
      <x:c r="C180" s="49"/>
      <x:c r="D180" s="49"/>
      <x:c r="E180" s="49"/>
      <x:c r="F180" s="49"/>
      <x:c r="G180" s="49"/>
      <x:c r="H180" s="49"/>
      <x:c r="I180" s="49"/>
      <x:c r="J180" s="49"/>
      <x:c r="K180" s="49"/>
      <x:c r="L180" s="49"/>
      <x:c r="M180" s="49"/>
      <x:c r="N180" s="49"/>
      <x:c r="O180" s="49"/>
      <x:c r="P180" s="49"/>
      <x:c r="Q180" s="49"/>
      <x:c r="R180" s="49"/>
      <x:c r="S180" s="49"/>
      <x:c r="T180" s="49"/>
      <x:c r="U180" s="49"/>
      <x:c r="V180" s="49"/>
      <x:c r="W180" s="49"/>
      <x:c r="X180" s="49"/>
      <x:c r="Y180" s="49"/>
      <x:c r="Z180" s="49"/>
      <x:c r="AA180" s="49"/>
      <x:c r="AB180" s="49"/>
      <x:c r="AC180" s="49"/>
      <x:c r="AD180" s="49"/>
      <x:c r="AE180" s="49"/>
      <x:c r="AF180" s="49"/>
      <x:c r="AG180" s="49"/>
      <x:c r="AH180" s="49"/>
      <x:c r="AI180" s="49"/>
      <x:c r="AJ180" s="49"/>
      <x:c r="AK180" s="49"/>
      <x:c r="AL180" s="49"/>
      <x:c r="AM180" s="49"/>
      <x:c r="AN180" s="49"/>
      <x:c r="AO180" s="49"/>
      <x:c r="AP180" s="49"/>
      <x:c r="AQ180" s="49"/>
      <x:c r="AR180" s="49"/>
      <x:c r="AS180" s="49"/>
      <x:c r="AT180" s="49"/>
      <x:c r="AU180" s="49"/>
      <x:c r="AV180" s="49"/>
      <x:c r="AW180" s="49"/>
      <x:c r="AX180" s="49"/>
      <x:c r="AY180" s="49"/>
      <x:c r="AZ180" s="49"/>
    </x:row>
    <x:row r="181">
      <x:c r="A181" s="49"/>
      <x:c r="B181" s="49"/>
      <x:c r="C181" s="49"/>
      <x:c r="D181" s="49"/>
      <x:c r="E181" s="49"/>
      <x:c r="F181" s="49"/>
      <x:c r="G181" s="49"/>
      <x:c r="H181" s="49"/>
      <x:c r="I181" s="49"/>
      <x:c r="J181" s="49"/>
      <x:c r="K181" s="49"/>
      <x:c r="L181" s="49"/>
      <x:c r="M181" s="49"/>
      <x:c r="N181" s="49"/>
      <x:c r="O181" s="49"/>
      <x:c r="P181" s="49"/>
      <x:c r="Q181" s="49"/>
      <x:c r="R181" s="49"/>
      <x:c r="S181" s="49"/>
      <x:c r="T181" s="49"/>
      <x:c r="U181" s="49"/>
      <x:c r="V181" s="49"/>
      <x:c r="W181" s="49"/>
      <x:c r="X181" s="49"/>
      <x:c r="Y181" s="49"/>
      <x:c r="Z181" s="49"/>
      <x:c r="AA181" s="49"/>
      <x:c r="AB181" s="49"/>
      <x:c r="AC181" s="49"/>
      <x:c r="AD181" s="49"/>
      <x:c r="AE181" s="49"/>
      <x:c r="AF181" s="49"/>
      <x:c r="AG181" s="49"/>
      <x:c r="AH181" s="49"/>
      <x:c r="AI181" s="49"/>
      <x:c r="AJ181" s="49"/>
      <x:c r="AK181" s="49"/>
      <x:c r="AL181" s="49"/>
      <x:c r="AM181" s="49"/>
      <x:c r="AN181" s="49"/>
      <x:c r="AO181" s="49"/>
      <x:c r="AP181" s="49"/>
      <x:c r="AQ181" s="49"/>
      <x:c r="AR181" s="49"/>
      <x:c r="AS181" s="49"/>
      <x:c r="AT181" s="49"/>
      <x:c r="AU181" s="49"/>
      <x:c r="AV181" s="49"/>
      <x:c r="AW181" s="49"/>
      <x:c r="AX181" s="49"/>
      <x:c r="AY181" s="49"/>
      <x:c r="AZ181" s="49"/>
    </x:row>
    <x:row r="182">
      <x:c r="A182" s="49"/>
      <x:c r="B182" s="49"/>
      <x:c r="C182" s="49"/>
      <x:c r="D182" s="49"/>
      <x:c r="E182" s="49"/>
      <x:c r="F182" s="49"/>
      <x:c r="G182" s="49"/>
      <x:c r="H182" s="49"/>
      <x:c r="I182" s="49"/>
      <x:c r="J182" s="49"/>
      <x:c r="K182" s="49"/>
      <x:c r="L182" s="49"/>
      <x:c r="M182" s="49"/>
      <x:c r="N182" s="49"/>
      <x:c r="O182" s="49"/>
      <x:c r="P182" s="49"/>
      <x:c r="Q182" s="49"/>
      <x:c r="R182" s="49"/>
      <x:c r="S182" s="49"/>
      <x:c r="T182" s="49"/>
      <x:c r="U182" s="49"/>
      <x:c r="V182" s="49"/>
      <x:c r="W182" s="49"/>
      <x:c r="X182" s="49"/>
      <x:c r="Y182" s="49"/>
      <x:c r="Z182" s="49"/>
      <x:c r="AA182" s="49"/>
      <x:c r="AB182" s="49"/>
      <x:c r="AC182" s="49"/>
      <x:c r="AD182" s="49"/>
      <x:c r="AE182" s="49"/>
      <x:c r="AF182" s="49"/>
      <x:c r="AG182" s="49"/>
      <x:c r="AH182" s="49"/>
      <x:c r="AI182" s="49"/>
      <x:c r="AJ182" s="49"/>
      <x:c r="AK182" s="49"/>
      <x:c r="AL182" s="49"/>
      <x:c r="AM182" s="49"/>
      <x:c r="AN182" s="49"/>
      <x:c r="AO182" s="49"/>
      <x:c r="AP182" s="49"/>
      <x:c r="AQ182" s="49"/>
      <x:c r="AR182" s="49"/>
      <x:c r="AS182" s="49"/>
      <x:c r="AT182" s="49"/>
      <x:c r="AU182" s="49"/>
      <x:c r="AV182" s="49"/>
      <x:c r="AW182" s="49"/>
      <x:c r="AX182" s="49"/>
      <x:c r="AY182" s="49"/>
      <x:c r="AZ182" s="49"/>
    </x:row>
    <x:row r="183">
      <x:c r="A183" s="49"/>
      <x:c r="B183" s="49"/>
      <x:c r="C183" s="49"/>
      <x:c r="D183" s="49"/>
      <x:c r="E183" s="49"/>
      <x:c r="F183" s="49"/>
      <x:c r="G183" s="49"/>
      <x:c r="H183" s="49"/>
      <x:c r="I183" s="49"/>
      <x:c r="J183" s="49"/>
      <x:c r="K183" s="49"/>
      <x:c r="L183" s="49"/>
      <x:c r="M183" s="49"/>
      <x:c r="N183" s="49"/>
      <x:c r="O183" s="49"/>
      <x:c r="P183" s="49"/>
      <x:c r="Q183" s="49"/>
      <x:c r="R183" s="49"/>
      <x:c r="S183" s="49"/>
      <x:c r="T183" s="49"/>
      <x:c r="U183" s="49"/>
      <x:c r="V183" s="49"/>
      <x:c r="W183" s="49"/>
      <x:c r="X183" s="49"/>
      <x:c r="Y183" s="49"/>
      <x:c r="Z183" s="49"/>
      <x:c r="AA183" s="49"/>
      <x:c r="AB183" s="49"/>
      <x:c r="AC183" s="49"/>
      <x:c r="AD183" s="49"/>
      <x:c r="AE183" s="49"/>
      <x:c r="AF183" s="49"/>
      <x:c r="AG183" s="49"/>
      <x:c r="AH183" s="49"/>
      <x:c r="AI183" s="49"/>
      <x:c r="AJ183" s="49"/>
      <x:c r="AK183" s="49"/>
      <x:c r="AL183" s="49"/>
      <x:c r="AM183" s="49"/>
      <x:c r="AN183" s="49"/>
      <x:c r="AO183" s="49"/>
      <x:c r="AP183" s="49"/>
      <x:c r="AQ183" s="49"/>
      <x:c r="AR183" s="49"/>
      <x:c r="AS183" s="49"/>
      <x:c r="AT183" s="49"/>
      <x:c r="AU183" s="49"/>
      <x:c r="AV183" s="49"/>
      <x:c r="AW183" s="49"/>
      <x:c r="AX183" s="49"/>
      <x:c r="AY183" s="49"/>
      <x:c r="AZ183" s="49"/>
    </x:row>
    <x:row r="184">
      <x:c r="A184" s="49"/>
      <x:c r="B184" s="49"/>
      <x:c r="C184" s="49"/>
      <x:c r="D184" s="49"/>
      <x:c r="E184" s="49"/>
      <x:c r="F184" s="49"/>
      <x:c r="G184" s="49"/>
      <x:c r="H184" s="49"/>
      <x:c r="I184" s="49"/>
      <x:c r="J184" s="49"/>
      <x:c r="K184" s="49"/>
      <x:c r="L184" s="49"/>
      <x:c r="M184" s="49"/>
      <x:c r="N184" s="49"/>
      <x:c r="O184" s="49"/>
      <x:c r="P184" s="49"/>
      <x:c r="Q184" s="49"/>
      <x:c r="R184" s="49"/>
      <x:c r="S184" s="49"/>
      <x:c r="T184" s="49"/>
      <x:c r="U184" s="49"/>
      <x:c r="V184" s="49"/>
      <x:c r="W184" s="49"/>
      <x:c r="X184" s="49"/>
      <x:c r="Y184" s="49"/>
      <x:c r="Z184" s="49"/>
      <x:c r="AA184" s="49"/>
      <x:c r="AB184" s="49"/>
      <x:c r="AC184" s="49"/>
      <x:c r="AD184" s="49"/>
      <x:c r="AE184" s="49"/>
      <x:c r="AF184" s="49"/>
      <x:c r="AG184" s="49"/>
      <x:c r="AH184" s="49"/>
      <x:c r="AI184" s="49"/>
      <x:c r="AJ184" s="49"/>
      <x:c r="AK184" s="49"/>
      <x:c r="AL184" s="49"/>
      <x:c r="AM184" s="49"/>
      <x:c r="AN184" s="49"/>
      <x:c r="AO184" s="49"/>
      <x:c r="AP184" s="49"/>
      <x:c r="AQ184" s="49"/>
      <x:c r="AR184" s="49"/>
      <x:c r="AS184" s="49"/>
      <x:c r="AT184" s="49"/>
      <x:c r="AU184" s="49"/>
      <x:c r="AV184" s="49"/>
      <x:c r="AW184" s="49"/>
      <x:c r="AX184" s="49"/>
      <x:c r="AY184" s="49"/>
      <x:c r="AZ184" s="49"/>
    </x:row>
    <x:row r="185">
      <x:c r="A185" s="49"/>
      <x:c r="B185" s="49"/>
      <x:c r="C185" s="49"/>
      <x:c r="D185" s="49"/>
      <x:c r="E185" s="49"/>
      <x:c r="F185" s="49"/>
      <x:c r="G185" s="49"/>
      <x:c r="H185" s="49"/>
      <x:c r="I185" s="49"/>
      <x:c r="J185" s="49"/>
      <x:c r="K185" s="49"/>
      <x:c r="L185" s="49"/>
      <x:c r="M185" s="49"/>
      <x:c r="N185" s="49"/>
      <x:c r="O185" s="49"/>
      <x:c r="P185" s="49"/>
      <x:c r="Q185" s="49"/>
      <x:c r="R185" s="49"/>
      <x:c r="S185" s="49"/>
      <x:c r="T185" s="49"/>
      <x:c r="U185" s="49"/>
      <x:c r="V185" s="49"/>
      <x:c r="W185" s="49"/>
      <x:c r="X185" s="49"/>
      <x:c r="Y185" s="49"/>
      <x:c r="Z185" s="49"/>
      <x:c r="AA185" s="49"/>
      <x:c r="AB185" s="49"/>
      <x:c r="AC185" s="49"/>
      <x:c r="AD185" s="49"/>
      <x:c r="AE185" s="49"/>
      <x:c r="AF185" s="49"/>
      <x:c r="AG185" s="49"/>
      <x:c r="AH185" s="49"/>
      <x:c r="AI185" s="49"/>
      <x:c r="AJ185" s="49"/>
      <x:c r="AK185" s="49"/>
      <x:c r="AL185" s="49"/>
      <x:c r="AM185" s="49"/>
      <x:c r="AN185" s="49"/>
      <x:c r="AO185" s="49"/>
      <x:c r="AP185" s="49"/>
      <x:c r="AQ185" s="49"/>
      <x:c r="AR185" s="49"/>
      <x:c r="AS185" s="49"/>
      <x:c r="AT185" s="49"/>
      <x:c r="AU185" s="49"/>
      <x:c r="AV185" s="49"/>
      <x:c r="AW185" s="49"/>
      <x:c r="AX185" s="49"/>
      <x:c r="AY185" s="49"/>
      <x:c r="AZ185" s="49"/>
    </x:row>
    <x:row r="186">
      <x:c r="A186" s="49"/>
      <x:c r="B186" s="49"/>
      <x:c r="C186" s="49"/>
      <x:c r="D186" s="49"/>
      <x:c r="E186" s="49"/>
      <x:c r="F186" s="49"/>
      <x:c r="G186" s="49"/>
      <x:c r="H186" s="49"/>
      <x:c r="I186" s="49"/>
      <x:c r="J186" s="49"/>
      <x:c r="K186" s="49"/>
      <x:c r="L186" s="49"/>
      <x:c r="M186" s="49"/>
      <x:c r="N186" s="49"/>
      <x:c r="O186" s="49"/>
      <x:c r="P186" s="49"/>
      <x:c r="Q186" s="49"/>
      <x:c r="R186" s="49"/>
      <x:c r="S186" s="49"/>
      <x:c r="T186" s="49"/>
      <x:c r="U186" s="49"/>
      <x:c r="V186" s="49"/>
      <x:c r="W186" s="49"/>
      <x:c r="X186" s="49"/>
      <x:c r="Y186" s="49"/>
      <x:c r="Z186" s="49"/>
      <x:c r="AA186" s="49"/>
      <x:c r="AB186" s="49"/>
      <x:c r="AC186" s="49"/>
      <x:c r="AD186" s="49"/>
      <x:c r="AE186" s="49"/>
      <x:c r="AF186" s="49"/>
      <x:c r="AG186" s="49"/>
      <x:c r="AH186" s="49"/>
      <x:c r="AI186" s="49"/>
      <x:c r="AJ186" s="49"/>
      <x:c r="AK186" s="49"/>
      <x:c r="AL186" s="49"/>
      <x:c r="AM186" s="49"/>
      <x:c r="AN186" s="49"/>
      <x:c r="AO186" s="49"/>
      <x:c r="AP186" s="49"/>
      <x:c r="AQ186" s="49"/>
      <x:c r="AR186" s="49"/>
      <x:c r="AS186" s="49"/>
      <x:c r="AT186" s="49"/>
      <x:c r="AU186" s="49"/>
      <x:c r="AV186" s="49"/>
      <x:c r="AW186" s="49"/>
      <x:c r="AX186" s="49"/>
      <x:c r="AY186" s="49"/>
      <x:c r="AZ186" s="49"/>
    </x:row>
    <x:row r="187">
      <x:c r="A187" s="49"/>
      <x:c r="B187" s="49"/>
      <x:c r="C187" s="49"/>
      <x:c r="D187" s="49"/>
      <x:c r="E187" s="49"/>
      <x:c r="F187" s="49"/>
      <x:c r="G187" s="49"/>
      <x:c r="H187" s="49"/>
      <x:c r="I187" s="49"/>
      <x:c r="J187" s="49"/>
      <x:c r="K187" s="49"/>
      <x:c r="L187" s="49"/>
      <x:c r="M187" s="49"/>
      <x:c r="N187" s="49"/>
      <x:c r="O187" s="49"/>
      <x:c r="P187" s="49"/>
      <x:c r="Q187" s="49"/>
      <x:c r="R187" s="49"/>
      <x:c r="S187" s="49"/>
      <x:c r="T187" s="49"/>
      <x:c r="U187" s="49"/>
      <x:c r="V187" s="49"/>
      <x:c r="W187" s="49"/>
      <x:c r="X187" s="49"/>
      <x:c r="Y187" s="49"/>
      <x:c r="Z187" s="49"/>
      <x:c r="AA187" s="49"/>
      <x:c r="AB187" s="49"/>
      <x:c r="AC187" s="49"/>
      <x:c r="AD187" s="49"/>
      <x:c r="AE187" s="49"/>
      <x:c r="AF187" s="49"/>
      <x:c r="AG187" s="49"/>
      <x:c r="AH187" s="49"/>
      <x:c r="AI187" s="49"/>
      <x:c r="AJ187" s="49"/>
      <x:c r="AK187" s="49"/>
      <x:c r="AL187" s="49"/>
      <x:c r="AM187" s="49"/>
      <x:c r="AN187" s="49"/>
      <x:c r="AO187" s="49"/>
      <x:c r="AP187" s="49"/>
      <x:c r="AQ187" s="49"/>
      <x:c r="AR187" s="49"/>
      <x:c r="AS187" s="49"/>
      <x:c r="AT187" s="49"/>
      <x:c r="AU187" s="49"/>
      <x:c r="AV187" s="49"/>
      <x:c r="AW187" s="49"/>
      <x:c r="AX187" s="49"/>
      <x:c r="AY187" s="49"/>
      <x:c r="AZ187" s="49"/>
    </x:row>
    <x:row r="188">
      <x:c r="A188" s="49"/>
      <x:c r="B188" s="49"/>
      <x:c r="C188" s="49"/>
      <x:c r="D188" s="49"/>
      <x:c r="E188" s="49"/>
      <x:c r="F188" s="49"/>
      <x:c r="G188" s="49"/>
      <x:c r="H188" s="49"/>
      <x:c r="I188" s="49"/>
      <x:c r="J188" s="49"/>
      <x:c r="K188" s="49"/>
      <x:c r="L188" s="49"/>
      <x:c r="M188" s="49"/>
      <x:c r="N188" s="49"/>
      <x:c r="O188" s="49"/>
      <x:c r="P188" s="49"/>
      <x:c r="Q188" s="49"/>
      <x:c r="R188" s="49"/>
      <x:c r="S188" s="49"/>
      <x:c r="T188" s="49"/>
      <x:c r="U188" s="49"/>
      <x:c r="V188" s="49"/>
      <x:c r="W188" s="49"/>
      <x:c r="X188" s="49"/>
      <x:c r="Y188" s="49"/>
      <x:c r="Z188" s="49"/>
      <x:c r="AA188" s="49"/>
      <x:c r="AB188" s="49"/>
      <x:c r="AC188" s="49"/>
      <x:c r="AD188" s="49"/>
      <x:c r="AE188" s="49"/>
      <x:c r="AF188" s="49"/>
      <x:c r="AG188" s="49"/>
      <x:c r="AH188" s="49"/>
      <x:c r="AI188" s="49"/>
      <x:c r="AJ188" s="49"/>
      <x:c r="AK188" s="49"/>
      <x:c r="AL188" s="49"/>
      <x:c r="AM188" s="49"/>
      <x:c r="AN188" s="49"/>
      <x:c r="AO188" s="49"/>
      <x:c r="AP188" s="49"/>
      <x:c r="AQ188" s="49"/>
      <x:c r="AR188" s="49"/>
      <x:c r="AS188" s="49"/>
      <x:c r="AT188" s="49"/>
      <x:c r="AU188" s="49"/>
      <x:c r="AV188" s="49"/>
      <x:c r="AW188" s="49"/>
      <x:c r="AX188" s="49"/>
      <x:c r="AY188" s="49"/>
      <x:c r="AZ188" s="49"/>
    </x:row>
    <x:row r="189">
      <x:c r="A189" s="49"/>
      <x:c r="B189" s="49"/>
      <x:c r="C189" s="49"/>
      <x:c r="D189" s="49"/>
      <x:c r="E189" s="49"/>
      <x:c r="F189" s="49"/>
      <x:c r="G189" s="49"/>
      <x:c r="H189" s="49"/>
      <x:c r="I189" s="49"/>
      <x:c r="J189" s="49"/>
      <x:c r="K189" s="49"/>
      <x:c r="L189" s="49"/>
      <x:c r="M189" s="49"/>
      <x:c r="N189" s="49"/>
      <x:c r="O189" s="49"/>
      <x:c r="P189" s="49"/>
      <x:c r="Q189" s="49"/>
      <x:c r="R189" s="49"/>
      <x:c r="S189" s="49"/>
      <x:c r="T189" s="49"/>
      <x:c r="U189" s="49"/>
      <x:c r="V189" s="49"/>
      <x:c r="W189" s="49"/>
      <x:c r="X189" s="49"/>
      <x:c r="Y189" s="49"/>
      <x:c r="Z189" s="49"/>
      <x:c r="AA189" s="49"/>
      <x:c r="AB189" s="49"/>
      <x:c r="AC189" s="49"/>
      <x:c r="AD189" s="49"/>
      <x:c r="AE189" s="49"/>
      <x:c r="AF189" s="49"/>
      <x:c r="AG189" s="49"/>
      <x:c r="AH189" s="49"/>
      <x:c r="AI189" s="49"/>
      <x:c r="AJ189" s="49"/>
      <x:c r="AK189" s="49"/>
      <x:c r="AL189" s="49"/>
      <x:c r="AM189" s="49"/>
      <x:c r="AN189" s="49"/>
      <x:c r="AO189" s="49"/>
      <x:c r="AP189" s="49"/>
      <x:c r="AQ189" s="49"/>
      <x:c r="AR189" s="49"/>
      <x:c r="AS189" s="49"/>
      <x:c r="AT189" s="49"/>
      <x:c r="AU189" s="49"/>
      <x:c r="AV189" s="49"/>
      <x:c r="AW189" s="49"/>
      <x:c r="AX189" s="49"/>
      <x:c r="AY189" s="49"/>
      <x:c r="AZ189" s="49"/>
    </x:row>
    <x:row r="190">
      <x:c r="A190" s="49"/>
      <x:c r="B190" s="49"/>
      <x:c r="C190" s="49"/>
      <x:c r="D190" s="49"/>
      <x:c r="E190" s="49"/>
      <x:c r="F190" s="49"/>
      <x:c r="G190" s="49"/>
      <x:c r="H190" s="49"/>
      <x:c r="I190" s="49"/>
      <x:c r="J190" s="49"/>
      <x:c r="K190" s="49"/>
      <x:c r="L190" s="49"/>
      <x:c r="M190" s="49"/>
      <x:c r="N190" s="49"/>
      <x:c r="O190" s="49"/>
      <x:c r="P190" s="49"/>
      <x:c r="Q190" s="49"/>
      <x:c r="R190" s="49"/>
      <x:c r="S190" s="49"/>
      <x:c r="T190" s="49"/>
      <x:c r="U190" s="49"/>
      <x:c r="V190" s="49"/>
      <x:c r="W190" s="49"/>
      <x:c r="X190" s="49"/>
      <x:c r="Y190" s="49"/>
      <x:c r="Z190" s="49"/>
      <x:c r="AA190" s="49"/>
      <x:c r="AB190" s="49"/>
      <x:c r="AC190" s="49"/>
      <x:c r="AD190" s="49"/>
      <x:c r="AE190" s="49"/>
      <x:c r="AF190" s="49"/>
      <x:c r="AG190" s="49"/>
      <x:c r="AH190" s="49"/>
      <x:c r="AI190" s="49"/>
      <x:c r="AJ190" s="49"/>
      <x:c r="AK190" s="49"/>
      <x:c r="AL190" s="49"/>
      <x:c r="AM190" s="49"/>
      <x:c r="AN190" s="49"/>
      <x:c r="AO190" s="49"/>
      <x:c r="AP190" s="49"/>
      <x:c r="AQ190" s="49"/>
      <x:c r="AR190" s="49"/>
      <x:c r="AS190" s="49"/>
      <x:c r="AT190" s="49"/>
      <x:c r="AU190" s="49"/>
      <x:c r="AV190" s="49"/>
      <x:c r="AW190" s="49"/>
      <x:c r="AX190" s="49"/>
      <x:c r="AY190" s="49"/>
      <x:c r="AZ190" s="49"/>
    </x:row>
    <x:row r="191">
      <x:c r="A191" s="49"/>
      <x:c r="B191" s="49"/>
      <x:c r="C191" s="49"/>
      <x:c r="D191" s="49"/>
      <x:c r="E191" s="49"/>
      <x:c r="F191" s="49"/>
      <x:c r="G191" s="49"/>
      <x:c r="H191" s="49"/>
      <x:c r="I191" s="49"/>
      <x:c r="J191" s="49"/>
      <x:c r="K191" s="49"/>
      <x:c r="L191" s="49"/>
      <x:c r="M191" s="49"/>
      <x:c r="N191" s="49"/>
      <x:c r="O191" s="49"/>
      <x:c r="P191" s="49"/>
      <x:c r="Q191" s="49"/>
      <x:c r="R191" s="49"/>
      <x:c r="S191" s="49"/>
      <x:c r="T191" s="49"/>
      <x:c r="U191" s="49"/>
      <x:c r="V191" s="49"/>
      <x:c r="W191" s="49"/>
      <x:c r="X191" s="49"/>
      <x:c r="Y191" s="49"/>
      <x:c r="Z191" s="49"/>
      <x:c r="AA191" s="49"/>
      <x:c r="AB191" s="49"/>
      <x:c r="AC191" s="49"/>
      <x:c r="AD191" s="49"/>
      <x:c r="AE191" s="49"/>
      <x:c r="AF191" s="49"/>
      <x:c r="AG191" s="49"/>
      <x:c r="AH191" s="49"/>
      <x:c r="AI191" s="49"/>
      <x:c r="AJ191" s="49"/>
      <x:c r="AK191" s="49"/>
      <x:c r="AL191" s="49"/>
      <x:c r="AM191" s="49"/>
      <x:c r="AN191" s="49"/>
      <x:c r="AO191" s="49"/>
      <x:c r="AP191" s="49"/>
      <x:c r="AQ191" s="49"/>
      <x:c r="AR191" s="49"/>
      <x:c r="AS191" s="49"/>
      <x:c r="AT191" s="49"/>
      <x:c r="AU191" s="49"/>
      <x:c r="AV191" s="49"/>
      <x:c r="AW191" s="49"/>
      <x:c r="AX191" s="49"/>
      <x:c r="AY191" s="49"/>
      <x:c r="AZ191" s="49"/>
    </x:row>
    <x:row r="192">
      <x:c r="A192" s="49"/>
      <x:c r="B192" s="49"/>
      <x:c r="C192" s="49"/>
      <x:c r="D192" s="49"/>
      <x:c r="E192" s="49"/>
      <x:c r="F192" s="49"/>
      <x:c r="G192" s="49"/>
      <x:c r="H192" s="49"/>
      <x:c r="I192" s="49"/>
      <x:c r="J192" s="49"/>
      <x:c r="K192" s="49"/>
      <x:c r="L192" s="49"/>
      <x:c r="M192" s="49"/>
      <x:c r="N192" s="49"/>
      <x:c r="O192" s="49"/>
      <x:c r="P192" s="49"/>
      <x:c r="Q192" s="49"/>
      <x:c r="R192" s="49"/>
      <x:c r="S192" s="49"/>
      <x:c r="T192" s="49"/>
      <x:c r="U192" s="49"/>
      <x:c r="V192" s="49"/>
      <x:c r="W192" s="49"/>
      <x:c r="X192" s="49"/>
      <x:c r="Y192" s="49"/>
      <x:c r="Z192" s="49"/>
      <x:c r="AA192" s="49"/>
      <x:c r="AB192" s="49"/>
      <x:c r="AC192" s="49"/>
      <x:c r="AD192" s="49"/>
      <x:c r="AE192" s="49"/>
      <x:c r="AF192" s="49"/>
      <x:c r="AG192" s="49"/>
      <x:c r="AH192" s="49"/>
      <x:c r="AI192" s="49"/>
      <x:c r="AJ192" s="49"/>
      <x:c r="AK192" s="49"/>
      <x:c r="AL192" s="49"/>
      <x:c r="AM192" s="49"/>
      <x:c r="AN192" s="49"/>
      <x:c r="AO192" s="49"/>
      <x:c r="AP192" s="49"/>
      <x:c r="AQ192" s="49"/>
      <x:c r="AR192" s="49"/>
      <x:c r="AS192" s="49"/>
      <x:c r="AT192" s="49"/>
      <x:c r="AU192" s="49"/>
      <x:c r="AV192" s="49"/>
      <x:c r="AW192" s="49"/>
      <x:c r="AX192" s="49"/>
      <x:c r="AY192" s="49"/>
      <x:c r="AZ192" s="49"/>
    </x:row>
    <x:row r="193">
      <x:c r="A193" s="49"/>
      <x:c r="B193" s="49"/>
      <x:c r="C193" s="49"/>
      <x:c r="D193" s="49"/>
      <x:c r="E193" s="49"/>
      <x:c r="F193" s="49"/>
      <x:c r="G193" s="49"/>
      <x:c r="H193" s="49"/>
      <x:c r="I193" s="49"/>
      <x:c r="J193" s="49"/>
      <x:c r="K193" s="49"/>
      <x:c r="L193" s="49"/>
      <x:c r="M193" s="49"/>
      <x:c r="N193" s="49"/>
      <x:c r="O193" s="49"/>
      <x:c r="P193" s="49"/>
      <x:c r="Q193" s="49"/>
      <x:c r="R193" s="49"/>
      <x:c r="S193" s="49"/>
      <x:c r="T193" s="49"/>
      <x:c r="U193" s="49"/>
      <x:c r="V193" s="49"/>
      <x:c r="W193" s="49"/>
      <x:c r="X193" s="49"/>
      <x:c r="Y193" s="49"/>
      <x:c r="Z193" s="49"/>
      <x:c r="AA193" s="49"/>
      <x:c r="AB193" s="49"/>
      <x:c r="AC193" s="49"/>
      <x:c r="AD193" s="49"/>
      <x:c r="AE193" s="49"/>
      <x:c r="AF193" s="49"/>
      <x:c r="AG193" s="49"/>
      <x:c r="AH193" s="49"/>
      <x:c r="AI193" s="49"/>
      <x:c r="AJ193" s="49"/>
      <x:c r="AK193" s="49"/>
      <x:c r="AL193" s="49"/>
      <x:c r="AM193" s="49"/>
      <x:c r="AN193" s="49"/>
      <x:c r="AO193" s="49"/>
      <x:c r="AP193" s="49"/>
      <x:c r="AQ193" s="49"/>
      <x:c r="AR193" s="49"/>
      <x:c r="AS193" s="49"/>
      <x:c r="AT193" s="49"/>
      <x:c r="AU193" s="49"/>
      <x:c r="AV193" s="49"/>
      <x:c r="AW193" s="49"/>
      <x:c r="AX193" s="49"/>
      <x:c r="AY193" s="49"/>
      <x:c r="AZ193" s="49"/>
    </x:row>
    <x:row r="194">
      <x:c r="A194" s="49"/>
      <x:c r="B194" s="49"/>
      <x:c r="C194" s="49"/>
      <x:c r="D194" s="49"/>
      <x:c r="E194" s="49"/>
      <x:c r="F194" s="49"/>
      <x:c r="G194" s="49"/>
      <x:c r="H194" s="49"/>
      <x:c r="I194" s="49"/>
      <x:c r="J194" s="49"/>
      <x:c r="K194" s="49"/>
      <x:c r="L194" s="49"/>
      <x:c r="M194" s="49"/>
      <x:c r="N194" s="49"/>
      <x:c r="O194" s="49"/>
      <x:c r="P194" s="49"/>
      <x:c r="Q194" s="49"/>
      <x:c r="R194" s="49"/>
      <x:c r="S194" s="49"/>
      <x:c r="T194" s="49"/>
      <x:c r="U194" s="49"/>
      <x:c r="V194" s="49"/>
      <x:c r="W194" s="49"/>
      <x:c r="X194" s="49"/>
      <x:c r="Y194" s="49"/>
      <x:c r="Z194" s="49"/>
      <x:c r="AA194" s="49"/>
      <x:c r="AB194" s="49"/>
      <x:c r="AC194" s="49"/>
      <x:c r="AD194" s="49"/>
      <x:c r="AE194" s="49"/>
      <x:c r="AF194" s="49"/>
      <x:c r="AG194" s="49"/>
      <x:c r="AH194" s="49"/>
      <x:c r="AI194" s="49"/>
      <x:c r="AJ194" s="49"/>
      <x:c r="AK194" s="49"/>
      <x:c r="AL194" s="49"/>
      <x:c r="AM194" s="49"/>
      <x:c r="AN194" s="49"/>
      <x:c r="AO194" s="49"/>
      <x:c r="AP194" s="49"/>
      <x:c r="AQ194" s="49"/>
      <x:c r="AR194" s="49"/>
      <x:c r="AS194" s="49"/>
      <x:c r="AT194" s="49"/>
      <x:c r="AU194" s="49"/>
      <x:c r="AV194" s="49"/>
      <x:c r="AW194" s="49"/>
      <x:c r="AX194" s="49"/>
      <x:c r="AY194" s="49"/>
      <x:c r="AZ194" s="49"/>
    </x:row>
    <x:row r="195">
      <x:c r="A195" s="49"/>
      <x:c r="B195" s="49"/>
      <x:c r="C195" s="49"/>
      <x:c r="D195" s="49"/>
      <x:c r="E195" s="49"/>
      <x:c r="F195" s="49"/>
      <x:c r="G195" s="49"/>
      <x:c r="H195" s="49"/>
      <x:c r="I195" s="49"/>
      <x:c r="J195" s="49"/>
      <x:c r="K195" s="49"/>
      <x:c r="L195" s="49"/>
      <x:c r="M195" s="49"/>
      <x:c r="N195" s="49"/>
      <x:c r="O195" s="49"/>
      <x:c r="P195" s="49"/>
      <x:c r="Q195" s="49"/>
      <x:c r="R195" s="49"/>
      <x:c r="S195" s="49"/>
      <x:c r="T195" s="49"/>
      <x:c r="U195" s="49"/>
      <x:c r="V195" s="49"/>
      <x:c r="W195" s="49"/>
      <x:c r="X195" s="49"/>
      <x:c r="Y195" s="49"/>
      <x:c r="Z195" s="49"/>
      <x:c r="AA195" s="49"/>
      <x:c r="AB195" s="49"/>
      <x:c r="AC195" s="49"/>
      <x:c r="AD195" s="49"/>
      <x:c r="AE195" s="49"/>
      <x:c r="AF195" s="49"/>
      <x:c r="AG195" s="49"/>
      <x:c r="AH195" s="49"/>
      <x:c r="AI195" s="49"/>
      <x:c r="AJ195" s="49"/>
      <x:c r="AK195" s="49"/>
      <x:c r="AL195" s="49"/>
      <x:c r="AM195" s="49"/>
      <x:c r="AN195" s="49"/>
      <x:c r="AO195" s="49"/>
      <x:c r="AP195" s="49"/>
      <x:c r="AQ195" s="49"/>
      <x:c r="AR195" s="49"/>
      <x:c r="AS195" s="49"/>
      <x:c r="AT195" s="49"/>
      <x:c r="AU195" s="49"/>
      <x:c r="AV195" s="49"/>
      <x:c r="AW195" s="49"/>
      <x:c r="AX195" s="49"/>
      <x:c r="AY195" s="49"/>
      <x:c r="AZ195" s="49"/>
    </x:row>
    <x:row r="196">
      <x:c r="A196" s="49"/>
      <x:c r="B196" s="49"/>
      <x:c r="C196" s="49"/>
      <x:c r="D196" s="49"/>
      <x:c r="E196" s="49"/>
      <x:c r="F196" s="49"/>
      <x:c r="G196" s="49"/>
      <x:c r="H196" s="49"/>
      <x:c r="I196" s="49"/>
      <x:c r="J196" s="49"/>
      <x:c r="K196" s="49"/>
      <x:c r="L196" s="49"/>
      <x:c r="M196" s="49"/>
      <x:c r="N196" s="49"/>
      <x:c r="O196" s="49"/>
      <x:c r="P196" s="49"/>
      <x:c r="Q196" s="49"/>
      <x:c r="R196" s="49"/>
      <x:c r="S196" s="49"/>
      <x:c r="T196" s="49"/>
      <x:c r="U196" s="49"/>
      <x:c r="V196" s="49"/>
      <x:c r="W196" s="49"/>
      <x:c r="X196" s="49"/>
      <x:c r="Y196" s="49"/>
      <x:c r="Z196" s="49"/>
      <x:c r="AA196" s="49"/>
      <x:c r="AB196" s="49"/>
      <x:c r="AC196" s="49"/>
      <x:c r="AD196" s="49"/>
      <x:c r="AE196" s="49"/>
      <x:c r="AF196" s="49"/>
      <x:c r="AG196" s="49"/>
      <x:c r="AH196" s="49"/>
      <x:c r="AI196" s="49"/>
      <x:c r="AJ196" s="49"/>
      <x:c r="AK196" s="49"/>
      <x:c r="AL196" s="49"/>
      <x:c r="AM196" s="49"/>
      <x:c r="AN196" s="49"/>
      <x:c r="AO196" s="49"/>
      <x:c r="AP196" s="49"/>
      <x:c r="AQ196" s="49"/>
      <x:c r="AR196" s="49"/>
      <x:c r="AS196" s="49"/>
      <x:c r="AT196" s="49"/>
      <x:c r="AU196" s="49"/>
      <x:c r="AV196" s="49"/>
      <x:c r="AW196" s="49"/>
      <x:c r="AX196" s="49"/>
      <x:c r="AY196" s="49"/>
      <x:c r="AZ196" s="49"/>
    </x:row>
    <x:row r="197">
      <x:c r="A197" s="49"/>
      <x:c r="B197" s="49"/>
      <x:c r="C197" s="49"/>
      <x:c r="D197" s="49"/>
      <x:c r="E197" s="49"/>
      <x:c r="F197" s="49"/>
      <x:c r="G197" s="49"/>
      <x:c r="H197" s="49"/>
      <x:c r="I197" s="49"/>
      <x:c r="J197" s="49"/>
      <x:c r="K197" s="49"/>
      <x:c r="L197" s="49"/>
      <x:c r="M197" s="49"/>
      <x:c r="N197" s="49"/>
      <x:c r="O197" s="49"/>
      <x:c r="P197" s="49"/>
      <x:c r="Q197" s="49"/>
      <x:c r="R197" s="49"/>
      <x:c r="S197" s="49"/>
      <x:c r="T197" s="49"/>
      <x:c r="U197" s="49"/>
      <x:c r="V197" s="49"/>
      <x:c r="W197" s="49"/>
      <x:c r="X197" s="49"/>
      <x:c r="Y197" s="49"/>
      <x:c r="Z197" s="49"/>
      <x:c r="AA197" s="49"/>
      <x:c r="AB197" s="49"/>
      <x:c r="AC197" s="49"/>
      <x:c r="AD197" s="49"/>
      <x:c r="AE197" s="49"/>
      <x:c r="AF197" s="49"/>
      <x:c r="AG197" s="49"/>
      <x:c r="AH197" s="49"/>
      <x:c r="AI197" s="49"/>
      <x:c r="AJ197" s="49"/>
      <x:c r="AK197" s="49"/>
      <x:c r="AL197" s="49"/>
      <x:c r="AM197" s="49"/>
      <x:c r="AN197" s="49"/>
      <x:c r="AO197" s="49"/>
      <x:c r="AP197" s="49"/>
      <x:c r="AQ197" s="49"/>
      <x:c r="AR197" s="49"/>
      <x:c r="AS197" s="49"/>
      <x:c r="AT197" s="49"/>
      <x:c r="AU197" s="49"/>
      <x:c r="AV197" s="49"/>
      <x:c r="AW197" s="49"/>
      <x:c r="AX197" s="49"/>
      <x:c r="AY197" s="49"/>
      <x:c r="AZ197" s="49"/>
    </x:row>
    <x:row r="198">
      <x:c r="A198" s="49"/>
      <x:c r="B198" s="49"/>
      <x:c r="C198" s="49"/>
      <x:c r="D198" s="49"/>
      <x:c r="E198" s="49"/>
      <x:c r="F198" s="49"/>
      <x:c r="G198" s="49"/>
      <x:c r="H198" s="49"/>
      <x:c r="I198" s="49"/>
      <x:c r="J198" s="49"/>
      <x:c r="K198" s="49"/>
      <x:c r="L198" s="49"/>
      <x:c r="M198" s="49"/>
      <x:c r="N198" s="49"/>
      <x:c r="O198" s="49"/>
      <x:c r="P198" s="49"/>
      <x:c r="Q198" s="49"/>
      <x:c r="R198" s="49"/>
      <x:c r="S198" s="49"/>
      <x:c r="T198" s="49"/>
      <x:c r="U198" s="49"/>
      <x:c r="V198" s="49"/>
      <x:c r="W198" s="49"/>
      <x:c r="X198" s="49"/>
      <x:c r="Y198" s="49"/>
      <x:c r="Z198" s="49"/>
      <x:c r="AA198" s="49"/>
      <x:c r="AB198" s="49"/>
      <x:c r="AC198" s="49"/>
      <x:c r="AD198" s="49"/>
      <x:c r="AE198" s="49"/>
      <x:c r="AF198" s="49"/>
      <x:c r="AG198" s="49"/>
      <x:c r="AH198" s="49"/>
      <x:c r="AI198" s="49"/>
      <x:c r="AJ198" s="49"/>
      <x:c r="AK198" s="49"/>
      <x:c r="AL198" s="49"/>
      <x:c r="AM198" s="49"/>
      <x:c r="AN198" s="49"/>
      <x:c r="AO198" s="49"/>
      <x:c r="AP198" s="49"/>
      <x:c r="AQ198" s="49"/>
      <x:c r="AR198" s="49"/>
      <x:c r="AS198" s="49"/>
      <x:c r="AT198" s="49"/>
      <x:c r="AU198" s="49"/>
      <x:c r="AV198" s="49"/>
      <x:c r="AW198" s="49"/>
      <x:c r="AX198" s="49"/>
      <x:c r="AY198" s="49"/>
      <x:c r="AZ198" s="49"/>
    </x:row>
    <x:row r="199">
      <x:c r="A199" s="49"/>
      <x:c r="B199" s="49"/>
      <x:c r="C199" s="49"/>
      <x:c r="D199" s="49"/>
      <x:c r="E199" s="49"/>
      <x:c r="F199" s="49"/>
      <x:c r="G199" s="49"/>
      <x:c r="H199" s="49"/>
      <x:c r="I199" s="49"/>
      <x:c r="J199" s="49"/>
      <x:c r="K199" s="49"/>
      <x:c r="L199" s="49"/>
      <x:c r="M199" s="49"/>
      <x:c r="N199" s="49"/>
      <x:c r="O199" s="49"/>
      <x:c r="P199" s="49"/>
      <x:c r="Q199" s="49"/>
      <x:c r="R199" s="49"/>
      <x:c r="S199" s="49"/>
      <x:c r="T199" s="49"/>
      <x:c r="U199" s="49"/>
      <x:c r="V199" s="49"/>
      <x:c r="W199" s="49"/>
      <x:c r="X199" s="49"/>
      <x:c r="Y199" s="49"/>
      <x:c r="Z199" s="49"/>
      <x:c r="AA199" s="49"/>
      <x:c r="AB199" s="49"/>
      <x:c r="AC199" s="49"/>
      <x:c r="AD199" s="49"/>
      <x:c r="AE199" s="49"/>
      <x:c r="AF199" s="49"/>
      <x:c r="AG199" s="49"/>
      <x:c r="AH199" s="49"/>
      <x:c r="AI199" s="49"/>
      <x:c r="AJ199" s="49"/>
      <x:c r="AK199" s="49"/>
      <x:c r="AL199" s="49"/>
      <x:c r="AM199" s="49"/>
      <x:c r="AN199" s="49"/>
      <x:c r="AO199" s="49"/>
      <x:c r="AP199" s="49"/>
      <x:c r="AQ199" s="49"/>
      <x:c r="AR199" s="49"/>
      <x:c r="AS199" s="49"/>
      <x:c r="AT199" s="49"/>
      <x:c r="AU199" s="49"/>
      <x:c r="AV199" s="49"/>
      <x:c r="AW199" s="49"/>
      <x:c r="AX199" s="49"/>
      <x:c r="AY199" s="49"/>
      <x:c r="AZ199" s="49"/>
    </x:row>
    <x:row r="200">
      <x:c r="A200" s="49"/>
      <x:c r="B200" s="49"/>
      <x:c r="C200" s="49"/>
      <x:c r="D200" s="49"/>
      <x:c r="E200" s="49"/>
      <x:c r="F200" s="49"/>
      <x:c r="G200" s="49"/>
      <x:c r="H200" s="49"/>
      <x:c r="I200" s="49"/>
      <x:c r="J200" s="49"/>
      <x:c r="K200" s="49"/>
      <x:c r="L200" s="49"/>
      <x:c r="M200" s="49"/>
      <x:c r="N200" s="49"/>
      <x:c r="O200" s="49"/>
      <x:c r="P200" s="49"/>
      <x:c r="Q200" s="49"/>
      <x:c r="R200" s="49"/>
      <x:c r="S200" s="49"/>
      <x:c r="T200" s="49"/>
      <x:c r="U200" s="49"/>
      <x:c r="V200" s="49"/>
      <x:c r="W200" s="49"/>
      <x:c r="X200" s="49"/>
      <x:c r="Y200" s="49"/>
      <x:c r="Z200" s="49"/>
      <x:c r="AA200" s="49"/>
      <x:c r="AB200" s="49"/>
      <x:c r="AC200" s="49"/>
      <x:c r="AD200" s="49"/>
      <x:c r="AE200" s="49"/>
      <x:c r="AF200" s="49"/>
      <x:c r="AG200" s="49"/>
      <x:c r="AH200" s="49"/>
      <x:c r="AI200" s="49"/>
      <x:c r="AJ200" s="49"/>
      <x:c r="AK200" s="49"/>
      <x:c r="AL200" s="49"/>
      <x:c r="AM200" s="49"/>
      <x:c r="AN200" s="49"/>
      <x:c r="AO200" s="49"/>
      <x:c r="AP200" s="49"/>
      <x:c r="AQ200" s="49"/>
      <x:c r="AR200" s="49"/>
      <x:c r="AS200" s="49"/>
      <x:c r="AT200" s="49"/>
      <x:c r="AU200" s="49"/>
      <x:c r="AV200" s="49"/>
      <x:c r="AW200" s="49"/>
      <x:c r="AX200" s="49"/>
      <x:c r="AY200" s="49"/>
      <x:c r="AZ200" s="49"/>
    </x:row>
  </x:sheetData>
  <x:mergeCells>
    <x:mergeCell ref="A1:J1"/>
    <x:mergeCell ref="A2:J3"/>
    <x:mergeCell ref="A11:H15"/>
  </x:mergeCells>
  <x:pageMargins left="0.7" right="0.7" top="0.75" bottom="0.75" header="0.3" footer="0.3"/>
  <x:drawing xmlns:r="http://schemas.openxmlformats.org/officeDocument/2006/relationships" r:id="R41d4661fdbca46b2"/>
</x:worksheet>
</file>

<file path=xl/worksheets/sheet9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7" hidden="0" customWidth="1"/>
    <x:col min="3" max="3" width="15" hidden="0" customWidth="1"/>
    <x:col min="4" max="4" width="14" hidden="0" customWidth="1"/>
    <x:col min="5" max="5" width="14" hidden="0" customWidth="1"/>
    <x:col min="6" max="6" width="20" hidden="0" customWidth="1"/>
    <x:col min="7" max="7" width="19" hidden="0" customWidth="1"/>
    <x:col min="8" max="8" width="19" hidden="0" customWidth="1"/>
    <x:col min="9" max="9" width="18" hidden="0" customWidth="1"/>
    <x:col min="10" max="10" width="14" hidden="0" customWidth="1"/>
  </x:cols>
  <x:sheetData>
    <x:row r="1" ht="28" customHeight="1">
      <x:c r="A1" s="226" t="str">
        <x:v>EDA/IP 采购扩展模型</x:v>
      </x:c>
      <x:c r="B1" s="132"/>
      <x:c r="C1" s="132"/>
      <x:c r="D1" s="132"/>
      <x:c r="E1" s="132"/>
      <x:c r="F1" s="132"/>
      <x:c r="G1" s="132"/>
      <x:c r="H1" s="132"/>
      <x:c r="I1" s="132"/>
      <x:c r="J1" s="132"/>
      <x:c r="K1" s="132"/>
      <x:c r="L1" s="132"/>
      <x:c r="M1" s="132"/>
      <x:c r="N1" s="49"/>
      <x:c r="O1" s="49"/>
      <x:c r="P1" s="49"/>
      <x:c r="Q1" s="49"/>
      <x:c r="R1" s="49"/>
      <x:c r="S1" s="49"/>
      <x:c r="T1" s="49"/>
      <x:c r="U1" s="49"/>
      <x:c r="V1" s="49"/>
      <x:c r="W1" s="49"/>
      <x:c r="X1" s="49"/>
      <x:c r="Y1" s="49"/>
      <x:c r="Z1" s="49"/>
      <x:c r="AA1" s="49"/>
      <x:c r="AB1" s="49"/>
      <x:c r="AC1" s="49"/>
      <x:c r="AD1" s="49"/>
      <x:c r="AE1" s="49"/>
      <x:c r="AF1" s="49"/>
      <x:c r="AG1" s="49"/>
      <x:c r="AH1" s="49"/>
      <x:c r="AI1" s="49"/>
      <x:c r="AJ1" s="49"/>
      <x:c r="AK1" s="49"/>
      <x:c r="AL1" s="49"/>
      <x:c r="AM1" s="49"/>
      <x:c r="AN1" s="49"/>
      <x:c r="AO1" s="49"/>
      <x:c r="AP1" s="49"/>
      <x:c r="AQ1" s="49"/>
      <x:c r="AR1" s="49"/>
      <x:c r="AS1" s="49"/>
      <x:c r="AT1" s="49"/>
      <x:c r="AU1" s="49"/>
      <x:c r="AV1" s="49"/>
      <x:c r="AW1" s="49"/>
      <x:c r="AX1" s="49"/>
      <x:c r="AY1" s="49"/>
      <x:c r="AZ1" s="49"/>
    </x:row>
    <x:row r="2" ht="22" customHeight="1">
      <x:c r="A2" s="45" t="str">
        <x:v>将实物采购中的需求 / 成本逻辑扩展到 EDA/IP 授权资源。所有资源名称和费用均为模拟数据。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9"/>
      <x:c r="O2" s="49"/>
      <x:c r="P2" s="49"/>
      <x:c r="Q2" s="49"/>
      <x:c r="R2" s="49"/>
      <x:c r="S2" s="49"/>
      <x:c r="T2" s="49"/>
      <x:c r="U2" s="49"/>
      <x:c r="V2" s="49"/>
      <x:c r="W2" s="49"/>
      <x:c r="X2" s="49"/>
      <x:c r="Y2" s="49"/>
      <x:c r="Z2" s="49"/>
      <x:c r="AA2" s="49"/>
      <x:c r="AB2" s="49"/>
      <x:c r="AC2" s="49"/>
      <x:c r="AD2" s="49"/>
      <x:c r="AE2" s="49"/>
      <x:c r="AF2" s="49"/>
      <x:c r="AG2" s="49"/>
      <x:c r="AH2" s="49"/>
      <x:c r="AI2" s="49"/>
      <x:c r="AJ2" s="49"/>
      <x:c r="AK2" s="49"/>
      <x:c r="AL2" s="49"/>
      <x:c r="AM2" s="49"/>
      <x:c r="AN2" s="49"/>
      <x:c r="AO2" s="49"/>
      <x:c r="AP2" s="49"/>
      <x:c r="AQ2" s="49"/>
      <x:c r="AR2" s="49"/>
      <x:c r="AS2" s="49"/>
      <x:c r="AT2" s="49"/>
      <x:c r="AU2" s="49"/>
      <x:c r="AV2" s="49"/>
      <x:c r="AW2" s="49"/>
      <x:c r="AX2" s="49"/>
      <x:c r="AY2" s="49"/>
      <x:c r="AZ2" s="49"/>
    </x:row>
    <x:row r="3" ht="22" customHeight="1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9"/>
      <x:c r="O3" s="49"/>
      <x:c r="P3" s="49"/>
      <x:c r="Q3" s="49"/>
      <x:c r="R3" s="49"/>
      <x:c r="S3" s="49"/>
      <x:c r="T3" s="49"/>
      <x:c r="U3" s="49"/>
      <x:c r="V3" s="49"/>
      <x:c r="W3" s="49"/>
      <x:c r="X3" s="49"/>
      <x:c r="Y3" s="49"/>
      <x:c r="Z3" s="49"/>
      <x:c r="AA3" s="49"/>
      <x:c r="AB3" s="49"/>
      <x:c r="AC3" s="49"/>
      <x:c r="AD3" s="49"/>
      <x:c r="AE3" s="49"/>
      <x:c r="AF3" s="49"/>
      <x:c r="AG3" s="49"/>
      <x:c r="AH3" s="49"/>
      <x:c r="AI3" s="49"/>
      <x:c r="AJ3" s="49"/>
      <x:c r="AK3" s="49"/>
      <x:c r="AL3" s="49"/>
      <x:c r="AM3" s="49"/>
      <x:c r="AN3" s="49"/>
      <x:c r="AO3" s="49"/>
      <x:c r="AP3" s="49"/>
      <x:c r="AQ3" s="49"/>
      <x:c r="AR3" s="49"/>
      <x:c r="AS3" s="49"/>
      <x:c r="AT3" s="49"/>
      <x:c r="AU3" s="49"/>
      <x:c r="AV3" s="49"/>
      <x:c r="AW3" s="49"/>
      <x:c r="AX3" s="49"/>
      <x:c r="AY3" s="49"/>
      <x:c r="AZ3" s="49"/>
    </x:row>
    <x:row r="4">
      <x:c r="A4" s="49"/>
      <x:c r="B4" s="49"/>
      <x:c r="C4" s="49"/>
      <x:c r="D4" s="49"/>
      <x:c r="E4" s="49"/>
      <x:c r="F4" s="49"/>
      <x:c r="G4" s="49"/>
      <x:c r="H4" s="49"/>
      <x:c r="I4" s="49"/>
      <x:c r="J4" s="49"/>
      <x:c r="K4" s="49"/>
      <x:c r="L4" s="49"/>
      <x:c r="M4" s="49"/>
      <x:c r="N4" s="49"/>
      <x:c r="O4" s="49"/>
      <x:c r="P4" s="49"/>
      <x:c r="Q4" s="49"/>
      <x:c r="R4" s="49"/>
      <x:c r="S4" s="49"/>
      <x:c r="T4" s="49"/>
      <x:c r="U4" s="49"/>
      <x:c r="V4" s="49"/>
      <x:c r="W4" s="49"/>
      <x:c r="X4" s="49"/>
      <x:c r="Y4" s="49"/>
      <x:c r="Z4" s="49"/>
      <x:c r="AA4" s="49"/>
      <x:c r="AB4" s="49"/>
      <x:c r="AC4" s="49"/>
      <x:c r="AD4" s="49"/>
      <x:c r="AE4" s="49"/>
      <x:c r="AF4" s="49"/>
      <x:c r="AG4" s="49"/>
      <x:c r="AH4" s="49"/>
      <x:c r="AI4" s="49"/>
      <x:c r="AJ4" s="49"/>
      <x:c r="AK4" s="49"/>
      <x:c r="AL4" s="49"/>
      <x:c r="AM4" s="49"/>
      <x:c r="AN4" s="49"/>
      <x:c r="AO4" s="49"/>
      <x:c r="AP4" s="49"/>
      <x:c r="AQ4" s="49"/>
      <x:c r="AR4" s="49"/>
      <x:c r="AS4" s="49"/>
      <x:c r="AT4" s="49"/>
      <x:c r="AU4" s="49"/>
      <x:c r="AV4" s="49"/>
      <x:c r="AW4" s="49"/>
      <x:c r="AX4" s="49"/>
      <x:c r="AY4" s="49"/>
      <x:c r="AZ4" s="49"/>
    </x:row>
    <x:row r="5">
      <x:c r="A5" s="144" t="str">
        <x:v>资源编号</x:v>
      </x:c>
      <x:c r="B5" s="144" t="str">
        <x:v>资源名称</x:v>
      </x:c>
      <x:c r="C5" s="144" t="str">
        <x:v>资源类型</x:v>
      </x:c>
      <x:c r="D5" s="144" t="str">
        <x:v>授权类型</x:v>
      </x:c>
      <x:c r="E5" s="144" t="str">
        <x:v>当前授权数</x:v>
      </x:c>
      <x:c r="F5" s="144" t="str">
        <x:v>单份年费(CNY)</x:v>
      </x:c>
      <x:c r="G5" s="144" t="str">
        <x:v>峰值并发用户</x:v>
      </x:c>
      <x:c r="H5" s="144" t="str">
        <x:v>平均并发用户</x:v>
      </x:c>
      <x:c r="I5" s="144" t="str">
        <x:v>续约概率</x:v>
      </x:c>
      <x:c r="J5" s="49"/>
      <x:c r="K5" s="49"/>
      <x:c r="L5" s="49"/>
      <x:c r="M5" s="49"/>
      <x:c r="N5" s="49"/>
      <x:c r="O5" s="49"/>
      <x:c r="P5" s="49"/>
      <x:c r="Q5" s="49"/>
      <x:c r="R5" s="49"/>
      <x:c r="S5" s="49"/>
      <x:c r="T5" s="49"/>
      <x:c r="U5" s="49"/>
      <x:c r="V5" s="49"/>
      <x:c r="W5" s="49"/>
      <x:c r="X5" s="49"/>
      <x:c r="Y5" s="49"/>
      <x:c r="Z5" s="49"/>
      <x:c r="AA5" s="49"/>
      <x:c r="AB5" s="49"/>
      <x:c r="AC5" s="49"/>
      <x:c r="AD5" s="49"/>
      <x:c r="AE5" s="49"/>
      <x:c r="AF5" s="49"/>
      <x:c r="AG5" s="49"/>
      <x:c r="AH5" s="49"/>
      <x:c r="AI5" s="49"/>
      <x:c r="AJ5" s="49"/>
      <x:c r="AK5" s="49"/>
      <x:c r="AL5" s="49"/>
      <x:c r="AM5" s="49"/>
      <x:c r="AN5" s="49"/>
      <x:c r="AO5" s="49"/>
      <x:c r="AP5" s="49"/>
      <x:c r="AQ5" s="49"/>
      <x:c r="AR5" s="49"/>
      <x:c r="AS5" s="49"/>
      <x:c r="AT5" s="49"/>
      <x:c r="AU5" s="49"/>
      <x:c r="AV5" s="49"/>
      <x:c r="AW5" s="49"/>
      <x:c r="AX5" s="49"/>
      <x:c r="AY5" s="49"/>
      <x:c r="AZ5" s="49"/>
    </x:row>
    <x:row r="6">
      <x:c r="A6" s="49" t="str">
        <x:v>E001</x:v>
      </x:c>
      <x:c r="B6" s="49" t="str">
        <x:v>TCAD 工具套件 A</x:v>
      </x:c>
      <x:c r="C6" s="49" t="str">
        <x:v>EDA 工具</x:v>
      </x:c>
      <x:c r="D6" s="49" t="str">
        <x:v>浮动授权</x:v>
      </x:c>
      <x:c r="E6" s="134" t="n">
        <x:v>42</x:v>
      </x:c>
      <x:c r="F6" s="174" t="n">
        <x:v>168000</x:v>
      </x:c>
      <x:c r="G6" s="134" t="n">
        <x:v>32</x:v>
      </x:c>
      <x:c r="H6" s="134" t="n">
        <x:v>25</x:v>
      </x:c>
      <x:c r="I6" s="214" t="n">
        <x:v>0.94</x:v>
      </x:c>
      <x:c r="J6" s="49"/>
      <x:c r="K6" s="49"/>
      <x:c r="L6" s="49"/>
      <x:c r="M6" s="49"/>
      <x:c r="N6" s="49"/>
      <x:c r="O6" s="49"/>
      <x:c r="P6" s="49"/>
      <x:c r="Q6" s="49"/>
      <x:c r="R6" s="49"/>
      <x:c r="S6" s="49"/>
      <x:c r="T6" s="49"/>
      <x:c r="U6" s="49"/>
      <x:c r="V6" s="49"/>
      <x:c r="W6" s="49"/>
      <x:c r="X6" s="49"/>
      <x:c r="Y6" s="49"/>
      <x:c r="Z6" s="49"/>
      <x:c r="AA6" s="49"/>
      <x:c r="AB6" s="49"/>
      <x:c r="AC6" s="49"/>
      <x:c r="AD6" s="49"/>
      <x:c r="AE6" s="49"/>
      <x:c r="AF6" s="49"/>
      <x:c r="AG6" s="49"/>
      <x:c r="AH6" s="49"/>
      <x:c r="AI6" s="49"/>
      <x:c r="AJ6" s="49"/>
      <x:c r="AK6" s="49"/>
      <x:c r="AL6" s="49"/>
      <x:c r="AM6" s="49"/>
      <x:c r="AN6" s="49"/>
      <x:c r="AO6" s="49"/>
      <x:c r="AP6" s="49"/>
      <x:c r="AQ6" s="49"/>
      <x:c r="AR6" s="49"/>
      <x:c r="AS6" s="49"/>
      <x:c r="AT6" s="49"/>
      <x:c r="AU6" s="49"/>
      <x:c r="AV6" s="49"/>
      <x:c r="AW6" s="49"/>
      <x:c r="AX6" s="49"/>
      <x:c r="AY6" s="49"/>
      <x:c r="AZ6" s="49"/>
    </x:row>
    <x:row r="7">
      <x:c r="A7" s="49" t="str">
        <x:v>E002</x:v>
      </x:c>
      <x:c r="B7" s="49" t="str">
        <x:v>数字实现工具套件 B</x:v>
      </x:c>
      <x:c r="C7" s="49" t="str">
        <x:v>EDA 工具</x:v>
      </x:c>
      <x:c r="D7" s="49" t="str">
        <x:v>浮动授权</x:v>
      </x:c>
      <x:c r="E7" s="134" t="n">
        <x:v>55</x:v>
      </x:c>
      <x:c r="F7" s="174" t="n">
        <x:v>132000</x:v>
      </x:c>
      <x:c r="G7" s="134" t="n">
        <x:v>47</x:v>
      </x:c>
      <x:c r="H7" s="134" t="n">
        <x:v>36</x:v>
      </x:c>
      <x:c r="I7" s="214" t="n">
        <x:v>0.91</x:v>
      </x:c>
      <x:c r="J7" s="49"/>
      <x:c r="K7" s="49"/>
      <x:c r="L7" s="49"/>
      <x:c r="M7" s="49"/>
      <x:c r="N7" s="49"/>
      <x:c r="O7" s="49"/>
      <x:c r="P7" s="49"/>
      <x:c r="Q7" s="49"/>
      <x:c r="R7" s="49"/>
      <x:c r="S7" s="49"/>
      <x:c r="T7" s="49"/>
      <x:c r="U7" s="49"/>
      <x:c r="V7" s="49"/>
      <x:c r="W7" s="49"/>
      <x:c r="X7" s="49"/>
      <x:c r="Y7" s="49"/>
      <x:c r="Z7" s="49"/>
      <x:c r="AA7" s="49"/>
      <x:c r="AB7" s="49"/>
      <x:c r="AC7" s="49"/>
      <x:c r="AD7" s="49"/>
      <x:c r="AE7" s="49"/>
      <x:c r="AF7" s="49"/>
      <x:c r="AG7" s="49"/>
      <x:c r="AH7" s="49"/>
      <x:c r="AI7" s="49"/>
      <x:c r="AJ7" s="49"/>
      <x:c r="AK7" s="49"/>
      <x:c r="AL7" s="49"/>
      <x:c r="AM7" s="49"/>
      <x:c r="AN7" s="49"/>
      <x:c r="AO7" s="49"/>
      <x:c r="AP7" s="49"/>
      <x:c r="AQ7" s="49"/>
      <x:c r="AR7" s="49"/>
      <x:c r="AS7" s="49"/>
      <x:c r="AT7" s="49"/>
      <x:c r="AU7" s="49"/>
      <x:c r="AV7" s="49"/>
      <x:c r="AW7" s="49"/>
      <x:c r="AX7" s="49"/>
      <x:c r="AY7" s="49"/>
      <x:c r="AZ7" s="49"/>
    </x:row>
    <x:row r="8">
      <x:c r="A8" s="49" t="str">
        <x:v>E003</x:v>
      </x:c>
      <x:c r="B8" s="49" t="str">
        <x:v>模拟/RF 工具套件 C</x:v>
      </x:c>
      <x:c r="C8" s="49" t="str">
        <x:v>EDA 工具</x:v>
      </x:c>
      <x:c r="D8" s="49" t="str">
        <x:v>浮动授权</x:v>
      </x:c>
      <x:c r="E8" s="134" t="n">
        <x:v>30</x:v>
      </x:c>
      <x:c r="F8" s="174" t="n">
        <x:v>148000</x:v>
      </x:c>
      <x:c r="G8" s="134" t="n">
        <x:v>24</x:v>
      </x:c>
      <x:c r="H8" s="134" t="n">
        <x:v>18</x:v>
      </x:c>
      <x:c r="I8" s="214" t="n">
        <x:v>0.89</x:v>
      </x:c>
      <x:c r="J8" s="49"/>
      <x:c r="K8" s="49"/>
      <x:c r="L8" s="49"/>
      <x:c r="M8" s="49"/>
      <x:c r="N8" s="49"/>
      <x:c r="O8" s="49"/>
      <x:c r="P8" s="49"/>
      <x:c r="Q8" s="49"/>
      <x:c r="R8" s="49"/>
      <x:c r="S8" s="49"/>
      <x:c r="T8" s="49"/>
      <x:c r="U8" s="49"/>
      <x:c r="V8" s="49"/>
      <x:c r="W8" s="49"/>
      <x:c r="X8" s="49"/>
      <x:c r="Y8" s="49"/>
      <x:c r="Z8" s="49"/>
      <x:c r="AA8" s="49"/>
      <x:c r="AB8" s="49"/>
      <x:c r="AC8" s="49"/>
      <x:c r="AD8" s="49"/>
      <x:c r="AE8" s="49"/>
      <x:c r="AF8" s="49"/>
      <x:c r="AG8" s="49"/>
      <x:c r="AH8" s="49"/>
      <x:c r="AI8" s="49"/>
      <x:c r="AJ8" s="49"/>
      <x:c r="AK8" s="49"/>
      <x:c r="AL8" s="49"/>
      <x:c r="AM8" s="49"/>
      <x:c r="AN8" s="49"/>
      <x:c r="AO8" s="49"/>
      <x:c r="AP8" s="49"/>
      <x:c r="AQ8" s="49"/>
      <x:c r="AR8" s="49"/>
      <x:c r="AS8" s="49"/>
      <x:c r="AT8" s="49"/>
      <x:c r="AU8" s="49"/>
      <x:c r="AV8" s="49"/>
      <x:c r="AW8" s="49"/>
      <x:c r="AX8" s="49"/>
      <x:c r="AY8" s="49"/>
      <x:c r="AZ8" s="49"/>
    </x:row>
    <x:row r="9">
      <x:c r="A9" s="49" t="str">
        <x:v>E004</x:v>
      </x:c>
      <x:c r="B9" s="49" t="str">
        <x:v>验证 IP 套件 D</x:v>
      </x:c>
      <x:c r="C9" s="49" t="str">
        <x:v>IP 授权</x:v>
      </x:c>
      <x:c r="D9" s="49" t="str">
        <x:v>项目授权</x:v>
      </x:c>
      <x:c r="E9" s="134" t="n">
        <x:v>12</x:v>
      </x:c>
      <x:c r="F9" s="174" t="n">
        <x:v>265000</x:v>
      </x:c>
      <x:c r="G9" s="134" t="n">
        <x:v>10</x:v>
      </x:c>
      <x:c r="H9" s="134" t="n">
        <x:v>7</x:v>
      </x:c>
      <x:c r="I9" s="214" t="n">
        <x:v>0.86</x:v>
      </x:c>
      <x:c r="J9" s="49"/>
      <x:c r="K9" s="49"/>
      <x:c r="L9" s="49"/>
      <x:c r="M9" s="49"/>
      <x:c r="N9" s="49"/>
      <x:c r="O9" s="49"/>
      <x:c r="P9" s="49"/>
      <x:c r="Q9" s="49"/>
      <x:c r="R9" s="49"/>
      <x:c r="S9" s="49"/>
      <x:c r="T9" s="49"/>
      <x:c r="U9" s="49"/>
      <x:c r="V9" s="49"/>
      <x:c r="W9" s="49"/>
      <x:c r="X9" s="49"/>
      <x:c r="Y9" s="49"/>
      <x:c r="Z9" s="49"/>
      <x:c r="AA9" s="49"/>
      <x:c r="AB9" s="49"/>
      <x:c r="AC9" s="49"/>
      <x:c r="AD9" s="49"/>
      <x:c r="AE9" s="49"/>
      <x:c r="AF9" s="49"/>
      <x:c r="AG9" s="49"/>
      <x:c r="AH9" s="49"/>
      <x:c r="AI9" s="49"/>
      <x:c r="AJ9" s="49"/>
      <x:c r="AK9" s="49"/>
      <x:c r="AL9" s="49"/>
      <x:c r="AM9" s="49"/>
      <x:c r="AN9" s="49"/>
      <x:c r="AO9" s="49"/>
      <x:c r="AP9" s="49"/>
      <x:c r="AQ9" s="49"/>
      <x:c r="AR9" s="49"/>
      <x:c r="AS9" s="49"/>
      <x:c r="AT9" s="49"/>
      <x:c r="AU9" s="49"/>
      <x:c r="AV9" s="49"/>
      <x:c r="AW9" s="49"/>
      <x:c r="AX9" s="49"/>
      <x:c r="AY9" s="49"/>
      <x:c r="AZ9" s="49"/>
    </x:row>
    <x:row r="10">
      <x:c r="A10" s="49"/>
      <x:c r="B10" s="49"/>
      <x:c r="C10" s="49"/>
      <x:c r="D10" s="49"/>
      <x:c r="E10" s="49"/>
      <x:c r="F10" s="49"/>
      <x:c r="G10" s="49"/>
      <x:c r="H10" s="49"/>
      <x:c r="I10" s="49"/>
      <x:c r="J10" s="49"/>
      <x:c r="K10" s="49"/>
      <x:c r="L10" s="49"/>
      <x:c r="M10" s="49"/>
      <x:c r="N10" s="49"/>
      <x:c r="O10" s="49"/>
      <x:c r="P10" s="49"/>
      <x:c r="Q10" s="49"/>
      <x:c r="R10" s="49"/>
      <x:c r="S10" s="49"/>
      <x:c r="T10" s="49"/>
      <x:c r="U10" s="49"/>
      <x:c r="V10" s="49"/>
      <x:c r="W10" s="49"/>
      <x:c r="X10" s="49"/>
      <x:c r="Y10" s="49"/>
      <x:c r="Z10" s="49"/>
      <x:c r="AA10" s="49"/>
      <x:c r="AB10" s="49"/>
      <x:c r="AC10" s="49"/>
      <x:c r="AD10" s="49"/>
      <x:c r="AE10" s="49"/>
      <x:c r="AF10" s="49"/>
      <x:c r="AG10" s="49"/>
      <x:c r="AH10" s="49"/>
      <x:c r="AI10" s="49"/>
      <x:c r="AJ10" s="49"/>
      <x:c r="AK10" s="49"/>
      <x:c r="AL10" s="49"/>
      <x:c r="AM10" s="49"/>
      <x:c r="AN10" s="49"/>
      <x:c r="AO10" s="49"/>
      <x:c r="AP10" s="49"/>
      <x:c r="AQ10" s="49"/>
      <x:c r="AR10" s="49"/>
      <x:c r="AS10" s="49"/>
      <x:c r="AT10" s="49"/>
      <x:c r="AU10" s="49"/>
      <x:c r="AV10" s="49"/>
      <x:c r="AW10" s="49"/>
      <x:c r="AX10" s="49"/>
      <x:c r="AY10" s="49"/>
      <x:c r="AZ10" s="49"/>
    </x:row>
    <x:row r="11">
      <x:c r="A11" s="49"/>
      <x:c r="B11" s="49"/>
      <x:c r="C11" s="49"/>
      <x:c r="D11" s="49"/>
      <x:c r="E11" s="49"/>
      <x:c r="F11" s="49"/>
      <x:c r="G11" s="49"/>
      <x:c r="H11" s="49"/>
      <x:c r="I11" s="49"/>
      <x:c r="J11" s="49"/>
      <x:c r="K11" s="49"/>
      <x:c r="L11" s="49"/>
      <x:c r="M11" s="49"/>
      <x:c r="N11" s="49"/>
      <x:c r="O11" s="49"/>
      <x:c r="P11" s="49"/>
      <x:c r="Q11" s="49"/>
      <x:c r="R11" s="49"/>
      <x:c r="S11" s="49"/>
      <x:c r="T11" s="49"/>
      <x:c r="U11" s="49"/>
      <x:c r="V11" s="49"/>
      <x:c r="W11" s="49"/>
      <x:c r="X11" s="49"/>
      <x:c r="Y11" s="49"/>
      <x:c r="Z11" s="49"/>
      <x:c r="AA11" s="49"/>
      <x:c r="AB11" s="49"/>
      <x:c r="AC11" s="49"/>
      <x:c r="AD11" s="49"/>
      <x:c r="AE11" s="49"/>
      <x:c r="AF11" s="49"/>
      <x:c r="AG11" s="49"/>
      <x:c r="AH11" s="49"/>
      <x:c r="AI11" s="49"/>
      <x:c r="AJ11" s="49"/>
      <x:c r="AK11" s="49"/>
      <x:c r="AL11" s="49"/>
      <x:c r="AM11" s="49"/>
      <x:c r="AN11" s="49"/>
      <x:c r="AO11" s="49"/>
      <x:c r="AP11" s="49"/>
      <x:c r="AQ11" s="49"/>
      <x:c r="AR11" s="49"/>
      <x:c r="AS11" s="49"/>
      <x:c r="AT11" s="49"/>
      <x:c r="AU11" s="49"/>
      <x:c r="AV11" s="49"/>
      <x:c r="AW11" s="49"/>
      <x:c r="AX11" s="49"/>
      <x:c r="AY11" s="49"/>
      <x:c r="AZ11" s="49"/>
    </x:row>
    <x:row r="12">
      <x:c r="A12" s="144" t="str">
        <x:v>情景</x:v>
      </x:c>
      <x:c r="B12" s="144" t="str">
        <x:v>策略</x:v>
      </x:c>
      <x:c r="C12" s="144" t="str">
        <x:v>年度授权成本(CNY)</x:v>
      </x:c>
      <x:c r="D12" s="144" t="str">
        <x:v>峰值需求覆盖率</x:v>
      </x:c>
      <x:c r="E12" s="144" t="str">
        <x:v>估计峰值缺口数量</x:v>
      </x:c>
      <x:c r="F12" s="49"/>
      <x:c r="G12" s="133" t="str">
        <x:v>当前 EDA/IP 结果</x:v>
      </x:c>
      <x:c r="H12" s="133"/>
      <x:c r="I12" s="133"/>
      <x:c r="J12" s="133"/>
      <x:c r="K12" s="49"/>
      <x:c r="L12" s="49"/>
      <x:c r="M12" s="49"/>
      <x:c r="N12" s="49"/>
      <x:c r="O12" s="49"/>
      <x:c r="P12" s="49"/>
      <x:c r="Q12" s="49"/>
      <x:c r="R12" s="49"/>
      <x:c r="S12" s="49"/>
      <x:c r="T12" s="49"/>
      <x:c r="U12" s="49"/>
      <x:c r="V12" s="49"/>
      <x:c r="W12" s="49"/>
      <x:c r="X12" s="49"/>
      <x:c r="Y12" s="49"/>
      <x:c r="Z12" s="49"/>
      <x:c r="AA12" s="49"/>
      <x:c r="AB12" s="49"/>
      <x:c r="AC12" s="49"/>
      <x:c r="AD12" s="49"/>
      <x:c r="AE12" s="49"/>
      <x:c r="AF12" s="49"/>
      <x:c r="AG12" s="49"/>
      <x:c r="AH12" s="49"/>
      <x:c r="AI12" s="49"/>
      <x:c r="AJ12" s="49"/>
      <x:c r="AK12" s="49"/>
      <x:c r="AL12" s="49"/>
      <x:c r="AM12" s="49"/>
      <x:c r="AN12" s="49"/>
      <x:c r="AO12" s="49"/>
      <x:c r="AP12" s="49"/>
      <x:c r="AQ12" s="49"/>
      <x:c r="AR12" s="49"/>
      <x:c r="AS12" s="49"/>
      <x:c r="AT12" s="49"/>
      <x:c r="AU12" s="49"/>
      <x:c r="AV12" s="49"/>
      <x:c r="AW12" s="49"/>
      <x:c r="AX12" s="49"/>
      <x:c r="AY12" s="49"/>
      <x:c r="AZ12" s="49"/>
    </x:row>
    <x:row r="13">
      <x:c r="A13" s="49" t="str">
        <x:v>基准</x:v>
      </x:c>
      <x:c r="B13" s="49" t="str">
        <x:v>精简</x:v>
      </x:c>
      <x:c r="C13" s="175" t="n">
        <x:v>19895000</x:v>
      </x:c>
      <x:c r="D13" s="214" t="n">
        <x:v>1</x:v>
      </x:c>
      <x:c r="E13" s="49" t="n">
        <x:v>0</x:v>
      </x:c>
      <x:c r="F13" s="49"/>
      <x:c r="G13" s="48" t="str">
        <x:v>情景</x:v>
      </x:c>
      <x:c r="H13" s="49" t="str">
        <x:f>'01_Assumptions'!$B$21</x:f>
        <x:v>基准</x:v>
      </x:c>
      <x:c r="I13" s="49"/>
      <x:c r="J13" s="49"/>
      <x:c r="K13" s="49"/>
      <x:c r="L13" s="49"/>
      <x:c r="M13" s="49"/>
      <x:c r="N13" s="49"/>
      <x:c r="O13" s="49"/>
      <x:c r="P13" s="49"/>
      <x:c r="Q13" s="49"/>
      <x:c r="R13" s="49"/>
      <x:c r="S13" s="49"/>
      <x:c r="T13" s="49"/>
      <x:c r="U13" s="49"/>
      <x:c r="V13" s="49"/>
      <x:c r="W13" s="49"/>
      <x:c r="X13" s="49"/>
      <x:c r="Y13" s="49"/>
      <x:c r="Z13" s="49"/>
      <x:c r="AA13" s="49"/>
      <x:c r="AB13" s="49"/>
      <x:c r="AC13" s="49"/>
      <x:c r="AD13" s="49"/>
      <x:c r="AE13" s="49"/>
      <x:c r="AF13" s="49"/>
      <x:c r="AG13" s="49"/>
      <x:c r="AH13" s="49"/>
      <x:c r="AI13" s="49"/>
      <x:c r="AJ13" s="49"/>
      <x:c r="AK13" s="49"/>
      <x:c r="AL13" s="49"/>
      <x:c r="AM13" s="49"/>
      <x:c r="AN13" s="49"/>
      <x:c r="AO13" s="49"/>
      <x:c r="AP13" s="49"/>
      <x:c r="AQ13" s="49"/>
      <x:c r="AR13" s="49"/>
      <x:c r="AS13" s="49"/>
      <x:c r="AT13" s="49"/>
      <x:c r="AU13" s="49"/>
      <x:c r="AV13" s="49"/>
      <x:c r="AW13" s="49"/>
      <x:c r="AX13" s="49"/>
      <x:c r="AY13" s="49"/>
      <x:c r="AZ13" s="49"/>
    </x:row>
    <x:row r="14">
      <x:c r="A14" s="49" t="str">
        <x:v>基准</x:v>
      </x:c>
      <x:c r="B14" s="49" t="str">
        <x:v>当前</x:v>
      </x:c>
      <x:c r="C14" s="175" t="n">
        <x:v>21936000</x:v>
      </x:c>
      <x:c r="D14" s="214" t="n">
        <x:v>1</x:v>
      </x:c>
      <x:c r="E14" s="49" t="n">
        <x:v>0</x:v>
      </x:c>
      <x:c r="F14" s="49"/>
      <x:c r="G14" s="48" t="str">
        <x:v>策略</x:v>
      </x:c>
      <x:c r="H14" s="49" t="str">
        <x:f>'01_Assumptions'!$B$22</x:f>
        <x:v>当前</x:v>
      </x:c>
      <x:c r="I14" s="49"/>
      <x:c r="J14" s="49"/>
      <x:c r="K14" s="49"/>
      <x:c r="L14" s="49"/>
      <x:c r="M14" s="49"/>
      <x:c r="N14" s="49"/>
      <x:c r="O14" s="49"/>
      <x:c r="P14" s="49"/>
      <x:c r="Q14" s="49"/>
      <x:c r="R14" s="49"/>
      <x:c r="S14" s="49"/>
      <x:c r="T14" s="49"/>
      <x:c r="U14" s="49"/>
      <x:c r="V14" s="49"/>
      <x:c r="W14" s="49"/>
      <x:c r="X14" s="49"/>
      <x:c r="Y14" s="49"/>
      <x:c r="Z14" s="49"/>
      <x:c r="AA14" s="49"/>
      <x:c r="AB14" s="49"/>
      <x:c r="AC14" s="49"/>
      <x:c r="AD14" s="49"/>
      <x:c r="AE14" s="49"/>
      <x:c r="AF14" s="49"/>
      <x:c r="AG14" s="49"/>
      <x:c r="AH14" s="49"/>
      <x:c r="AI14" s="49"/>
      <x:c r="AJ14" s="49"/>
      <x:c r="AK14" s="49"/>
      <x:c r="AL14" s="49"/>
      <x:c r="AM14" s="49"/>
      <x:c r="AN14" s="49"/>
      <x:c r="AO14" s="49"/>
      <x:c r="AP14" s="49"/>
      <x:c r="AQ14" s="49"/>
      <x:c r="AR14" s="49"/>
      <x:c r="AS14" s="49"/>
      <x:c r="AT14" s="49"/>
      <x:c r="AU14" s="49"/>
      <x:c r="AV14" s="49"/>
      <x:c r="AW14" s="49"/>
      <x:c r="AX14" s="49"/>
      <x:c r="AY14" s="49"/>
      <x:c r="AZ14" s="49"/>
    </x:row>
    <x:row r="15">
      <x:c r="A15" s="49" t="str">
        <x:v>基准</x:v>
      </x:c>
      <x:c r="B15" s="49" t="str">
        <x:v>缓冲</x:v>
      </x:c>
      <x:c r="C15" s="175" t="n">
        <x:v>25570000</x:v>
      </x:c>
      <x:c r="D15" s="214" t="n">
        <x:v>1</x:v>
      </x:c>
      <x:c r="E15" s="49" t="n">
        <x:v>0</x:v>
      </x:c>
      <x:c r="F15" s="49"/>
      <x:c r="G15" s="48" t="str">
        <x:v>年度授权成本</x:v>
      </x:c>
      <x:c r="H15" s="175" t="n">
        <x:f>SUMIFS($C$13:$C$24,$A$13:$A$24,H13,$B$13:$B$24,H14)</x:f>
        <x:v>21936000</x:v>
      </x:c>
      <x:c r="I15" s="49"/>
      <x:c r="J15" s="49"/>
      <x:c r="K15" s="49"/>
      <x:c r="L15" s="49"/>
      <x:c r="M15" s="49"/>
      <x:c r="N15" s="49"/>
      <x:c r="O15" s="49"/>
      <x:c r="P15" s="49"/>
      <x:c r="Q15" s="49"/>
      <x:c r="R15" s="49"/>
      <x:c r="S15" s="49"/>
      <x:c r="T15" s="49"/>
      <x:c r="U15" s="49"/>
      <x:c r="V15" s="49"/>
      <x:c r="W15" s="49"/>
      <x:c r="X15" s="49"/>
      <x:c r="Y15" s="49"/>
      <x:c r="Z15" s="49"/>
      <x:c r="AA15" s="49"/>
      <x:c r="AB15" s="49"/>
      <x:c r="AC15" s="49"/>
      <x:c r="AD15" s="49"/>
      <x:c r="AE15" s="49"/>
      <x:c r="AF15" s="49"/>
      <x:c r="AG15" s="49"/>
      <x:c r="AH15" s="49"/>
      <x:c r="AI15" s="49"/>
      <x:c r="AJ15" s="49"/>
      <x:c r="AK15" s="49"/>
      <x:c r="AL15" s="49"/>
      <x:c r="AM15" s="49"/>
      <x:c r="AN15" s="49"/>
      <x:c r="AO15" s="49"/>
      <x:c r="AP15" s="49"/>
      <x:c r="AQ15" s="49"/>
      <x:c r="AR15" s="49"/>
      <x:c r="AS15" s="49"/>
      <x:c r="AT15" s="49"/>
      <x:c r="AU15" s="49"/>
      <x:c r="AV15" s="49"/>
      <x:c r="AW15" s="49"/>
      <x:c r="AX15" s="49"/>
      <x:c r="AY15" s="49"/>
      <x:c r="AZ15" s="49"/>
    </x:row>
    <x:row r="16">
      <x:c r="A16" s="49" t="str">
        <x:v>需求 +20%</x:v>
      </x:c>
      <x:c r="B16" s="49" t="str">
        <x:v>精简</x:v>
      </x:c>
      <x:c r="C16" s="175" t="n">
        <x:v>19895000</x:v>
      </x:c>
      <x:c r="D16" s="214" t="n">
        <x:v>0.9292035398230089</x:v>
      </x:c>
      <x:c r="E16" s="49" t="n">
        <x:v>11</x:v>
      </x:c>
      <x:c r="F16" s="49"/>
      <x:c r="G16" s="48" t="str">
        <x:v>峰值需求覆盖率</x:v>
      </x:c>
      <x:c r="H16" s="214" t="n">
        <x:f>SUMIFS($D$13:$D$24,$A$13:$A$24,H13,$B$13:$B$24,H14)</x:f>
        <x:v>1</x:v>
      </x:c>
      <x:c r="I16" s="49"/>
      <x:c r="J16" s="49"/>
      <x:c r="K16" s="49"/>
      <x:c r="L16" s="49"/>
      <x:c r="M16" s="49"/>
      <x:c r="N16" s="49"/>
      <x:c r="O16" s="49"/>
      <x:c r="P16" s="49"/>
      <x:c r="Q16" s="49"/>
      <x:c r="R16" s="49"/>
      <x:c r="S16" s="49"/>
      <x:c r="T16" s="49"/>
      <x:c r="U16" s="49"/>
      <x:c r="V16" s="49"/>
      <x:c r="W16" s="49"/>
      <x:c r="X16" s="49"/>
      <x:c r="Y16" s="49"/>
      <x:c r="Z16" s="49"/>
      <x:c r="AA16" s="49"/>
      <x:c r="AB16" s="49"/>
      <x:c r="AC16" s="49"/>
      <x:c r="AD16" s="49"/>
      <x:c r="AE16" s="49"/>
      <x:c r="AF16" s="49"/>
      <x:c r="AG16" s="49"/>
      <x:c r="AH16" s="49"/>
      <x:c r="AI16" s="49"/>
      <x:c r="AJ16" s="49"/>
      <x:c r="AK16" s="49"/>
      <x:c r="AL16" s="49"/>
      <x:c r="AM16" s="49"/>
      <x:c r="AN16" s="49"/>
      <x:c r="AO16" s="49"/>
      <x:c r="AP16" s="49"/>
      <x:c r="AQ16" s="49"/>
      <x:c r="AR16" s="49"/>
      <x:c r="AS16" s="49"/>
      <x:c r="AT16" s="49"/>
      <x:c r="AU16" s="49"/>
      <x:c r="AV16" s="49"/>
      <x:c r="AW16" s="49"/>
      <x:c r="AX16" s="49"/>
      <x:c r="AY16" s="49"/>
      <x:c r="AZ16" s="49"/>
    </x:row>
    <x:row r="17">
      <x:c r="A17" s="49" t="str">
        <x:v>需求 +20%</x:v>
      </x:c>
      <x:c r="B17" s="49" t="str">
        <x:v>当前</x:v>
      </x:c>
      <x:c r="C17" s="175" t="n">
        <x:v>21936000</x:v>
      </x:c>
      <x:c r="D17" s="214" t="n">
        <x:v>0.9896755162241887</x:v>
      </x:c>
      <x:c r="E17" s="49" t="n">
        <x:v>2</x:v>
      </x:c>
      <x:c r="F17" s="49"/>
      <x:c r="G17" s="48" t="str">
        <x:v>峰值缺口数量</x:v>
      </x:c>
      <x:c r="H17" s="49" t="n">
        <x:f>SUMIFS($E$13:$E$24,$A$13:$A$24,H13,$B$13:$B$24,H14)</x:f>
        <x:v>0</x:v>
      </x:c>
      <x:c r="I17" s="49"/>
      <x:c r="J17" s="49"/>
      <x:c r="K17" s="49"/>
      <x:c r="L17" s="49"/>
      <x:c r="M17" s="49"/>
      <x:c r="N17" s="49"/>
      <x:c r="O17" s="49"/>
      <x:c r="P17" s="49"/>
      <x:c r="Q17" s="49"/>
      <x:c r="R17" s="49"/>
      <x:c r="S17" s="49"/>
      <x:c r="T17" s="49"/>
      <x:c r="U17" s="49"/>
      <x:c r="V17" s="49"/>
      <x:c r="W17" s="49"/>
      <x:c r="X17" s="49"/>
      <x:c r="Y17" s="49"/>
      <x:c r="Z17" s="49"/>
      <x:c r="AA17" s="49"/>
      <x:c r="AB17" s="49"/>
      <x:c r="AC17" s="49"/>
      <x:c r="AD17" s="49"/>
      <x:c r="AE17" s="49"/>
      <x:c r="AF17" s="49"/>
      <x:c r="AG17" s="49"/>
      <x:c r="AH17" s="49"/>
      <x:c r="AI17" s="49"/>
      <x:c r="AJ17" s="49"/>
      <x:c r="AK17" s="49"/>
      <x:c r="AL17" s="49"/>
      <x:c r="AM17" s="49"/>
      <x:c r="AN17" s="49"/>
      <x:c r="AO17" s="49"/>
      <x:c r="AP17" s="49"/>
      <x:c r="AQ17" s="49"/>
      <x:c r="AR17" s="49"/>
      <x:c r="AS17" s="49"/>
      <x:c r="AT17" s="49"/>
      <x:c r="AU17" s="49"/>
      <x:c r="AV17" s="49"/>
      <x:c r="AW17" s="49"/>
      <x:c r="AX17" s="49"/>
      <x:c r="AY17" s="49"/>
      <x:c r="AZ17" s="49"/>
    </x:row>
    <x:row r="18">
      <x:c r="A18" s="49" t="str">
        <x:v>需求 +20%</x:v>
      </x:c>
      <x:c r="B18" s="49" t="str">
        <x:v>缓冲</x:v>
      </x:c>
      <x:c r="C18" s="175" t="n">
        <x:v>25570000</x:v>
      </x:c>
      <x:c r="D18" s="214" t="n">
        <x:v>1</x:v>
      </x:c>
      <x:c r="E18" s="49" t="n">
        <x:v>0</x:v>
      </x:c>
      <x:c r="F18" s="49"/>
      <x:c r="G18" s="49"/>
      <x:c r="H18" s="49"/>
      <x:c r="I18" s="49"/>
      <x:c r="J18" s="49"/>
      <x:c r="K18" s="49"/>
      <x:c r="L18" s="49"/>
      <x:c r="M18" s="49"/>
      <x:c r="N18" s="49"/>
      <x:c r="O18" s="49"/>
      <x:c r="P18" s="49"/>
      <x:c r="Q18" s="49"/>
      <x:c r="R18" s="49"/>
      <x:c r="S18" s="49"/>
      <x:c r="T18" s="49"/>
      <x:c r="U18" s="49"/>
      <x:c r="V18" s="49"/>
      <x:c r="W18" s="49"/>
      <x:c r="X18" s="49"/>
      <x:c r="Y18" s="49"/>
      <x:c r="Z18" s="49"/>
      <x:c r="AA18" s="49"/>
      <x:c r="AB18" s="49"/>
      <x:c r="AC18" s="49"/>
      <x:c r="AD18" s="49"/>
      <x:c r="AE18" s="49"/>
      <x:c r="AF18" s="49"/>
      <x:c r="AG18" s="49"/>
      <x:c r="AH18" s="49"/>
      <x:c r="AI18" s="49"/>
      <x:c r="AJ18" s="49"/>
      <x:c r="AK18" s="49"/>
      <x:c r="AL18" s="49"/>
      <x:c r="AM18" s="49"/>
      <x:c r="AN18" s="49"/>
      <x:c r="AO18" s="49"/>
      <x:c r="AP18" s="49"/>
      <x:c r="AQ18" s="49"/>
      <x:c r="AR18" s="49"/>
      <x:c r="AS18" s="49"/>
      <x:c r="AT18" s="49"/>
      <x:c r="AU18" s="49"/>
      <x:c r="AV18" s="49"/>
      <x:c r="AW18" s="49"/>
      <x:c r="AX18" s="49"/>
      <x:c r="AY18" s="49"/>
      <x:c r="AZ18" s="49"/>
    </x:row>
    <x:row r="19">
      <x:c r="A19" s="49" t="str">
        <x:v>厂商价格 +10%</x:v>
      </x:c>
      <x:c r="B19" s="49" t="str">
        <x:v>精简</x:v>
      </x:c>
      <x:c r="C19" s="175" t="n">
        <x:v>21884500</x:v>
      </x:c>
      <x:c r="D19" s="214" t="n">
        <x:v>1</x:v>
      </x:c>
      <x:c r="E19" s="49" t="n">
        <x:v>0</x:v>
      </x:c>
      <x:c r="F19" s="49"/>
      <x:c r="G19" s="45" t="str">
        <x:v>EDA/IP 使用边界：资源名称和年度费用均为模拟数据。本扩展仅展示授权需求 / 成本 / 覆盖逻辑，不代表真实厂商报价、合同条款、Royalty 或实际使用率。</x:v>
      </x:c>
      <x:c r="H19" s="45"/>
      <x:c r="I19" s="45"/>
      <x:c r="J19" s="45"/>
      <x:c r="K19" s="45"/>
      <x:c r="L19" s="45"/>
      <x:c r="M19" s="45"/>
      <x:c r="N19" s="49"/>
      <x:c r="O19" s="49"/>
      <x:c r="P19" s="49"/>
      <x:c r="Q19" s="49"/>
      <x:c r="R19" s="49"/>
      <x:c r="S19" s="49"/>
      <x:c r="T19" s="49"/>
      <x:c r="U19" s="49"/>
      <x:c r="V19" s="49"/>
      <x:c r="W19" s="49"/>
      <x:c r="X19" s="49"/>
      <x:c r="Y19" s="49"/>
      <x:c r="Z19" s="49"/>
      <x:c r="AA19" s="49"/>
      <x:c r="AB19" s="49"/>
      <x:c r="AC19" s="49"/>
      <x:c r="AD19" s="49"/>
      <x:c r="AE19" s="49"/>
      <x:c r="AF19" s="49"/>
      <x:c r="AG19" s="49"/>
      <x:c r="AH19" s="49"/>
      <x:c r="AI19" s="49"/>
      <x:c r="AJ19" s="49"/>
      <x:c r="AK19" s="49"/>
      <x:c r="AL19" s="49"/>
      <x:c r="AM19" s="49"/>
      <x:c r="AN19" s="49"/>
      <x:c r="AO19" s="49"/>
      <x:c r="AP19" s="49"/>
      <x:c r="AQ19" s="49"/>
      <x:c r="AR19" s="49"/>
      <x:c r="AS19" s="49"/>
      <x:c r="AT19" s="49"/>
      <x:c r="AU19" s="49"/>
      <x:c r="AV19" s="49"/>
      <x:c r="AW19" s="49"/>
      <x:c r="AX19" s="49"/>
      <x:c r="AY19" s="49"/>
      <x:c r="AZ19" s="49"/>
    </x:row>
    <x:row r="20">
      <x:c r="A20" s="49" t="str">
        <x:v>厂商价格 +10%</x:v>
      </x:c>
      <x:c r="B20" s="49" t="str">
        <x:v>当前</x:v>
      </x:c>
      <x:c r="C20" s="175" t="n">
        <x:v>24129600</x:v>
      </x:c>
      <x:c r="D20" s="214" t="n">
        <x:v>1</x:v>
      </x:c>
      <x:c r="E20" s="49" t="n">
        <x:v>0</x:v>
      </x:c>
      <x:c r="F20" s="49"/>
      <x:c r="G20" s="45"/>
      <x:c r="H20" s="45"/>
      <x:c r="I20" s="45"/>
      <x:c r="J20" s="45"/>
      <x:c r="K20" s="45"/>
      <x:c r="L20" s="45"/>
      <x:c r="M20" s="45"/>
      <x:c r="N20" s="49"/>
      <x:c r="O20" s="49"/>
      <x:c r="P20" s="49"/>
      <x:c r="Q20" s="49"/>
      <x:c r="R20" s="49"/>
      <x:c r="S20" s="49"/>
      <x:c r="T20" s="49"/>
      <x:c r="U20" s="49"/>
      <x:c r="V20" s="49"/>
      <x:c r="W20" s="49"/>
      <x:c r="X20" s="49"/>
      <x:c r="Y20" s="49"/>
      <x:c r="Z20" s="49"/>
      <x:c r="AA20" s="49"/>
      <x:c r="AB20" s="49"/>
      <x:c r="AC20" s="49"/>
      <x:c r="AD20" s="49"/>
      <x:c r="AE20" s="49"/>
      <x:c r="AF20" s="49"/>
      <x:c r="AG20" s="49"/>
      <x:c r="AH20" s="49"/>
      <x:c r="AI20" s="49"/>
      <x:c r="AJ20" s="49"/>
      <x:c r="AK20" s="49"/>
      <x:c r="AL20" s="49"/>
      <x:c r="AM20" s="49"/>
      <x:c r="AN20" s="49"/>
      <x:c r="AO20" s="49"/>
      <x:c r="AP20" s="49"/>
      <x:c r="AQ20" s="49"/>
      <x:c r="AR20" s="49"/>
      <x:c r="AS20" s="49"/>
      <x:c r="AT20" s="49"/>
      <x:c r="AU20" s="49"/>
      <x:c r="AV20" s="49"/>
      <x:c r="AW20" s="49"/>
      <x:c r="AX20" s="49"/>
      <x:c r="AY20" s="49"/>
      <x:c r="AZ20" s="49"/>
    </x:row>
    <x:row r="21">
      <x:c r="A21" s="49" t="str">
        <x:v>厂商价格 +10%</x:v>
      </x:c>
      <x:c r="B21" s="49" t="str">
        <x:v>缓冲</x:v>
      </x:c>
      <x:c r="C21" s="175" t="n">
        <x:v>28127000</x:v>
      </x:c>
      <x:c r="D21" s="214" t="n">
        <x:v>1</x:v>
      </x:c>
      <x:c r="E21" s="49" t="n">
        <x:v>0</x:v>
      </x:c>
      <x:c r="F21" s="49"/>
      <x:c r="G21" s="45"/>
      <x:c r="H21" s="45"/>
      <x:c r="I21" s="45"/>
      <x:c r="J21" s="45"/>
      <x:c r="K21" s="45"/>
      <x:c r="L21" s="45"/>
      <x:c r="M21" s="45"/>
      <x:c r="N21" s="49"/>
      <x:c r="O21" s="49"/>
      <x:c r="P21" s="49"/>
      <x:c r="Q21" s="49"/>
      <x:c r="R21" s="49"/>
      <x:c r="S21" s="49"/>
      <x:c r="T21" s="49"/>
      <x:c r="U21" s="49"/>
      <x:c r="V21" s="49"/>
      <x:c r="W21" s="49"/>
      <x:c r="X21" s="49"/>
      <x:c r="Y21" s="49"/>
      <x:c r="Z21" s="49"/>
      <x:c r="AA21" s="49"/>
      <x:c r="AB21" s="49"/>
      <x:c r="AC21" s="49"/>
      <x:c r="AD21" s="49"/>
      <x:c r="AE21" s="49"/>
      <x:c r="AF21" s="49"/>
      <x:c r="AG21" s="49"/>
      <x:c r="AH21" s="49"/>
      <x:c r="AI21" s="49"/>
      <x:c r="AJ21" s="49"/>
      <x:c r="AK21" s="49"/>
      <x:c r="AL21" s="49"/>
      <x:c r="AM21" s="49"/>
      <x:c r="AN21" s="49"/>
      <x:c r="AO21" s="49"/>
      <x:c r="AP21" s="49"/>
      <x:c r="AQ21" s="49"/>
      <x:c r="AR21" s="49"/>
      <x:c r="AS21" s="49"/>
      <x:c r="AT21" s="49"/>
      <x:c r="AU21" s="49"/>
      <x:c r="AV21" s="49"/>
      <x:c r="AW21" s="49"/>
      <x:c r="AX21" s="49"/>
      <x:c r="AY21" s="49"/>
      <x:c r="AZ21" s="49"/>
    </x:row>
    <x:row r="22">
      <x:c r="A22" s="49" t="str">
        <x:v>项目增长</x:v>
      </x:c>
      <x:c r="B22" s="49" t="str">
        <x:v>精简</x:v>
      </x:c>
      <x:c r="C22" s="175" t="n">
        <x:v>20889750</x:v>
      </x:c>
      <x:c r="D22" s="214" t="n">
        <x:v>0.8577263444520081</x:v>
      </x:c>
      <x:c r="E22" s="49" t="n">
        <x:v>23</x:v>
      </x:c>
      <x:c r="F22" s="49"/>
      <x:c r="G22" s="45"/>
      <x:c r="H22" s="45"/>
      <x:c r="I22" s="45"/>
      <x:c r="J22" s="45"/>
      <x:c r="K22" s="45"/>
      <x:c r="L22" s="45"/>
      <x:c r="M22" s="45"/>
      <x:c r="N22" s="49"/>
      <x:c r="O22" s="49"/>
      <x:c r="P22" s="49"/>
      <x:c r="Q22" s="49"/>
      <x:c r="R22" s="49"/>
      <x:c r="S22" s="49"/>
      <x:c r="T22" s="49"/>
      <x:c r="U22" s="49"/>
      <x:c r="V22" s="49"/>
      <x:c r="W22" s="49"/>
      <x:c r="X22" s="49"/>
      <x:c r="Y22" s="49"/>
      <x:c r="Z22" s="49"/>
      <x:c r="AA22" s="49"/>
      <x:c r="AB22" s="49"/>
      <x:c r="AC22" s="49"/>
      <x:c r="AD22" s="49"/>
      <x:c r="AE22" s="49"/>
      <x:c r="AF22" s="49"/>
      <x:c r="AG22" s="49"/>
      <x:c r="AH22" s="49"/>
      <x:c r="AI22" s="49"/>
      <x:c r="AJ22" s="49"/>
      <x:c r="AK22" s="49"/>
      <x:c r="AL22" s="49"/>
      <x:c r="AM22" s="49"/>
      <x:c r="AN22" s="49"/>
      <x:c r="AO22" s="49"/>
      <x:c r="AP22" s="49"/>
      <x:c r="AQ22" s="49"/>
      <x:c r="AR22" s="49"/>
      <x:c r="AS22" s="49"/>
      <x:c r="AT22" s="49"/>
      <x:c r="AU22" s="49"/>
      <x:c r="AV22" s="49"/>
      <x:c r="AW22" s="49"/>
      <x:c r="AX22" s="49"/>
      <x:c r="AY22" s="49"/>
      <x:c r="AZ22" s="49"/>
    </x:row>
    <x:row r="23">
      <x:c r="A23" s="49" t="str">
        <x:v>项目增长</x:v>
      </x:c>
      <x:c r="B23" s="49" t="str">
        <x:v>当前</x:v>
      </x:c>
      <x:c r="C23" s="175" t="n">
        <x:v>23032800</x:v>
      </x:c>
      <x:c r="D23" s="214" t="n">
        <x:v>0.9434989788972089</x:v>
      </x:c>
      <x:c r="E23" s="49" t="n">
        <x:v>10</x:v>
      </x:c>
      <x:c r="F23" s="49"/>
      <x:c r="G23" s="49"/>
      <x:c r="H23" s="49"/>
      <x:c r="I23" s="49"/>
      <x:c r="J23" s="49"/>
      <x:c r="K23" s="49"/>
      <x:c r="L23" s="49"/>
      <x:c r="M23" s="49"/>
      <x:c r="N23" s="49"/>
      <x:c r="O23" s="49"/>
      <x:c r="P23" s="49"/>
      <x:c r="Q23" s="49"/>
      <x:c r="R23" s="49"/>
      <x:c r="S23" s="49"/>
      <x:c r="T23" s="49"/>
      <x:c r="U23" s="49"/>
      <x:c r="V23" s="49"/>
      <x:c r="W23" s="49"/>
      <x:c r="X23" s="49"/>
      <x:c r="Y23" s="49"/>
      <x:c r="Z23" s="49"/>
      <x:c r="AA23" s="49"/>
      <x:c r="AB23" s="49"/>
      <x:c r="AC23" s="49"/>
      <x:c r="AD23" s="49"/>
      <x:c r="AE23" s="49"/>
      <x:c r="AF23" s="49"/>
      <x:c r="AG23" s="49"/>
      <x:c r="AH23" s="49"/>
      <x:c r="AI23" s="49"/>
      <x:c r="AJ23" s="49"/>
      <x:c r="AK23" s="49"/>
      <x:c r="AL23" s="49"/>
      <x:c r="AM23" s="49"/>
      <x:c r="AN23" s="49"/>
      <x:c r="AO23" s="49"/>
      <x:c r="AP23" s="49"/>
      <x:c r="AQ23" s="49"/>
      <x:c r="AR23" s="49"/>
      <x:c r="AS23" s="49"/>
      <x:c r="AT23" s="49"/>
      <x:c r="AU23" s="49"/>
      <x:c r="AV23" s="49"/>
      <x:c r="AW23" s="49"/>
      <x:c r="AX23" s="49"/>
      <x:c r="AY23" s="49"/>
      <x:c r="AZ23" s="49"/>
    </x:row>
    <x:row r="24">
      <x:c r="A24" s="49" t="str">
        <x:v>项目增长</x:v>
      </x:c>
      <x:c r="B24" s="49" t="str">
        <x:v>缓冲</x:v>
      </x:c>
      <x:c r="C24" s="175" t="n">
        <x:v>26848500</x:v>
      </x:c>
      <x:c r="D24" s="214" t="n">
        <x:v>1</x:v>
      </x:c>
      <x:c r="E24" s="49" t="n">
        <x:v>0</x:v>
      </x:c>
      <x:c r="F24" s="49"/>
      <x:c r="G24" s="49"/>
      <x:c r="H24" s="49"/>
      <x:c r="I24" s="49"/>
      <x:c r="J24" s="49"/>
      <x:c r="K24" s="49"/>
      <x:c r="L24" s="49"/>
      <x:c r="M24" s="49"/>
      <x:c r="N24" s="49"/>
      <x:c r="O24" s="49"/>
      <x:c r="P24" s="49"/>
      <x:c r="Q24" s="49"/>
      <x:c r="R24" s="49"/>
      <x:c r="S24" s="49"/>
      <x:c r="T24" s="49"/>
      <x:c r="U24" s="49"/>
      <x:c r="V24" s="49"/>
      <x:c r="W24" s="49"/>
      <x:c r="X24" s="49"/>
      <x:c r="Y24" s="49"/>
      <x:c r="Z24" s="49"/>
      <x:c r="AA24" s="49"/>
      <x:c r="AB24" s="49"/>
      <x:c r="AC24" s="49"/>
      <x:c r="AD24" s="49"/>
      <x:c r="AE24" s="49"/>
      <x:c r="AF24" s="49"/>
      <x:c r="AG24" s="49"/>
      <x:c r="AH24" s="49"/>
      <x:c r="AI24" s="49"/>
      <x:c r="AJ24" s="49"/>
      <x:c r="AK24" s="49"/>
      <x:c r="AL24" s="49"/>
      <x:c r="AM24" s="49"/>
      <x:c r="AN24" s="49"/>
      <x:c r="AO24" s="49"/>
      <x:c r="AP24" s="49"/>
      <x:c r="AQ24" s="49"/>
      <x:c r="AR24" s="49"/>
      <x:c r="AS24" s="49"/>
      <x:c r="AT24" s="49"/>
      <x:c r="AU24" s="49"/>
      <x:c r="AV24" s="49"/>
      <x:c r="AW24" s="49"/>
      <x:c r="AX24" s="49"/>
      <x:c r="AY24" s="49"/>
      <x:c r="AZ24" s="49"/>
    </x:row>
    <x:row r="25">
      <x:c r="A25" s="49"/>
      <x:c r="B25" s="49"/>
      <x:c r="C25" s="49"/>
      <x:c r="D25" s="49"/>
      <x:c r="E25" s="49"/>
      <x:c r="F25" s="49"/>
      <x:c r="G25" s="49"/>
      <x:c r="H25" s="49"/>
      <x:c r="I25" s="49"/>
      <x:c r="J25" s="49"/>
      <x:c r="K25" s="49"/>
      <x:c r="L25" s="49"/>
      <x:c r="M25" s="49"/>
      <x:c r="N25" s="49"/>
      <x:c r="O25" s="49"/>
      <x:c r="P25" s="49"/>
      <x:c r="Q25" s="49"/>
      <x:c r="R25" s="49"/>
      <x:c r="S25" s="49"/>
      <x:c r="T25" s="49"/>
      <x:c r="U25" s="49"/>
      <x:c r="V25" s="49"/>
      <x:c r="W25" s="49"/>
      <x:c r="X25" s="49"/>
      <x:c r="Y25" s="49"/>
      <x:c r="Z25" s="49"/>
      <x:c r="AA25" s="49"/>
      <x:c r="AB25" s="49"/>
      <x:c r="AC25" s="49"/>
      <x:c r="AD25" s="49"/>
      <x:c r="AE25" s="49"/>
      <x:c r="AF25" s="49"/>
      <x:c r="AG25" s="49"/>
      <x:c r="AH25" s="49"/>
      <x:c r="AI25" s="49"/>
      <x:c r="AJ25" s="49"/>
      <x:c r="AK25" s="49"/>
      <x:c r="AL25" s="49"/>
      <x:c r="AM25" s="49"/>
      <x:c r="AN25" s="49"/>
      <x:c r="AO25" s="49"/>
      <x:c r="AP25" s="49"/>
      <x:c r="AQ25" s="49"/>
      <x:c r="AR25" s="49"/>
      <x:c r="AS25" s="49"/>
      <x:c r="AT25" s="49"/>
      <x:c r="AU25" s="49"/>
      <x:c r="AV25" s="49"/>
      <x:c r="AW25" s="49"/>
      <x:c r="AX25" s="49"/>
      <x:c r="AY25" s="49"/>
      <x:c r="AZ25" s="49"/>
    </x:row>
    <x:row r="26">
      <x:c r="A26" s="49"/>
      <x:c r="B26" s="49"/>
      <x:c r="C26" s="49"/>
      <x:c r="D26" s="49"/>
      <x:c r="E26" s="49"/>
      <x:c r="F26" s="49"/>
      <x:c r="G26" s="49"/>
      <x:c r="H26" s="49"/>
      <x:c r="I26" s="49"/>
      <x:c r="J26" s="49"/>
      <x:c r="K26" s="49"/>
      <x:c r="L26" s="49"/>
      <x:c r="M26" s="49"/>
      <x:c r="N26" s="49"/>
      <x:c r="O26" s="49"/>
      <x:c r="P26" s="49"/>
      <x:c r="Q26" s="49"/>
      <x:c r="R26" s="49"/>
      <x:c r="S26" s="49"/>
      <x:c r="T26" s="49"/>
      <x:c r="U26" s="49"/>
      <x:c r="V26" s="49"/>
      <x:c r="W26" s="49"/>
      <x:c r="X26" s="49"/>
      <x:c r="Y26" s="49"/>
      <x:c r="Z26" s="49"/>
      <x:c r="AA26" s="49"/>
      <x:c r="AB26" s="49"/>
      <x:c r="AC26" s="49"/>
      <x:c r="AD26" s="49"/>
      <x:c r="AE26" s="49"/>
      <x:c r="AF26" s="49"/>
      <x:c r="AG26" s="49"/>
      <x:c r="AH26" s="49"/>
      <x:c r="AI26" s="49"/>
      <x:c r="AJ26" s="49"/>
      <x:c r="AK26" s="49"/>
      <x:c r="AL26" s="49"/>
      <x:c r="AM26" s="49"/>
      <x:c r="AN26" s="49"/>
      <x:c r="AO26" s="49"/>
      <x:c r="AP26" s="49"/>
      <x:c r="AQ26" s="49"/>
      <x:c r="AR26" s="49"/>
      <x:c r="AS26" s="49"/>
      <x:c r="AT26" s="49"/>
      <x:c r="AU26" s="49"/>
      <x:c r="AV26" s="49"/>
      <x:c r="AW26" s="49"/>
      <x:c r="AX26" s="49"/>
      <x:c r="AY26" s="49"/>
      <x:c r="AZ26" s="49"/>
    </x:row>
    <x:row r="27">
      <x:c r="A27" s="49"/>
      <x:c r="B27" s="49"/>
      <x:c r="C27" s="49"/>
      <x:c r="D27" s="49"/>
      <x:c r="E27" s="49"/>
      <x:c r="F27" s="49"/>
      <x:c r="G27" s="49"/>
      <x:c r="H27" s="49"/>
      <x:c r="I27" s="49"/>
      <x:c r="J27" s="49"/>
      <x:c r="K27" s="49"/>
      <x:c r="L27" s="49"/>
      <x:c r="M27" s="49"/>
      <x:c r="N27" s="49"/>
      <x:c r="O27" s="49"/>
      <x:c r="P27" s="49"/>
      <x:c r="Q27" s="49"/>
      <x:c r="R27" s="49"/>
      <x:c r="S27" s="49"/>
      <x:c r="T27" s="49"/>
      <x:c r="U27" s="49"/>
      <x:c r="V27" s="49"/>
      <x:c r="W27" s="49"/>
      <x:c r="X27" s="49"/>
      <x:c r="Y27" s="49"/>
      <x:c r="Z27" s="49"/>
      <x:c r="AA27" s="49"/>
      <x:c r="AB27" s="49"/>
      <x:c r="AC27" s="49"/>
      <x:c r="AD27" s="49"/>
      <x:c r="AE27" s="49"/>
      <x:c r="AF27" s="49"/>
      <x:c r="AG27" s="49"/>
      <x:c r="AH27" s="49"/>
      <x:c r="AI27" s="49"/>
      <x:c r="AJ27" s="49"/>
      <x:c r="AK27" s="49"/>
      <x:c r="AL27" s="49"/>
      <x:c r="AM27" s="49"/>
      <x:c r="AN27" s="49"/>
      <x:c r="AO27" s="49"/>
      <x:c r="AP27" s="49"/>
      <x:c r="AQ27" s="49"/>
      <x:c r="AR27" s="49"/>
      <x:c r="AS27" s="49"/>
      <x:c r="AT27" s="49"/>
      <x:c r="AU27" s="49"/>
      <x:c r="AV27" s="49"/>
      <x:c r="AW27" s="49"/>
      <x:c r="AX27" s="49"/>
      <x:c r="AY27" s="49"/>
      <x:c r="AZ27" s="49"/>
    </x:row>
    <x:row r="28">
      <x:c r="A28" s="49"/>
      <x:c r="B28" s="49"/>
      <x:c r="C28" s="49"/>
      <x:c r="D28" s="49"/>
      <x:c r="E28" s="49"/>
      <x:c r="F28" s="49"/>
      <x:c r="G28" s="49"/>
      <x:c r="H28" s="49"/>
      <x:c r="I28" s="49"/>
      <x:c r="J28" s="49"/>
      <x:c r="K28" s="49"/>
      <x:c r="L28" s="49"/>
      <x:c r="M28" s="49"/>
      <x:c r="N28" s="49"/>
      <x:c r="O28" s="49"/>
      <x:c r="P28" s="49"/>
      <x:c r="Q28" s="49"/>
      <x:c r="R28" s="49"/>
      <x:c r="S28" s="49"/>
      <x:c r="T28" s="49"/>
      <x:c r="U28" s="49"/>
      <x:c r="V28" s="49"/>
      <x:c r="W28" s="49"/>
      <x:c r="X28" s="49"/>
      <x:c r="Y28" s="49"/>
      <x:c r="Z28" s="49"/>
      <x:c r="AA28" s="49"/>
      <x:c r="AB28" s="49"/>
      <x:c r="AC28" s="49"/>
      <x:c r="AD28" s="49"/>
      <x:c r="AE28" s="49"/>
      <x:c r="AF28" s="49"/>
      <x:c r="AG28" s="49"/>
      <x:c r="AH28" s="49"/>
      <x:c r="AI28" s="49"/>
      <x:c r="AJ28" s="49"/>
      <x:c r="AK28" s="49"/>
      <x:c r="AL28" s="49"/>
      <x:c r="AM28" s="49"/>
      <x:c r="AN28" s="49"/>
      <x:c r="AO28" s="49"/>
      <x:c r="AP28" s="49"/>
      <x:c r="AQ28" s="49"/>
      <x:c r="AR28" s="49"/>
      <x:c r="AS28" s="49"/>
      <x:c r="AT28" s="49"/>
      <x:c r="AU28" s="49"/>
      <x:c r="AV28" s="49"/>
      <x:c r="AW28" s="49"/>
      <x:c r="AX28" s="49"/>
      <x:c r="AY28" s="49"/>
      <x:c r="AZ28" s="49"/>
    </x:row>
    <x:row r="29">
      <x:c r="A29" s="49"/>
      <x:c r="B29" s="49"/>
      <x:c r="C29" s="49"/>
      <x:c r="D29" s="49"/>
      <x:c r="E29" s="49"/>
      <x:c r="F29" s="49"/>
      <x:c r="G29" s="49"/>
      <x:c r="H29" s="49"/>
      <x:c r="I29" s="49"/>
      <x:c r="J29" s="49"/>
      <x:c r="K29" s="49"/>
      <x:c r="L29" s="49"/>
      <x:c r="M29" s="49"/>
      <x:c r="N29" s="49"/>
      <x:c r="O29" s="49"/>
      <x:c r="P29" s="49"/>
      <x:c r="Q29" s="49"/>
      <x:c r="R29" s="49"/>
      <x:c r="S29" s="49"/>
      <x:c r="T29" s="49"/>
      <x:c r="U29" s="49"/>
      <x:c r="V29" s="49"/>
      <x:c r="W29" s="49"/>
      <x:c r="X29" s="49"/>
      <x:c r="Y29" s="49"/>
      <x:c r="Z29" s="49"/>
      <x:c r="AA29" s="49"/>
      <x:c r="AB29" s="49"/>
      <x:c r="AC29" s="49"/>
      <x:c r="AD29" s="49"/>
      <x:c r="AE29" s="49"/>
      <x:c r="AF29" s="49"/>
      <x:c r="AG29" s="49"/>
      <x:c r="AH29" s="49"/>
      <x:c r="AI29" s="49"/>
      <x:c r="AJ29" s="49"/>
      <x:c r="AK29" s="49"/>
      <x:c r="AL29" s="49"/>
      <x:c r="AM29" s="49"/>
      <x:c r="AN29" s="49"/>
      <x:c r="AO29" s="49"/>
      <x:c r="AP29" s="49"/>
      <x:c r="AQ29" s="49"/>
      <x:c r="AR29" s="49"/>
      <x:c r="AS29" s="49"/>
      <x:c r="AT29" s="49"/>
      <x:c r="AU29" s="49"/>
      <x:c r="AV29" s="49"/>
      <x:c r="AW29" s="49"/>
      <x:c r="AX29" s="49"/>
      <x:c r="AY29" s="49"/>
      <x:c r="AZ29" s="49"/>
    </x:row>
    <x:row r="30">
      <x:c r="A30" s="49"/>
      <x:c r="B30" s="49"/>
      <x:c r="C30" s="49"/>
      <x:c r="D30" s="49"/>
      <x:c r="E30" s="49"/>
      <x:c r="F30" s="49"/>
      <x:c r="G30" s="49"/>
      <x:c r="H30" s="49"/>
      <x:c r="I30" s="49"/>
      <x:c r="J30" s="49"/>
      <x:c r="K30" s="49"/>
      <x:c r="L30" s="49"/>
      <x:c r="M30" s="49"/>
      <x:c r="N30" s="49"/>
      <x:c r="O30" s="49"/>
      <x:c r="P30" s="49"/>
      <x:c r="Q30" s="49"/>
      <x:c r="R30" s="49"/>
      <x:c r="S30" s="49"/>
      <x:c r="T30" s="49"/>
      <x:c r="U30" s="49"/>
      <x:c r="V30" s="49"/>
      <x:c r="W30" s="49"/>
      <x:c r="X30" s="49"/>
      <x:c r="Y30" s="49"/>
      <x:c r="Z30" s="49"/>
      <x:c r="AA30" s="49"/>
      <x:c r="AB30" s="49"/>
      <x:c r="AC30" s="49"/>
      <x:c r="AD30" s="49"/>
      <x:c r="AE30" s="49"/>
      <x:c r="AF30" s="49"/>
      <x:c r="AG30" s="49"/>
      <x:c r="AH30" s="49"/>
      <x:c r="AI30" s="49"/>
      <x:c r="AJ30" s="49"/>
      <x:c r="AK30" s="49"/>
      <x:c r="AL30" s="49"/>
      <x:c r="AM30" s="49"/>
      <x:c r="AN30" s="49"/>
      <x:c r="AO30" s="49"/>
      <x:c r="AP30" s="49"/>
      <x:c r="AQ30" s="49"/>
      <x:c r="AR30" s="49"/>
      <x:c r="AS30" s="49"/>
      <x:c r="AT30" s="49"/>
      <x:c r="AU30" s="49"/>
      <x:c r="AV30" s="49"/>
      <x:c r="AW30" s="49"/>
      <x:c r="AX30" s="49"/>
      <x:c r="AY30" s="49"/>
      <x:c r="AZ30" s="49"/>
    </x:row>
    <x:row r="31">
      <x:c r="A31" s="49"/>
      <x:c r="B31" s="49"/>
      <x:c r="C31" s="49"/>
      <x:c r="D31" s="49"/>
      <x:c r="E31" s="49"/>
      <x:c r="F31" s="49"/>
      <x:c r="G31" s="49"/>
      <x:c r="H31" s="49"/>
      <x:c r="I31" s="49"/>
      <x:c r="J31" s="49"/>
      <x:c r="K31" s="49"/>
      <x:c r="L31" s="49"/>
      <x:c r="M31" s="49"/>
      <x:c r="N31" s="49"/>
      <x:c r="O31" s="49"/>
      <x:c r="P31" s="49"/>
      <x:c r="Q31" s="49"/>
      <x:c r="R31" s="49"/>
      <x:c r="S31" s="49"/>
      <x:c r="T31" s="49"/>
      <x:c r="U31" s="49"/>
      <x:c r="V31" s="49"/>
      <x:c r="W31" s="49"/>
      <x:c r="X31" s="49"/>
      <x:c r="Y31" s="49"/>
      <x:c r="Z31" s="49"/>
      <x:c r="AA31" s="49"/>
      <x:c r="AB31" s="49"/>
      <x:c r="AC31" s="49"/>
      <x:c r="AD31" s="49"/>
      <x:c r="AE31" s="49"/>
      <x:c r="AF31" s="49"/>
      <x:c r="AG31" s="49"/>
      <x:c r="AH31" s="49"/>
      <x:c r="AI31" s="49"/>
      <x:c r="AJ31" s="49"/>
      <x:c r="AK31" s="49"/>
      <x:c r="AL31" s="49"/>
      <x:c r="AM31" s="49"/>
      <x:c r="AN31" s="49"/>
      <x:c r="AO31" s="49"/>
      <x:c r="AP31" s="49"/>
      <x:c r="AQ31" s="49"/>
      <x:c r="AR31" s="49"/>
      <x:c r="AS31" s="49"/>
      <x:c r="AT31" s="49"/>
      <x:c r="AU31" s="49"/>
      <x:c r="AV31" s="49"/>
      <x:c r="AW31" s="49"/>
      <x:c r="AX31" s="49"/>
      <x:c r="AY31" s="49"/>
      <x:c r="AZ31" s="49"/>
    </x:row>
    <x:row r="32">
      <x:c r="A32" s="49"/>
      <x:c r="B32" s="49"/>
      <x:c r="C32" s="49"/>
      <x:c r="D32" s="49"/>
      <x:c r="E32" s="49"/>
      <x:c r="F32" s="49"/>
      <x:c r="G32" s="49"/>
      <x:c r="H32" s="49"/>
      <x:c r="I32" s="49"/>
      <x:c r="J32" s="49"/>
      <x:c r="K32" s="49"/>
      <x:c r="L32" s="49"/>
      <x:c r="M32" s="49"/>
      <x:c r="N32" s="49"/>
      <x:c r="O32" s="49"/>
      <x:c r="P32" s="49"/>
      <x:c r="Q32" s="49"/>
      <x:c r="R32" s="49"/>
      <x:c r="S32" s="49"/>
      <x:c r="T32" s="49"/>
      <x:c r="U32" s="49"/>
      <x:c r="V32" s="49"/>
      <x:c r="W32" s="49"/>
      <x:c r="X32" s="49"/>
      <x:c r="Y32" s="49"/>
      <x:c r="Z32" s="49"/>
      <x:c r="AA32" s="49"/>
      <x:c r="AB32" s="49"/>
      <x:c r="AC32" s="49"/>
      <x:c r="AD32" s="49"/>
      <x:c r="AE32" s="49"/>
      <x:c r="AF32" s="49"/>
      <x:c r="AG32" s="49"/>
      <x:c r="AH32" s="49"/>
      <x:c r="AI32" s="49"/>
      <x:c r="AJ32" s="49"/>
      <x:c r="AK32" s="49"/>
      <x:c r="AL32" s="49"/>
      <x:c r="AM32" s="49"/>
      <x:c r="AN32" s="49"/>
      <x:c r="AO32" s="49"/>
      <x:c r="AP32" s="49"/>
      <x:c r="AQ32" s="49"/>
      <x:c r="AR32" s="49"/>
      <x:c r="AS32" s="49"/>
      <x:c r="AT32" s="49"/>
      <x:c r="AU32" s="49"/>
      <x:c r="AV32" s="49"/>
      <x:c r="AW32" s="49"/>
      <x:c r="AX32" s="49"/>
      <x:c r="AY32" s="49"/>
      <x:c r="AZ32" s="49"/>
    </x:row>
    <x:row r="33">
      <x:c r="A33" s="49"/>
      <x:c r="B33" s="49"/>
      <x:c r="C33" s="49"/>
      <x:c r="D33" s="49"/>
      <x:c r="E33" s="49"/>
      <x:c r="F33" s="49"/>
      <x:c r="G33" s="49"/>
      <x:c r="H33" s="49"/>
      <x:c r="I33" s="49"/>
      <x:c r="J33" s="49"/>
      <x:c r="K33" s="49"/>
      <x:c r="L33" s="49"/>
      <x:c r="M33" s="49"/>
      <x:c r="N33" s="49"/>
      <x:c r="O33" s="49"/>
      <x:c r="P33" s="49"/>
      <x:c r="Q33" s="49"/>
      <x:c r="R33" s="49"/>
      <x:c r="S33" s="49"/>
      <x:c r="T33" s="49"/>
      <x:c r="U33" s="49"/>
      <x:c r="V33" s="49"/>
      <x:c r="W33" s="49"/>
      <x:c r="X33" s="49"/>
      <x:c r="Y33" s="49"/>
      <x:c r="Z33" s="49"/>
      <x:c r="AA33" s="49"/>
      <x:c r="AB33" s="49"/>
      <x:c r="AC33" s="49"/>
      <x:c r="AD33" s="49"/>
      <x:c r="AE33" s="49"/>
      <x:c r="AF33" s="49"/>
      <x:c r="AG33" s="49"/>
      <x:c r="AH33" s="49"/>
      <x:c r="AI33" s="49"/>
      <x:c r="AJ33" s="49"/>
      <x:c r="AK33" s="49"/>
      <x:c r="AL33" s="49"/>
      <x:c r="AM33" s="49"/>
      <x:c r="AN33" s="49"/>
      <x:c r="AO33" s="49"/>
      <x:c r="AP33" s="49"/>
      <x:c r="AQ33" s="49"/>
      <x:c r="AR33" s="49"/>
      <x:c r="AS33" s="49"/>
      <x:c r="AT33" s="49"/>
      <x:c r="AU33" s="49"/>
      <x:c r="AV33" s="49"/>
      <x:c r="AW33" s="49"/>
      <x:c r="AX33" s="49"/>
      <x:c r="AY33" s="49"/>
      <x:c r="AZ33" s="49"/>
    </x:row>
    <x:row r="34">
      <x:c r="A34" s="49"/>
      <x:c r="B34" s="49"/>
      <x:c r="C34" s="49"/>
      <x:c r="D34" s="49"/>
      <x:c r="E34" s="49"/>
      <x:c r="F34" s="49"/>
      <x:c r="G34" s="49"/>
      <x:c r="H34" s="49"/>
      <x:c r="I34" s="49"/>
      <x:c r="J34" s="49"/>
      <x:c r="K34" s="49"/>
      <x:c r="L34" s="49"/>
      <x:c r="M34" s="49"/>
      <x:c r="N34" s="49"/>
      <x:c r="O34" s="49"/>
      <x:c r="P34" s="49"/>
      <x:c r="Q34" s="49"/>
      <x:c r="R34" s="49"/>
      <x:c r="S34" s="49"/>
      <x:c r="T34" s="49"/>
      <x:c r="U34" s="49"/>
      <x:c r="V34" s="49"/>
      <x:c r="W34" s="49"/>
      <x:c r="X34" s="49"/>
      <x:c r="Y34" s="49"/>
      <x:c r="Z34" s="49"/>
      <x:c r="AA34" s="49"/>
      <x:c r="AB34" s="49"/>
      <x:c r="AC34" s="49"/>
      <x:c r="AD34" s="49"/>
      <x:c r="AE34" s="49"/>
      <x:c r="AF34" s="49"/>
      <x:c r="AG34" s="49"/>
      <x:c r="AH34" s="49"/>
      <x:c r="AI34" s="49"/>
      <x:c r="AJ34" s="49"/>
      <x:c r="AK34" s="49"/>
      <x:c r="AL34" s="49"/>
      <x:c r="AM34" s="49"/>
      <x:c r="AN34" s="49"/>
      <x:c r="AO34" s="49"/>
      <x:c r="AP34" s="49"/>
      <x:c r="AQ34" s="49"/>
      <x:c r="AR34" s="49"/>
      <x:c r="AS34" s="49"/>
      <x:c r="AT34" s="49"/>
      <x:c r="AU34" s="49"/>
      <x:c r="AV34" s="49"/>
      <x:c r="AW34" s="49"/>
      <x:c r="AX34" s="49"/>
      <x:c r="AY34" s="49"/>
      <x:c r="AZ34" s="49"/>
    </x:row>
    <x:row r="35">
      <x:c r="A35" s="49"/>
      <x:c r="B35" s="49"/>
      <x:c r="C35" s="49"/>
      <x:c r="D35" s="49"/>
      <x:c r="E35" s="49"/>
      <x:c r="F35" s="49"/>
      <x:c r="G35" s="49"/>
      <x:c r="H35" s="49"/>
      <x:c r="I35" s="49"/>
      <x:c r="J35" s="49"/>
      <x:c r="K35" s="49"/>
      <x:c r="L35" s="49"/>
      <x:c r="M35" s="49"/>
      <x:c r="N35" s="49"/>
      <x:c r="O35" s="49"/>
      <x:c r="P35" s="49"/>
      <x:c r="Q35" s="49"/>
      <x:c r="R35" s="49"/>
      <x:c r="S35" s="49"/>
      <x:c r="T35" s="49"/>
      <x:c r="U35" s="49"/>
      <x:c r="V35" s="49"/>
      <x:c r="W35" s="49"/>
      <x:c r="X35" s="49"/>
      <x:c r="Y35" s="49"/>
      <x:c r="Z35" s="49"/>
      <x:c r="AA35" s="49"/>
      <x:c r="AB35" s="49"/>
      <x:c r="AC35" s="49"/>
      <x:c r="AD35" s="49"/>
      <x:c r="AE35" s="49"/>
      <x:c r="AF35" s="49"/>
      <x:c r="AG35" s="49"/>
      <x:c r="AH35" s="49"/>
      <x:c r="AI35" s="49"/>
      <x:c r="AJ35" s="49"/>
      <x:c r="AK35" s="49"/>
      <x:c r="AL35" s="49"/>
      <x:c r="AM35" s="49"/>
      <x:c r="AN35" s="49"/>
      <x:c r="AO35" s="49"/>
      <x:c r="AP35" s="49"/>
      <x:c r="AQ35" s="49"/>
      <x:c r="AR35" s="49"/>
      <x:c r="AS35" s="49"/>
      <x:c r="AT35" s="49"/>
      <x:c r="AU35" s="49"/>
      <x:c r="AV35" s="49"/>
      <x:c r="AW35" s="49"/>
      <x:c r="AX35" s="49"/>
      <x:c r="AY35" s="49"/>
      <x:c r="AZ35" s="49"/>
    </x:row>
    <x:row r="36">
      <x:c r="A36" s="49"/>
      <x:c r="B36" s="49"/>
      <x:c r="C36" s="49"/>
      <x:c r="D36" s="49"/>
      <x:c r="E36" s="49"/>
      <x:c r="F36" s="49"/>
      <x:c r="G36" s="49"/>
      <x:c r="H36" s="49"/>
      <x:c r="I36" s="49"/>
      <x:c r="J36" s="49"/>
      <x:c r="K36" s="49"/>
      <x:c r="L36" s="49"/>
      <x:c r="M36" s="49"/>
      <x:c r="N36" s="49"/>
      <x:c r="O36" s="49"/>
      <x:c r="P36" s="49"/>
      <x:c r="Q36" s="49"/>
      <x:c r="R36" s="49"/>
      <x:c r="S36" s="49"/>
      <x:c r="T36" s="49"/>
      <x:c r="U36" s="49"/>
      <x:c r="V36" s="49"/>
      <x:c r="W36" s="49"/>
      <x:c r="X36" s="49"/>
      <x:c r="Y36" s="49"/>
      <x:c r="Z36" s="49"/>
      <x:c r="AA36" s="49"/>
      <x:c r="AB36" s="49"/>
      <x:c r="AC36" s="49"/>
      <x:c r="AD36" s="49"/>
      <x:c r="AE36" s="49"/>
      <x:c r="AF36" s="49"/>
      <x:c r="AG36" s="49"/>
      <x:c r="AH36" s="49"/>
      <x:c r="AI36" s="49"/>
      <x:c r="AJ36" s="49"/>
      <x:c r="AK36" s="49"/>
      <x:c r="AL36" s="49"/>
      <x:c r="AM36" s="49"/>
      <x:c r="AN36" s="49"/>
      <x:c r="AO36" s="49"/>
      <x:c r="AP36" s="49"/>
      <x:c r="AQ36" s="49"/>
      <x:c r="AR36" s="49"/>
      <x:c r="AS36" s="49"/>
      <x:c r="AT36" s="49"/>
      <x:c r="AU36" s="49"/>
      <x:c r="AV36" s="49"/>
      <x:c r="AW36" s="49"/>
      <x:c r="AX36" s="49"/>
      <x:c r="AY36" s="49"/>
      <x:c r="AZ36" s="49"/>
    </x:row>
    <x:row r="37">
      <x:c r="A37" s="49"/>
      <x:c r="B37" s="49"/>
      <x:c r="C37" s="49"/>
      <x:c r="D37" s="49"/>
      <x:c r="E37" s="49"/>
      <x:c r="F37" s="49"/>
      <x:c r="G37" s="49"/>
      <x:c r="H37" s="49"/>
      <x:c r="I37" s="49"/>
      <x:c r="J37" s="49"/>
      <x:c r="K37" s="49"/>
      <x:c r="L37" s="49"/>
      <x:c r="M37" s="49"/>
      <x:c r="N37" s="49"/>
      <x:c r="O37" s="49"/>
      <x:c r="P37" s="49"/>
      <x:c r="Q37" s="49"/>
      <x:c r="R37" s="49"/>
      <x:c r="S37" s="49"/>
      <x:c r="T37" s="49"/>
      <x:c r="U37" s="49"/>
      <x:c r="V37" s="49"/>
      <x:c r="W37" s="49"/>
      <x:c r="X37" s="49"/>
      <x:c r="Y37" s="49"/>
      <x:c r="Z37" s="49"/>
      <x:c r="AA37" s="49"/>
      <x:c r="AB37" s="49"/>
      <x:c r="AC37" s="49"/>
      <x:c r="AD37" s="49"/>
      <x:c r="AE37" s="49"/>
      <x:c r="AF37" s="49"/>
      <x:c r="AG37" s="49"/>
      <x:c r="AH37" s="49"/>
      <x:c r="AI37" s="49"/>
      <x:c r="AJ37" s="49"/>
      <x:c r="AK37" s="49"/>
      <x:c r="AL37" s="49"/>
      <x:c r="AM37" s="49"/>
      <x:c r="AN37" s="49"/>
      <x:c r="AO37" s="49"/>
      <x:c r="AP37" s="49"/>
      <x:c r="AQ37" s="49"/>
      <x:c r="AR37" s="49"/>
      <x:c r="AS37" s="49"/>
      <x:c r="AT37" s="49"/>
      <x:c r="AU37" s="49"/>
      <x:c r="AV37" s="49"/>
      <x:c r="AW37" s="49"/>
      <x:c r="AX37" s="49"/>
      <x:c r="AY37" s="49"/>
      <x:c r="AZ37" s="49"/>
    </x:row>
    <x:row r="38">
      <x:c r="A38" s="49"/>
      <x:c r="B38" s="49"/>
      <x:c r="C38" s="49"/>
      <x:c r="D38" s="49"/>
      <x:c r="E38" s="49"/>
      <x:c r="F38" s="49"/>
      <x:c r="G38" s="49"/>
      <x:c r="H38" s="49"/>
      <x:c r="I38" s="49"/>
      <x:c r="J38" s="49"/>
      <x:c r="K38" s="49"/>
      <x:c r="L38" s="49"/>
      <x:c r="M38" s="49"/>
      <x:c r="N38" s="49"/>
      <x:c r="O38" s="49"/>
      <x:c r="P38" s="49"/>
      <x:c r="Q38" s="49"/>
      <x:c r="R38" s="49"/>
      <x:c r="S38" s="49"/>
      <x:c r="T38" s="49"/>
      <x:c r="U38" s="49"/>
      <x:c r="V38" s="49"/>
      <x:c r="W38" s="49"/>
      <x:c r="X38" s="49"/>
      <x:c r="Y38" s="49"/>
      <x:c r="Z38" s="49"/>
      <x:c r="AA38" s="49"/>
      <x:c r="AB38" s="49"/>
      <x:c r="AC38" s="49"/>
      <x:c r="AD38" s="49"/>
      <x:c r="AE38" s="49"/>
      <x:c r="AF38" s="49"/>
      <x:c r="AG38" s="49"/>
      <x:c r="AH38" s="49"/>
      <x:c r="AI38" s="49"/>
      <x:c r="AJ38" s="49"/>
      <x:c r="AK38" s="49"/>
      <x:c r="AL38" s="49"/>
      <x:c r="AM38" s="49"/>
      <x:c r="AN38" s="49"/>
      <x:c r="AO38" s="49"/>
      <x:c r="AP38" s="49"/>
      <x:c r="AQ38" s="49"/>
      <x:c r="AR38" s="49"/>
      <x:c r="AS38" s="49"/>
      <x:c r="AT38" s="49"/>
      <x:c r="AU38" s="49"/>
      <x:c r="AV38" s="49"/>
      <x:c r="AW38" s="49"/>
      <x:c r="AX38" s="49"/>
      <x:c r="AY38" s="49"/>
      <x:c r="AZ38" s="49"/>
    </x:row>
    <x:row r="39">
      <x:c r="A39" s="49"/>
      <x:c r="B39" s="49"/>
      <x:c r="C39" s="49"/>
      <x:c r="D39" s="49"/>
      <x:c r="E39" s="49"/>
      <x:c r="F39" s="49"/>
      <x:c r="G39" s="49"/>
      <x:c r="H39" s="49"/>
      <x:c r="I39" s="49"/>
      <x:c r="J39" s="49"/>
      <x:c r="K39" s="49"/>
      <x:c r="L39" s="49"/>
      <x:c r="M39" s="49"/>
      <x:c r="N39" s="49"/>
      <x:c r="O39" s="49"/>
      <x:c r="P39" s="49"/>
      <x:c r="Q39" s="49"/>
      <x:c r="R39" s="49"/>
      <x:c r="S39" s="49"/>
      <x:c r="T39" s="49"/>
      <x:c r="U39" s="49"/>
      <x:c r="V39" s="49"/>
      <x:c r="W39" s="49"/>
      <x:c r="X39" s="49"/>
      <x:c r="Y39" s="49"/>
      <x:c r="Z39" s="49"/>
      <x:c r="AA39" s="49"/>
      <x:c r="AB39" s="49"/>
      <x:c r="AC39" s="49"/>
      <x:c r="AD39" s="49"/>
      <x:c r="AE39" s="49"/>
      <x:c r="AF39" s="49"/>
      <x:c r="AG39" s="49"/>
      <x:c r="AH39" s="49"/>
      <x:c r="AI39" s="49"/>
      <x:c r="AJ39" s="49"/>
      <x:c r="AK39" s="49"/>
      <x:c r="AL39" s="49"/>
      <x:c r="AM39" s="49"/>
      <x:c r="AN39" s="49"/>
      <x:c r="AO39" s="49"/>
      <x:c r="AP39" s="49"/>
      <x:c r="AQ39" s="49"/>
      <x:c r="AR39" s="49"/>
      <x:c r="AS39" s="49"/>
      <x:c r="AT39" s="49"/>
      <x:c r="AU39" s="49"/>
      <x:c r="AV39" s="49"/>
      <x:c r="AW39" s="49"/>
      <x:c r="AX39" s="49"/>
      <x:c r="AY39" s="49"/>
      <x:c r="AZ39" s="49"/>
    </x:row>
    <x:row r="40">
      <x:c r="A40" s="49"/>
      <x:c r="B40" s="49"/>
      <x:c r="C40" s="49"/>
      <x:c r="D40" s="49"/>
      <x:c r="E40" s="49"/>
      <x:c r="F40" s="49"/>
      <x:c r="G40" s="49"/>
      <x:c r="H40" s="49"/>
      <x:c r="I40" s="49"/>
      <x:c r="J40" s="49"/>
      <x:c r="K40" s="49"/>
      <x:c r="L40" s="49"/>
      <x:c r="M40" s="49"/>
      <x:c r="N40" s="49"/>
      <x:c r="O40" s="49"/>
      <x:c r="P40" s="49"/>
      <x:c r="Q40" s="49"/>
      <x:c r="R40" s="49"/>
      <x:c r="S40" s="49"/>
      <x:c r="T40" s="49"/>
      <x:c r="U40" s="49"/>
      <x:c r="V40" s="49"/>
      <x:c r="W40" s="49"/>
      <x:c r="X40" s="49"/>
      <x:c r="Y40" s="49"/>
      <x:c r="Z40" s="49"/>
      <x:c r="AA40" s="49"/>
      <x:c r="AB40" s="49"/>
      <x:c r="AC40" s="49"/>
      <x:c r="AD40" s="49"/>
      <x:c r="AE40" s="49"/>
      <x:c r="AF40" s="49"/>
      <x:c r="AG40" s="49"/>
      <x:c r="AH40" s="49"/>
      <x:c r="AI40" s="49"/>
      <x:c r="AJ40" s="49"/>
      <x:c r="AK40" s="49"/>
      <x:c r="AL40" s="49"/>
      <x:c r="AM40" s="49"/>
      <x:c r="AN40" s="49"/>
      <x:c r="AO40" s="49"/>
      <x:c r="AP40" s="49"/>
      <x:c r="AQ40" s="49"/>
      <x:c r="AR40" s="49"/>
      <x:c r="AS40" s="49"/>
      <x:c r="AT40" s="49"/>
      <x:c r="AU40" s="49"/>
      <x:c r="AV40" s="49"/>
      <x:c r="AW40" s="49"/>
      <x:c r="AX40" s="49"/>
      <x:c r="AY40" s="49"/>
      <x:c r="AZ40" s="49"/>
    </x:row>
    <x:row r="41">
      <x:c r="A41" s="49"/>
      <x:c r="B41" s="49"/>
      <x:c r="C41" s="49"/>
      <x:c r="D41" s="49"/>
      <x:c r="E41" s="49"/>
      <x:c r="F41" s="49"/>
      <x:c r="G41" s="49"/>
      <x:c r="H41" s="49"/>
      <x:c r="I41" s="49"/>
      <x:c r="J41" s="49"/>
      <x:c r="K41" s="49"/>
      <x:c r="L41" s="49"/>
      <x:c r="M41" s="49"/>
      <x:c r="N41" s="49"/>
      <x:c r="O41" s="49"/>
      <x:c r="P41" s="49"/>
      <x:c r="Q41" s="49"/>
      <x:c r="R41" s="49"/>
      <x:c r="S41" s="49"/>
      <x:c r="T41" s="49"/>
      <x:c r="U41" s="49"/>
      <x:c r="V41" s="49"/>
      <x:c r="W41" s="49"/>
      <x:c r="X41" s="49"/>
      <x:c r="Y41" s="49"/>
      <x:c r="Z41" s="49"/>
      <x:c r="AA41" s="49"/>
      <x:c r="AB41" s="49"/>
      <x:c r="AC41" s="49"/>
      <x:c r="AD41" s="49"/>
      <x:c r="AE41" s="49"/>
      <x:c r="AF41" s="49"/>
      <x:c r="AG41" s="49"/>
      <x:c r="AH41" s="49"/>
      <x:c r="AI41" s="49"/>
      <x:c r="AJ41" s="49"/>
      <x:c r="AK41" s="49"/>
      <x:c r="AL41" s="49"/>
      <x:c r="AM41" s="49"/>
      <x:c r="AN41" s="49"/>
      <x:c r="AO41" s="49"/>
      <x:c r="AP41" s="49"/>
      <x:c r="AQ41" s="49"/>
      <x:c r="AR41" s="49"/>
      <x:c r="AS41" s="49"/>
      <x:c r="AT41" s="49"/>
      <x:c r="AU41" s="49"/>
      <x:c r="AV41" s="49"/>
      <x:c r="AW41" s="49"/>
      <x:c r="AX41" s="49"/>
      <x:c r="AY41" s="49"/>
      <x:c r="AZ41" s="49"/>
    </x:row>
    <x:row r="42">
      <x:c r="A42" s="49"/>
      <x:c r="B42" s="49"/>
      <x:c r="C42" s="49"/>
      <x:c r="D42" s="49"/>
      <x:c r="E42" s="49"/>
      <x:c r="F42" s="49"/>
      <x:c r="G42" s="49"/>
      <x:c r="H42" s="49"/>
      <x:c r="I42" s="49"/>
      <x:c r="J42" s="49"/>
      <x:c r="K42" s="49"/>
      <x:c r="L42" s="49"/>
      <x:c r="M42" s="49"/>
      <x:c r="N42" s="49"/>
      <x:c r="O42" s="49"/>
      <x:c r="P42" s="49"/>
      <x:c r="Q42" s="49"/>
      <x:c r="R42" s="49"/>
      <x:c r="S42" s="49"/>
      <x:c r="T42" s="49"/>
      <x:c r="U42" s="49"/>
      <x:c r="V42" s="49"/>
      <x:c r="W42" s="49"/>
      <x:c r="X42" s="49"/>
      <x:c r="Y42" s="49"/>
      <x:c r="Z42" s="49"/>
      <x:c r="AA42" s="49"/>
      <x:c r="AB42" s="49"/>
      <x:c r="AC42" s="49"/>
      <x:c r="AD42" s="49"/>
      <x:c r="AE42" s="49"/>
      <x:c r="AF42" s="49"/>
      <x:c r="AG42" s="49"/>
      <x:c r="AH42" s="49"/>
      <x:c r="AI42" s="49"/>
      <x:c r="AJ42" s="49"/>
      <x:c r="AK42" s="49"/>
      <x:c r="AL42" s="49"/>
      <x:c r="AM42" s="49"/>
      <x:c r="AN42" s="49"/>
      <x:c r="AO42" s="49"/>
      <x:c r="AP42" s="49"/>
      <x:c r="AQ42" s="49"/>
      <x:c r="AR42" s="49"/>
      <x:c r="AS42" s="49"/>
      <x:c r="AT42" s="49"/>
      <x:c r="AU42" s="49"/>
      <x:c r="AV42" s="49"/>
      <x:c r="AW42" s="49"/>
      <x:c r="AX42" s="49"/>
      <x:c r="AY42" s="49"/>
      <x:c r="AZ42" s="49"/>
    </x:row>
    <x:row r="43">
      <x:c r="A43" s="49"/>
      <x:c r="B43" s="49"/>
      <x:c r="C43" s="49"/>
      <x:c r="D43" s="49"/>
      <x:c r="E43" s="49"/>
      <x:c r="F43" s="49"/>
      <x:c r="G43" s="49"/>
      <x:c r="H43" s="49"/>
      <x:c r="I43" s="49"/>
      <x:c r="J43" s="49"/>
      <x:c r="K43" s="49"/>
      <x:c r="L43" s="49"/>
      <x:c r="M43" s="49"/>
      <x:c r="N43" s="49"/>
      <x:c r="O43" s="49"/>
      <x:c r="P43" s="49"/>
      <x:c r="Q43" s="49"/>
      <x:c r="R43" s="49"/>
      <x:c r="S43" s="49"/>
      <x:c r="T43" s="49"/>
      <x:c r="U43" s="49"/>
      <x:c r="V43" s="49"/>
      <x:c r="W43" s="49"/>
      <x:c r="X43" s="49"/>
      <x:c r="Y43" s="49"/>
      <x:c r="Z43" s="49"/>
      <x:c r="AA43" s="49"/>
      <x:c r="AB43" s="49"/>
      <x:c r="AC43" s="49"/>
      <x:c r="AD43" s="49"/>
      <x:c r="AE43" s="49"/>
      <x:c r="AF43" s="49"/>
      <x:c r="AG43" s="49"/>
      <x:c r="AH43" s="49"/>
      <x:c r="AI43" s="49"/>
      <x:c r="AJ43" s="49"/>
      <x:c r="AK43" s="49"/>
      <x:c r="AL43" s="49"/>
      <x:c r="AM43" s="49"/>
      <x:c r="AN43" s="49"/>
      <x:c r="AO43" s="49"/>
      <x:c r="AP43" s="49"/>
      <x:c r="AQ43" s="49"/>
      <x:c r="AR43" s="49"/>
      <x:c r="AS43" s="49"/>
      <x:c r="AT43" s="49"/>
      <x:c r="AU43" s="49"/>
      <x:c r="AV43" s="49"/>
      <x:c r="AW43" s="49"/>
      <x:c r="AX43" s="49"/>
      <x:c r="AY43" s="49"/>
      <x:c r="AZ43" s="49"/>
    </x:row>
    <x:row r="44">
      <x:c r="A44" s="49"/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49"/>
      <x:c r="N44" s="49"/>
      <x:c r="O44" s="49"/>
      <x:c r="P44" s="49"/>
      <x:c r="Q44" s="49"/>
      <x:c r="R44" s="49"/>
      <x:c r="S44" s="49"/>
      <x:c r="T44" s="49"/>
      <x:c r="U44" s="49"/>
      <x:c r="V44" s="49"/>
      <x:c r="W44" s="49"/>
      <x:c r="X44" s="49"/>
      <x:c r="Y44" s="49"/>
      <x:c r="Z44" s="49"/>
      <x:c r="AA44" s="49"/>
      <x:c r="AB44" s="49"/>
      <x:c r="AC44" s="49"/>
      <x:c r="AD44" s="49"/>
      <x:c r="AE44" s="49"/>
      <x:c r="AF44" s="49"/>
      <x:c r="AG44" s="49"/>
      <x:c r="AH44" s="49"/>
      <x:c r="AI44" s="49"/>
      <x:c r="AJ44" s="49"/>
      <x:c r="AK44" s="49"/>
      <x:c r="AL44" s="49"/>
      <x:c r="AM44" s="49"/>
      <x:c r="AN44" s="49"/>
      <x:c r="AO44" s="49"/>
      <x:c r="AP44" s="49"/>
      <x:c r="AQ44" s="49"/>
      <x:c r="AR44" s="49"/>
      <x:c r="AS44" s="49"/>
      <x:c r="AT44" s="49"/>
      <x:c r="AU44" s="49"/>
      <x:c r="AV44" s="49"/>
      <x:c r="AW44" s="49"/>
      <x:c r="AX44" s="49"/>
      <x:c r="AY44" s="49"/>
      <x:c r="AZ44" s="49"/>
    </x:row>
    <x:row r="45">
      <x:c r="A45" s="49"/>
      <x:c r="B45" s="49"/>
      <x:c r="C45" s="49"/>
      <x:c r="D45" s="49"/>
      <x:c r="E45" s="49"/>
      <x:c r="F45" s="49"/>
      <x:c r="G45" s="49"/>
      <x:c r="H45" s="49"/>
      <x:c r="I45" s="49"/>
      <x:c r="J45" s="49"/>
      <x:c r="K45" s="49"/>
      <x:c r="L45" s="49"/>
      <x:c r="M45" s="49"/>
      <x:c r="N45" s="49"/>
      <x:c r="O45" s="49"/>
      <x:c r="P45" s="49"/>
      <x:c r="Q45" s="49"/>
      <x:c r="R45" s="49"/>
      <x:c r="S45" s="49"/>
      <x:c r="T45" s="49"/>
      <x:c r="U45" s="49"/>
      <x:c r="V45" s="49"/>
      <x:c r="W45" s="49"/>
      <x:c r="X45" s="49"/>
      <x:c r="Y45" s="49"/>
      <x:c r="Z45" s="49"/>
      <x:c r="AA45" s="49"/>
      <x:c r="AB45" s="49"/>
      <x:c r="AC45" s="49"/>
      <x:c r="AD45" s="49"/>
      <x:c r="AE45" s="49"/>
      <x:c r="AF45" s="49"/>
      <x:c r="AG45" s="49"/>
      <x:c r="AH45" s="49"/>
      <x:c r="AI45" s="49"/>
      <x:c r="AJ45" s="49"/>
      <x:c r="AK45" s="49"/>
      <x:c r="AL45" s="49"/>
      <x:c r="AM45" s="49"/>
      <x:c r="AN45" s="49"/>
      <x:c r="AO45" s="49"/>
      <x:c r="AP45" s="49"/>
      <x:c r="AQ45" s="49"/>
      <x:c r="AR45" s="49"/>
      <x:c r="AS45" s="49"/>
      <x:c r="AT45" s="49"/>
      <x:c r="AU45" s="49"/>
      <x:c r="AV45" s="49"/>
      <x:c r="AW45" s="49"/>
      <x:c r="AX45" s="49"/>
      <x:c r="AY45" s="49"/>
      <x:c r="AZ45" s="49"/>
    </x:row>
    <x:row r="46">
      <x:c r="A46" s="49"/>
      <x:c r="B46" s="49"/>
      <x:c r="C46" s="49"/>
      <x:c r="D46" s="49"/>
      <x:c r="E46" s="49"/>
      <x:c r="F46" s="49"/>
      <x:c r="G46" s="49"/>
      <x:c r="H46" s="49"/>
      <x:c r="I46" s="49"/>
      <x:c r="J46" s="49"/>
      <x:c r="K46" s="49"/>
      <x:c r="L46" s="49"/>
      <x:c r="M46" s="49"/>
      <x:c r="N46" s="49"/>
      <x:c r="O46" s="49"/>
      <x:c r="P46" s="49"/>
      <x:c r="Q46" s="49"/>
      <x:c r="R46" s="49"/>
      <x:c r="S46" s="49"/>
      <x:c r="T46" s="49"/>
      <x:c r="U46" s="49"/>
      <x:c r="V46" s="49"/>
      <x:c r="W46" s="49"/>
      <x:c r="X46" s="49"/>
      <x:c r="Y46" s="49"/>
      <x:c r="Z46" s="49"/>
      <x:c r="AA46" s="49"/>
      <x:c r="AB46" s="49"/>
      <x:c r="AC46" s="49"/>
      <x:c r="AD46" s="49"/>
      <x:c r="AE46" s="49"/>
      <x:c r="AF46" s="49"/>
      <x:c r="AG46" s="49"/>
      <x:c r="AH46" s="49"/>
      <x:c r="AI46" s="49"/>
      <x:c r="AJ46" s="49"/>
      <x:c r="AK46" s="49"/>
      <x:c r="AL46" s="49"/>
      <x:c r="AM46" s="49"/>
      <x:c r="AN46" s="49"/>
      <x:c r="AO46" s="49"/>
      <x:c r="AP46" s="49"/>
      <x:c r="AQ46" s="49"/>
      <x:c r="AR46" s="49"/>
      <x:c r="AS46" s="49"/>
      <x:c r="AT46" s="49"/>
      <x:c r="AU46" s="49"/>
      <x:c r="AV46" s="49"/>
      <x:c r="AW46" s="49"/>
      <x:c r="AX46" s="49"/>
      <x:c r="AY46" s="49"/>
      <x:c r="AZ46" s="49"/>
    </x:row>
    <x:row r="47">
      <x:c r="A47" s="49"/>
      <x:c r="B47" s="49"/>
      <x:c r="C47" s="49"/>
      <x:c r="D47" s="49"/>
      <x:c r="E47" s="49"/>
      <x:c r="F47" s="49"/>
      <x:c r="G47" s="49"/>
      <x:c r="H47" s="49"/>
      <x:c r="I47" s="49"/>
      <x:c r="J47" s="49"/>
      <x:c r="K47" s="49"/>
      <x:c r="L47" s="49"/>
      <x:c r="M47" s="49"/>
      <x:c r="N47" s="49"/>
      <x:c r="O47" s="49"/>
      <x:c r="P47" s="49"/>
      <x:c r="Q47" s="49"/>
      <x:c r="R47" s="49"/>
      <x:c r="S47" s="49"/>
      <x:c r="T47" s="49"/>
      <x:c r="U47" s="49"/>
      <x:c r="V47" s="49"/>
      <x:c r="W47" s="49"/>
      <x:c r="X47" s="49"/>
      <x:c r="Y47" s="49"/>
      <x:c r="Z47" s="49"/>
      <x:c r="AA47" s="49"/>
      <x:c r="AB47" s="49"/>
      <x:c r="AC47" s="49"/>
      <x:c r="AD47" s="49"/>
      <x:c r="AE47" s="49"/>
      <x:c r="AF47" s="49"/>
      <x:c r="AG47" s="49"/>
      <x:c r="AH47" s="49"/>
      <x:c r="AI47" s="49"/>
      <x:c r="AJ47" s="49"/>
      <x:c r="AK47" s="49"/>
      <x:c r="AL47" s="49"/>
      <x:c r="AM47" s="49"/>
      <x:c r="AN47" s="49"/>
      <x:c r="AO47" s="49"/>
      <x:c r="AP47" s="49"/>
      <x:c r="AQ47" s="49"/>
      <x:c r="AR47" s="49"/>
      <x:c r="AS47" s="49"/>
      <x:c r="AT47" s="49"/>
      <x:c r="AU47" s="49"/>
      <x:c r="AV47" s="49"/>
      <x:c r="AW47" s="49"/>
      <x:c r="AX47" s="49"/>
      <x:c r="AY47" s="49"/>
      <x:c r="AZ47" s="49"/>
    </x:row>
    <x:row r="48">
      <x:c r="A48" s="49"/>
      <x:c r="B48" s="49"/>
      <x:c r="C48" s="49"/>
      <x:c r="D48" s="49"/>
      <x:c r="E48" s="49"/>
      <x:c r="F48" s="49"/>
      <x:c r="G48" s="49"/>
      <x:c r="H48" s="49"/>
      <x:c r="I48" s="49"/>
      <x:c r="J48" s="49"/>
      <x:c r="K48" s="49"/>
      <x:c r="L48" s="49"/>
      <x:c r="M48" s="49"/>
      <x:c r="N48" s="49"/>
      <x:c r="O48" s="49"/>
      <x:c r="P48" s="49"/>
      <x:c r="Q48" s="49"/>
      <x:c r="R48" s="49"/>
      <x:c r="S48" s="49"/>
      <x:c r="T48" s="49"/>
      <x:c r="U48" s="49"/>
      <x:c r="V48" s="49"/>
      <x:c r="W48" s="49"/>
      <x:c r="X48" s="49"/>
      <x:c r="Y48" s="49"/>
      <x:c r="Z48" s="49"/>
      <x:c r="AA48" s="49"/>
      <x:c r="AB48" s="49"/>
      <x:c r="AC48" s="49"/>
      <x:c r="AD48" s="49"/>
      <x:c r="AE48" s="49"/>
      <x:c r="AF48" s="49"/>
      <x:c r="AG48" s="49"/>
      <x:c r="AH48" s="49"/>
      <x:c r="AI48" s="49"/>
      <x:c r="AJ48" s="49"/>
      <x:c r="AK48" s="49"/>
      <x:c r="AL48" s="49"/>
      <x:c r="AM48" s="49"/>
      <x:c r="AN48" s="49"/>
      <x:c r="AO48" s="49"/>
      <x:c r="AP48" s="49"/>
      <x:c r="AQ48" s="49"/>
      <x:c r="AR48" s="49"/>
      <x:c r="AS48" s="49"/>
      <x:c r="AT48" s="49"/>
      <x:c r="AU48" s="49"/>
      <x:c r="AV48" s="49"/>
      <x:c r="AW48" s="49"/>
      <x:c r="AX48" s="49"/>
      <x:c r="AY48" s="49"/>
      <x:c r="AZ48" s="49"/>
    </x:row>
    <x:row r="49">
      <x:c r="A49" s="49"/>
      <x:c r="B49" s="49"/>
      <x:c r="C49" s="49"/>
      <x:c r="D49" s="49"/>
      <x:c r="E49" s="49"/>
      <x:c r="F49" s="49"/>
      <x:c r="G49" s="49"/>
      <x:c r="H49" s="49"/>
      <x:c r="I49" s="49"/>
      <x:c r="J49" s="49"/>
      <x:c r="K49" s="49"/>
      <x:c r="L49" s="49"/>
      <x:c r="M49" s="49"/>
      <x:c r="N49" s="49"/>
      <x:c r="O49" s="49"/>
      <x:c r="P49" s="49"/>
      <x:c r="Q49" s="49"/>
      <x:c r="R49" s="49"/>
      <x:c r="S49" s="49"/>
      <x:c r="T49" s="49"/>
      <x:c r="U49" s="49"/>
      <x:c r="V49" s="49"/>
      <x:c r="W49" s="49"/>
      <x:c r="X49" s="49"/>
      <x:c r="Y49" s="49"/>
      <x:c r="Z49" s="49"/>
      <x:c r="AA49" s="49"/>
      <x:c r="AB49" s="49"/>
      <x:c r="AC49" s="49"/>
      <x:c r="AD49" s="49"/>
      <x:c r="AE49" s="49"/>
      <x:c r="AF49" s="49"/>
      <x:c r="AG49" s="49"/>
      <x:c r="AH49" s="49"/>
      <x:c r="AI49" s="49"/>
      <x:c r="AJ49" s="49"/>
      <x:c r="AK49" s="49"/>
      <x:c r="AL49" s="49"/>
      <x:c r="AM49" s="49"/>
      <x:c r="AN49" s="49"/>
      <x:c r="AO49" s="49"/>
      <x:c r="AP49" s="49"/>
      <x:c r="AQ49" s="49"/>
      <x:c r="AR49" s="49"/>
      <x:c r="AS49" s="49"/>
      <x:c r="AT49" s="49"/>
      <x:c r="AU49" s="49"/>
      <x:c r="AV49" s="49"/>
      <x:c r="AW49" s="49"/>
      <x:c r="AX49" s="49"/>
      <x:c r="AY49" s="49"/>
      <x:c r="AZ49" s="49"/>
    </x:row>
    <x:row r="50">
      <x:c r="A50" s="49"/>
      <x:c r="B50" s="49"/>
      <x:c r="C50" s="49"/>
      <x:c r="D50" s="49"/>
      <x:c r="E50" s="49"/>
      <x:c r="F50" s="49"/>
      <x:c r="G50" s="49"/>
      <x:c r="H50" s="49"/>
      <x:c r="I50" s="49"/>
      <x:c r="J50" s="49"/>
      <x:c r="K50" s="49"/>
      <x:c r="L50" s="49"/>
      <x:c r="M50" s="49"/>
      <x:c r="N50" s="49"/>
      <x:c r="O50" s="49"/>
      <x:c r="P50" s="49"/>
      <x:c r="Q50" s="49"/>
      <x:c r="R50" s="49"/>
      <x:c r="S50" s="49"/>
      <x:c r="T50" s="49"/>
      <x:c r="U50" s="49"/>
      <x:c r="V50" s="49"/>
      <x:c r="W50" s="49"/>
      <x:c r="X50" s="49"/>
      <x:c r="Y50" s="49"/>
      <x:c r="Z50" s="49"/>
      <x:c r="AA50" s="49"/>
      <x:c r="AB50" s="49"/>
      <x:c r="AC50" s="49"/>
      <x:c r="AD50" s="49"/>
      <x:c r="AE50" s="49"/>
      <x:c r="AF50" s="49"/>
      <x:c r="AG50" s="49"/>
      <x:c r="AH50" s="49"/>
      <x:c r="AI50" s="49"/>
      <x:c r="AJ50" s="49"/>
      <x:c r="AK50" s="49"/>
      <x:c r="AL50" s="49"/>
      <x:c r="AM50" s="49"/>
      <x:c r="AN50" s="49"/>
      <x:c r="AO50" s="49"/>
      <x:c r="AP50" s="49"/>
      <x:c r="AQ50" s="49"/>
      <x:c r="AR50" s="49"/>
      <x:c r="AS50" s="49"/>
      <x:c r="AT50" s="49"/>
      <x:c r="AU50" s="49"/>
      <x:c r="AV50" s="49"/>
      <x:c r="AW50" s="49"/>
      <x:c r="AX50" s="49"/>
      <x:c r="AY50" s="49"/>
      <x:c r="AZ50" s="49"/>
    </x:row>
    <x:row r="51">
      <x:c r="A51" s="49"/>
      <x:c r="B51" s="49"/>
      <x:c r="C51" s="49"/>
      <x:c r="D51" s="49"/>
      <x:c r="E51" s="49"/>
      <x:c r="F51" s="49"/>
      <x:c r="G51" s="49"/>
      <x:c r="H51" s="49"/>
      <x:c r="I51" s="49"/>
      <x:c r="J51" s="49"/>
      <x:c r="K51" s="49"/>
      <x:c r="L51" s="49"/>
      <x:c r="M51" s="49"/>
      <x:c r="N51" s="49"/>
      <x:c r="O51" s="49"/>
      <x:c r="P51" s="49"/>
      <x:c r="Q51" s="49"/>
      <x:c r="R51" s="49"/>
      <x:c r="S51" s="49"/>
      <x:c r="T51" s="49"/>
      <x:c r="U51" s="49"/>
      <x:c r="V51" s="49"/>
      <x:c r="W51" s="49"/>
      <x:c r="X51" s="49"/>
      <x:c r="Y51" s="49"/>
      <x:c r="Z51" s="49"/>
      <x:c r="AA51" s="49"/>
      <x:c r="AB51" s="49"/>
      <x:c r="AC51" s="49"/>
      <x:c r="AD51" s="49"/>
      <x:c r="AE51" s="49"/>
      <x:c r="AF51" s="49"/>
      <x:c r="AG51" s="49"/>
      <x:c r="AH51" s="49"/>
      <x:c r="AI51" s="49"/>
      <x:c r="AJ51" s="49"/>
      <x:c r="AK51" s="49"/>
      <x:c r="AL51" s="49"/>
      <x:c r="AM51" s="49"/>
      <x:c r="AN51" s="49"/>
      <x:c r="AO51" s="49"/>
      <x:c r="AP51" s="49"/>
      <x:c r="AQ51" s="49"/>
      <x:c r="AR51" s="49"/>
      <x:c r="AS51" s="49"/>
      <x:c r="AT51" s="49"/>
      <x:c r="AU51" s="49"/>
      <x:c r="AV51" s="49"/>
      <x:c r="AW51" s="49"/>
      <x:c r="AX51" s="49"/>
      <x:c r="AY51" s="49"/>
      <x:c r="AZ51" s="49"/>
    </x:row>
    <x:row r="52">
      <x:c r="A52" s="49"/>
      <x:c r="B52" s="49"/>
      <x:c r="C52" s="49"/>
      <x:c r="D52" s="49"/>
      <x:c r="E52" s="49"/>
      <x:c r="F52" s="49"/>
      <x:c r="G52" s="49"/>
      <x:c r="H52" s="49"/>
      <x:c r="I52" s="49"/>
      <x:c r="J52" s="49"/>
      <x:c r="K52" s="49"/>
      <x:c r="L52" s="49"/>
      <x:c r="M52" s="49"/>
      <x:c r="N52" s="49"/>
      <x:c r="O52" s="49"/>
      <x:c r="P52" s="49"/>
      <x:c r="Q52" s="49"/>
      <x:c r="R52" s="49"/>
      <x:c r="S52" s="49"/>
      <x:c r="T52" s="49"/>
      <x:c r="U52" s="49"/>
      <x:c r="V52" s="49"/>
      <x:c r="W52" s="49"/>
      <x:c r="X52" s="49"/>
      <x:c r="Y52" s="49"/>
      <x:c r="Z52" s="49"/>
      <x:c r="AA52" s="49"/>
      <x:c r="AB52" s="49"/>
      <x:c r="AC52" s="49"/>
      <x:c r="AD52" s="49"/>
      <x:c r="AE52" s="49"/>
      <x:c r="AF52" s="49"/>
      <x:c r="AG52" s="49"/>
      <x:c r="AH52" s="49"/>
      <x:c r="AI52" s="49"/>
      <x:c r="AJ52" s="49"/>
      <x:c r="AK52" s="49"/>
      <x:c r="AL52" s="49"/>
      <x:c r="AM52" s="49"/>
      <x:c r="AN52" s="49"/>
      <x:c r="AO52" s="49"/>
      <x:c r="AP52" s="49"/>
      <x:c r="AQ52" s="49"/>
      <x:c r="AR52" s="49"/>
      <x:c r="AS52" s="49"/>
      <x:c r="AT52" s="49"/>
      <x:c r="AU52" s="49"/>
      <x:c r="AV52" s="49"/>
      <x:c r="AW52" s="49"/>
      <x:c r="AX52" s="49"/>
      <x:c r="AY52" s="49"/>
      <x:c r="AZ52" s="49"/>
    </x:row>
    <x:row r="53">
      <x:c r="A53" s="49"/>
      <x:c r="B53" s="49"/>
      <x:c r="C53" s="49"/>
      <x:c r="D53" s="49"/>
      <x:c r="E53" s="49"/>
      <x:c r="F53" s="49"/>
      <x:c r="G53" s="49"/>
      <x:c r="H53" s="49"/>
      <x:c r="I53" s="49"/>
      <x:c r="J53" s="49"/>
      <x:c r="K53" s="49"/>
      <x:c r="L53" s="49"/>
      <x:c r="M53" s="49"/>
      <x:c r="N53" s="49"/>
      <x:c r="O53" s="49"/>
      <x:c r="P53" s="49"/>
      <x:c r="Q53" s="49"/>
      <x:c r="R53" s="49"/>
      <x:c r="S53" s="49"/>
      <x:c r="T53" s="49"/>
      <x:c r="U53" s="49"/>
      <x:c r="V53" s="49"/>
      <x:c r="W53" s="49"/>
      <x:c r="X53" s="49"/>
      <x:c r="Y53" s="49"/>
      <x:c r="Z53" s="49"/>
      <x:c r="AA53" s="49"/>
      <x:c r="AB53" s="49"/>
      <x:c r="AC53" s="49"/>
      <x:c r="AD53" s="49"/>
      <x:c r="AE53" s="49"/>
      <x:c r="AF53" s="49"/>
      <x:c r="AG53" s="49"/>
      <x:c r="AH53" s="49"/>
      <x:c r="AI53" s="49"/>
      <x:c r="AJ53" s="49"/>
      <x:c r="AK53" s="49"/>
      <x:c r="AL53" s="49"/>
      <x:c r="AM53" s="49"/>
      <x:c r="AN53" s="49"/>
      <x:c r="AO53" s="49"/>
      <x:c r="AP53" s="49"/>
      <x:c r="AQ53" s="49"/>
      <x:c r="AR53" s="49"/>
      <x:c r="AS53" s="49"/>
      <x:c r="AT53" s="49"/>
      <x:c r="AU53" s="49"/>
      <x:c r="AV53" s="49"/>
      <x:c r="AW53" s="49"/>
      <x:c r="AX53" s="49"/>
      <x:c r="AY53" s="49"/>
      <x:c r="AZ53" s="49"/>
    </x:row>
    <x:row r="54">
      <x:c r="A54" s="49"/>
      <x:c r="B54" s="49"/>
      <x:c r="C54" s="49"/>
      <x:c r="D54" s="49"/>
      <x:c r="E54" s="49"/>
      <x:c r="F54" s="49"/>
      <x:c r="G54" s="49"/>
      <x:c r="H54" s="49"/>
      <x:c r="I54" s="49"/>
      <x:c r="J54" s="49"/>
      <x:c r="K54" s="49"/>
      <x:c r="L54" s="49"/>
      <x:c r="M54" s="49"/>
      <x:c r="N54" s="49"/>
      <x:c r="O54" s="49"/>
      <x:c r="P54" s="49"/>
      <x:c r="Q54" s="49"/>
      <x:c r="R54" s="49"/>
      <x:c r="S54" s="49"/>
      <x:c r="T54" s="49"/>
      <x:c r="U54" s="49"/>
      <x:c r="V54" s="49"/>
      <x:c r="W54" s="49"/>
      <x:c r="X54" s="49"/>
      <x:c r="Y54" s="49"/>
      <x:c r="Z54" s="49"/>
      <x:c r="AA54" s="49"/>
      <x:c r="AB54" s="49"/>
      <x:c r="AC54" s="49"/>
      <x:c r="AD54" s="49"/>
      <x:c r="AE54" s="49"/>
      <x:c r="AF54" s="49"/>
      <x:c r="AG54" s="49"/>
      <x:c r="AH54" s="49"/>
      <x:c r="AI54" s="49"/>
      <x:c r="AJ54" s="49"/>
      <x:c r="AK54" s="49"/>
      <x:c r="AL54" s="49"/>
      <x:c r="AM54" s="49"/>
      <x:c r="AN54" s="49"/>
      <x:c r="AO54" s="49"/>
      <x:c r="AP54" s="49"/>
      <x:c r="AQ54" s="49"/>
      <x:c r="AR54" s="49"/>
      <x:c r="AS54" s="49"/>
      <x:c r="AT54" s="49"/>
      <x:c r="AU54" s="49"/>
      <x:c r="AV54" s="49"/>
      <x:c r="AW54" s="49"/>
      <x:c r="AX54" s="49"/>
      <x:c r="AY54" s="49"/>
      <x:c r="AZ54" s="49"/>
    </x:row>
    <x:row r="55">
      <x:c r="A55" s="49"/>
      <x:c r="B55" s="49"/>
      <x:c r="C55" s="49"/>
      <x:c r="D55" s="49"/>
      <x:c r="E55" s="49"/>
      <x:c r="F55" s="49"/>
      <x:c r="G55" s="49"/>
      <x:c r="H55" s="49"/>
      <x:c r="I55" s="49"/>
      <x:c r="J55" s="49"/>
      <x:c r="K55" s="49"/>
      <x:c r="L55" s="49"/>
      <x:c r="M55" s="49"/>
      <x:c r="N55" s="49"/>
      <x:c r="O55" s="49"/>
      <x:c r="P55" s="49"/>
      <x:c r="Q55" s="49"/>
      <x:c r="R55" s="49"/>
      <x:c r="S55" s="49"/>
      <x:c r="T55" s="49"/>
      <x:c r="U55" s="49"/>
      <x:c r="V55" s="49"/>
      <x:c r="W55" s="49"/>
      <x:c r="X55" s="49"/>
      <x:c r="Y55" s="49"/>
      <x:c r="Z55" s="49"/>
      <x:c r="AA55" s="49"/>
      <x:c r="AB55" s="49"/>
      <x:c r="AC55" s="49"/>
      <x:c r="AD55" s="49"/>
      <x:c r="AE55" s="49"/>
      <x:c r="AF55" s="49"/>
      <x:c r="AG55" s="49"/>
      <x:c r="AH55" s="49"/>
      <x:c r="AI55" s="49"/>
      <x:c r="AJ55" s="49"/>
      <x:c r="AK55" s="49"/>
      <x:c r="AL55" s="49"/>
      <x:c r="AM55" s="49"/>
      <x:c r="AN55" s="49"/>
      <x:c r="AO55" s="49"/>
      <x:c r="AP55" s="49"/>
      <x:c r="AQ55" s="49"/>
      <x:c r="AR55" s="49"/>
      <x:c r="AS55" s="49"/>
      <x:c r="AT55" s="49"/>
      <x:c r="AU55" s="49"/>
      <x:c r="AV55" s="49"/>
      <x:c r="AW55" s="49"/>
      <x:c r="AX55" s="49"/>
      <x:c r="AY55" s="49"/>
      <x:c r="AZ55" s="49"/>
    </x:row>
    <x:row r="56">
      <x:c r="A56" s="49"/>
      <x:c r="B56" s="49"/>
      <x:c r="C56" s="49"/>
      <x:c r="D56" s="49"/>
      <x:c r="E56" s="49"/>
      <x:c r="F56" s="49"/>
      <x:c r="G56" s="49"/>
      <x:c r="H56" s="49"/>
      <x:c r="I56" s="49"/>
      <x:c r="J56" s="49"/>
      <x:c r="K56" s="49"/>
      <x:c r="L56" s="49"/>
      <x:c r="M56" s="49"/>
      <x:c r="N56" s="49"/>
      <x:c r="O56" s="49"/>
      <x:c r="P56" s="49"/>
      <x:c r="Q56" s="49"/>
      <x:c r="R56" s="49"/>
      <x:c r="S56" s="49"/>
      <x:c r="T56" s="49"/>
      <x:c r="U56" s="49"/>
      <x:c r="V56" s="49"/>
      <x:c r="W56" s="49"/>
      <x:c r="X56" s="49"/>
      <x:c r="Y56" s="49"/>
      <x:c r="Z56" s="49"/>
      <x:c r="AA56" s="49"/>
      <x:c r="AB56" s="49"/>
      <x:c r="AC56" s="49"/>
      <x:c r="AD56" s="49"/>
      <x:c r="AE56" s="49"/>
      <x:c r="AF56" s="49"/>
      <x:c r="AG56" s="49"/>
      <x:c r="AH56" s="49"/>
      <x:c r="AI56" s="49"/>
      <x:c r="AJ56" s="49"/>
      <x:c r="AK56" s="49"/>
      <x:c r="AL56" s="49"/>
      <x:c r="AM56" s="49"/>
      <x:c r="AN56" s="49"/>
      <x:c r="AO56" s="49"/>
      <x:c r="AP56" s="49"/>
      <x:c r="AQ56" s="49"/>
      <x:c r="AR56" s="49"/>
      <x:c r="AS56" s="49"/>
      <x:c r="AT56" s="49"/>
      <x:c r="AU56" s="49"/>
      <x:c r="AV56" s="49"/>
      <x:c r="AW56" s="49"/>
      <x:c r="AX56" s="49"/>
      <x:c r="AY56" s="49"/>
      <x:c r="AZ56" s="49"/>
    </x:row>
    <x:row r="57">
      <x:c r="A57" s="49"/>
      <x:c r="B57" s="49"/>
      <x:c r="C57" s="49"/>
      <x:c r="D57" s="49"/>
      <x:c r="E57" s="49"/>
      <x:c r="F57" s="49"/>
      <x:c r="G57" s="49"/>
      <x:c r="H57" s="49"/>
      <x:c r="I57" s="49"/>
      <x:c r="J57" s="49"/>
      <x:c r="K57" s="49"/>
      <x:c r="L57" s="49"/>
      <x:c r="M57" s="49"/>
      <x:c r="N57" s="49"/>
      <x:c r="O57" s="49"/>
      <x:c r="P57" s="49"/>
      <x:c r="Q57" s="49"/>
      <x:c r="R57" s="49"/>
      <x:c r="S57" s="49"/>
      <x:c r="T57" s="49"/>
      <x:c r="U57" s="49"/>
      <x:c r="V57" s="49"/>
      <x:c r="W57" s="49"/>
      <x:c r="X57" s="49"/>
      <x:c r="Y57" s="49"/>
      <x:c r="Z57" s="49"/>
      <x:c r="AA57" s="49"/>
      <x:c r="AB57" s="49"/>
      <x:c r="AC57" s="49"/>
      <x:c r="AD57" s="49"/>
      <x:c r="AE57" s="49"/>
      <x:c r="AF57" s="49"/>
      <x:c r="AG57" s="49"/>
      <x:c r="AH57" s="49"/>
      <x:c r="AI57" s="49"/>
      <x:c r="AJ57" s="49"/>
      <x:c r="AK57" s="49"/>
      <x:c r="AL57" s="49"/>
      <x:c r="AM57" s="49"/>
      <x:c r="AN57" s="49"/>
      <x:c r="AO57" s="49"/>
      <x:c r="AP57" s="49"/>
      <x:c r="AQ57" s="49"/>
      <x:c r="AR57" s="49"/>
      <x:c r="AS57" s="49"/>
      <x:c r="AT57" s="49"/>
      <x:c r="AU57" s="49"/>
      <x:c r="AV57" s="49"/>
      <x:c r="AW57" s="49"/>
      <x:c r="AX57" s="49"/>
      <x:c r="AY57" s="49"/>
      <x:c r="AZ57" s="49"/>
    </x:row>
    <x:row r="58">
      <x:c r="A58" s="49"/>
      <x:c r="B58" s="49"/>
      <x:c r="C58" s="49"/>
      <x:c r="D58" s="49"/>
      <x:c r="E58" s="49"/>
      <x:c r="F58" s="49"/>
      <x:c r="G58" s="49"/>
      <x:c r="H58" s="49"/>
      <x:c r="I58" s="49"/>
      <x:c r="J58" s="49"/>
      <x:c r="K58" s="49"/>
      <x:c r="L58" s="49"/>
      <x:c r="M58" s="49"/>
      <x:c r="N58" s="49"/>
      <x:c r="O58" s="49"/>
      <x:c r="P58" s="49"/>
      <x:c r="Q58" s="49"/>
      <x:c r="R58" s="49"/>
      <x:c r="S58" s="49"/>
      <x:c r="T58" s="49"/>
      <x:c r="U58" s="49"/>
      <x:c r="V58" s="49"/>
      <x:c r="W58" s="49"/>
      <x:c r="X58" s="49"/>
      <x:c r="Y58" s="49"/>
      <x:c r="Z58" s="49"/>
      <x:c r="AA58" s="49"/>
      <x:c r="AB58" s="49"/>
      <x:c r="AC58" s="49"/>
      <x:c r="AD58" s="49"/>
      <x:c r="AE58" s="49"/>
      <x:c r="AF58" s="49"/>
      <x:c r="AG58" s="49"/>
      <x:c r="AH58" s="49"/>
      <x:c r="AI58" s="49"/>
      <x:c r="AJ58" s="49"/>
      <x:c r="AK58" s="49"/>
      <x:c r="AL58" s="49"/>
      <x:c r="AM58" s="49"/>
      <x:c r="AN58" s="49"/>
      <x:c r="AO58" s="49"/>
      <x:c r="AP58" s="49"/>
      <x:c r="AQ58" s="49"/>
      <x:c r="AR58" s="49"/>
      <x:c r="AS58" s="49"/>
      <x:c r="AT58" s="49"/>
      <x:c r="AU58" s="49"/>
      <x:c r="AV58" s="49"/>
      <x:c r="AW58" s="49"/>
      <x:c r="AX58" s="49"/>
      <x:c r="AY58" s="49"/>
      <x:c r="AZ58" s="49"/>
    </x:row>
    <x:row r="59">
      <x:c r="A59" s="49"/>
      <x:c r="B59" s="49"/>
      <x:c r="C59" s="49"/>
      <x:c r="D59" s="49"/>
      <x:c r="E59" s="49"/>
      <x:c r="F59" s="49"/>
      <x:c r="G59" s="49"/>
      <x:c r="H59" s="49"/>
      <x:c r="I59" s="49"/>
      <x:c r="J59" s="49"/>
      <x:c r="K59" s="49"/>
      <x:c r="L59" s="49"/>
      <x:c r="M59" s="49"/>
      <x:c r="N59" s="49"/>
      <x:c r="O59" s="49"/>
      <x:c r="P59" s="49"/>
      <x:c r="Q59" s="49"/>
      <x:c r="R59" s="49"/>
      <x:c r="S59" s="49"/>
      <x:c r="T59" s="49"/>
      <x:c r="U59" s="49"/>
      <x:c r="V59" s="49"/>
      <x:c r="W59" s="49"/>
      <x:c r="X59" s="49"/>
      <x:c r="Y59" s="49"/>
      <x:c r="Z59" s="49"/>
      <x:c r="AA59" s="49"/>
      <x:c r="AB59" s="49"/>
      <x:c r="AC59" s="49"/>
      <x:c r="AD59" s="49"/>
      <x:c r="AE59" s="49"/>
      <x:c r="AF59" s="49"/>
      <x:c r="AG59" s="49"/>
      <x:c r="AH59" s="49"/>
      <x:c r="AI59" s="49"/>
      <x:c r="AJ59" s="49"/>
      <x:c r="AK59" s="49"/>
      <x:c r="AL59" s="49"/>
      <x:c r="AM59" s="49"/>
      <x:c r="AN59" s="49"/>
      <x:c r="AO59" s="49"/>
      <x:c r="AP59" s="49"/>
      <x:c r="AQ59" s="49"/>
      <x:c r="AR59" s="49"/>
      <x:c r="AS59" s="49"/>
      <x:c r="AT59" s="49"/>
      <x:c r="AU59" s="49"/>
      <x:c r="AV59" s="49"/>
      <x:c r="AW59" s="49"/>
      <x:c r="AX59" s="49"/>
      <x:c r="AY59" s="49"/>
      <x:c r="AZ59" s="49"/>
    </x:row>
    <x:row r="60">
      <x:c r="A60" s="49"/>
      <x:c r="B60" s="49"/>
      <x:c r="C60" s="49"/>
      <x:c r="D60" s="49"/>
      <x:c r="E60" s="49"/>
      <x:c r="F60" s="49"/>
      <x:c r="G60" s="49"/>
      <x:c r="H60" s="49"/>
      <x:c r="I60" s="49"/>
      <x:c r="J60" s="49"/>
      <x:c r="K60" s="49"/>
      <x:c r="L60" s="49"/>
      <x:c r="M60" s="49"/>
      <x:c r="N60" s="49"/>
      <x:c r="O60" s="49"/>
      <x:c r="P60" s="49"/>
      <x:c r="Q60" s="49"/>
      <x:c r="R60" s="49"/>
      <x:c r="S60" s="49"/>
      <x:c r="T60" s="49"/>
      <x:c r="U60" s="49"/>
      <x:c r="V60" s="49"/>
      <x:c r="W60" s="49"/>
      <x:c r="X60" s="49"/>
      <x:c r="Y60" s="49"/>
      <x:c r="Z60" s="49"/>
      <x:c r="AA60" s="49"/>
      <x:c r="AB60" s="49"/>
      <x:c r="AC60" s="49"/>
      <x:c r="AD60" s="49"/>
      <x:c r="AE60" s="49"/>
      <x:c r="AF60" s="49"/>
      <x:c r="AG60" s="49"/>
      <x:c r="AH60" s="49"/>
      <x:c r="AI60" s="49"/>
      <x:c r="AJ60" s="49"/>
      <x:c r="AK60" s="49"/>
      <x:c r="AL60" s="49"/>
      <x:c r="AM60" s="49"/>
      <x:c r="AN60" s="49"/>
      <x:c r="AO60" s="49"/>
      <x:c r="AP60" s="49"/>
      <x:c r="AQ60" s="49"/>
      <x:c r="AR60" s="49"/>
      <x:c r="AS60" s="49"/>
      <x:c r="AT60" s="49"/>
      <x:c r="AU60" s="49"/>
      <x:c r="AV60" s="49"/>
      <x:c r="AW60" s="49"/>
      <x:c r="AX60" s="49"/>
      <x:c r="AY60" s="49"/>
      <x:c r="AZ60" s="49"/>
    </x:row>
    <x:row r="61">
      <x:c r="A61" s="49"/>
      <x:c r="B61" s="49"/>
      <x:c r="C61" s="49"/>
      <x:c r="D61" s="49"/>
      <x:c r="E61" s="49"/>
      <x:c r="F61" s="49"/>
      <x:c r="G61" s="49"/>
      <x:c r="H61" s="49"/>
      <x:c r="I61" s="49"/>
      <x:c r="J61" s="49"/>
      <x:c r="K61" s="49"/>
      <x:c r="L61" s="49"/>
      <x:c r="M61" s="49"/>
      <x:c r="N61" s="49"/>
      <x:c r="O61" s="49"/>
      <x:c r="P61" s="49"/>
      <x:c r="Q61" s="49"/>
      <x:c r="R61" s="49"/>
      <x:c r="S61" s="49"/>
      <x:c r="T61" s="49"/>
      <x:c r="U61" s="49"/>
      <x:c r="V61" s="49"/>
      <x:c r="W61" s="49"/>
      <x:c r="X61" s="49"/>
      <x:c r="Y61" s="49"/>
      <x:c r="Z61" s="49"/>
      <x:c r="AA61" s="49"/>
      <x:c r="AB61" s="49"/>
      <x:c r="AC61" s="49"/>
      <x:c r="AD61" s="49"/>
      <x:c r="AE61" s="49"/>
      <x:c r="AF61" s="49"/>
      <x:c r="AG61" s="49"/>
      <x:c r="AH61" s="49"/>
      <x:c r="AI61" s="49"/>
      <x:c r="AJ61" s="49"/>
      <x:c r="AK61" s="49"/>
      <x:c r="AL61" s="49"/>
      <x:c r="AM61" s="49"/>
      <x:c r="AN61" s="49"/>
      <x:c r="AO61" s="49"/>
      <x:c r="AP61" s="49"/>
      <x:c r="AQ61" s="49"/>
      <x:c r="AR61" s="49"/>
      <x:c r="AS61" s="49"/>
      <x:c r="AT61" s="49"/>
      <x:c r="AU61" s="49"/>
      <x:c r="AV61" s="49"/>
      <x:c r="AW61" s="49"/>
      <x:c r="AX61" s="49"/>
      <x:c r="AY61" s="49"/>
      <x:c r="AZ61" s="49"/>
    </x:row>
    <x:row r="62">
      <x:c r="A62" s="49"/>
      <x:c r="B62" s="49"/>
      <x:c r="C62" s="49"/>
      <x:c r="D62" s="49"/>
      <x:c r="E62" s="49"/>
      <x:c r="F62" s="49"/>
      <x:c r="G62" s="49"/>
      <x:c r="H62" s="49"/>
      <x:c r="I62" s="49"/>
      <x:c r="J62" s="49"/>
      <x:c r="K62" s="49"/>
      <x:c r="L62" s="49"/>
      <x:c r="M62" s="49"/>
      <x:c r="N62" s="49"/>
      <x:c r="O62" s="49"/>
      <x:c r="P62" s="49"/>
      <x:c r="Q62" s="49"/>
      <x:c r="R62" s="49"/>
      <x:c r="S62" s="49"/>
      <x:c r="T62" s="49"/>
      <x:c r="U62" s="49"/>
      <x:c r="V62" s="49"/>
      <x:c r="W62" s="49"/>
      <x:c r="X62" s="49"/>
      <x:c r="Y62" s="49"/>
      <x:c r="Z62" s="49"/>
      <x:c r="AA62" s="49"/>
      <x:c r="AB62" s="49"/>
      <x:c r="AC62" s="49"/>
      <x:c r="AD62" s="49"/>
      <x:c r="AE62" s="49"/>
      <x:c r="AF62" s="49"/>
      <x:c r="AG62" s="49"/>
      <x:c r="AH62" s="49"/>
      <x:c r="AI62" s="49"/>
      <x:c r="AJ62" s="49"/>
      <x:c r="AK62" s="49"/>
      <x:c r="AL62" s="49"/>
      <x:c r="AM62" s="49"/>
      <x:c r="AN62" s="49"/>
      <x:c r="AO62" s="49"/>
      <x:c r="AP62" s="49"/>
      <x:c r="AQ62" s="49"/>
      <x:c r="AR62" s="49"/>
      <x:c r="AS62" s="49"/>
      <x:c r="AT62" s="49"/>
      <x:c r="AU62" s="49"/>
      <x:c r="AV62" s="49"/>
      <x:c r="AW62" s="49"/>
      <x:c r="AX62" s="49"/>
      <x:c r="AY62" s="49"/>
      <x:c r="AZ62" s="49"/>
    </x:row>
    <x:row r="63">
      <x:c r="A63" s="49"/>
      <x:c r="B63" s="49"/>
      <x:c r="C63" s="49"/>
      <x:c r="D63" s="49"/>
      <x:c r="E63" s="49"/>
      <x:c r="F63" s="49"/>
      <x:c r="G63" s="49"/>
      <x:c r="H63" s="49"/>
      <x:c r="I63" s="49"/>
      <x:c r="J63" s="49"/>
      <x:c r="K63" s="49"/>
      <x:c r="L63" s="49"/>
      <x:c r="M63" s="49"/>
      <x:c r="N63" s="49"/>
      <x:c r="O63" s="49"/>
      <x:c r="P63" s="49"/>
      <x:c r="Q63" s="49"/>
      <x:c r="R63" s="49"/>
      <x:c r="S63" s="49"/>
      <x:c r="T63" s="49"/>
      <x:c r="U63" s="49"/>
      <x:c r="V63" s="49"/>
      <x:c r="W63" s="49"/>
      <x:c r="X63" s="49"/>
      <x:c r="Y63" s="49"/>
      <x:c r="Z63" s="49"/>
      <x:c r="AA63" s="49"/>
      <x:c r="AB63" s="49"/>
      <x:c r="AC63" s="49"/>
      <x:c r="AD63" s="49"/>
      <x:c r="AE63" s="49"/>
      <x:c r="AF63" s="49"/>
      <x:c r="AG63" s="49"/>
      <x:c r="AH63" s="49"/>
      <x:c r="AI63" s="49"/>
      <x:c r="AJ63" s="49"/>
      <x:c r="AK63" s="49"/>
      <x:c r="AL63" s="49"/>
      <x:c r="AM63" s="49"/>
      <x:c r="AN63" s="49"/>
      <x:c r="AO63" s="49"/>
      <x:c r="AP63" s="49"/>
      <x:c r="AQ63" s="49"/>
      <x:c r="AR63" s="49"/>
      <x:c r="AS63" s="49"/>
      <x:c r="AT63" s="49"/>
      <x:c r="AU63" s="49"/>
      <x:c r="AV63" s="49"/>
      <x:c r="AW63" s="49"/>
      <x:c r="AX63" s="49"/>
      <x:c r="AY63" s="49"/>
      <x:c r="AZ63" s="49"/>
    </x:row>
    <x:row r="64">
      <x:c r="A64" s="49"/>
      <x:c r="B64" s="49"/>
      <x:c r="C64" s="49"/>
      <x:c r="D64" s="49"/>
      <x:c r="E64" s="49"/>
      <x:c r="F64" s="49"/>
      <x:c r="G64" s="49"/>
      <x:c r="H64" s="49"/>
      <x:c r="I64" s="49"/>
      <x:c r="J64" s="49"/>
      <x:c r="K64" s="49"/>
      <x:c r="L64" s="49"/>
      <x:c r="M64" s="49"/>
      <x:c r="N64" s="49"/>
      <x:c r="O64" s="49"/>
      <x:c r="P64" s="49"/>
      <x:c r="Q64" s="49"/>
      <x:c r="R64" s="49"/>
      <x:c r="S64" s="49"/>
      <x:c r="T64" s="49"/>
      <x:c r="U64" s="49"/>
      <x:c r="V64" s="49"/>
      <x:c r="W64" s="49"/>
      <x:c r="X64" s="49"/>
      <x:c r="Y64" s="49"/>
      <x:c r="Z64" s="49"/>
      <x:c r="AA64" s="49"/>
      <x:c r="AB64" s="49"/>
      <x:c r="AC64" s="49"/>
      <x:c r="AD64" s="49"/>
      <x:c r="AE64" s="49"/>
      <x:c r="AF64" s="49"/>
      <x:c r="AG64" s="49"/>
      <x:c r="AH64" s="49"/>
      <x:c r="AI64" s="49"/>
      <x:c r="AJ64" s="49"/>
      <x:c r="AK64" s="49"/>
      <x:c r="AL64" s="49"/>
      <x:c r="AM64" s="49"/>
      <x:c r="AN64" s="49"/>
      <x:c r="AO64" s="49"/>
      <x:c r="AP64" s="49"/>
      <x:c r="AQ64" s="49"/>
      <x:c r="AR64" s="49"/>
      <x:c r="AS64" s="49"/>
      <x:c r="AT64" s="49"/>
      <x:c r="AU64" s="49"/>
      <x:c r="AV64" s="49"/>
      <x:c r="AW64" s="49"/>
      <x:c r="AX64" s="49"/>
      <x:c r="AY64" s="49"/>
      <x:c r="AZ64" s="49"/>
    </x:row>
    <x:row r="65">
      <x:c r="A65" s="49"/>
      <x:c r="B65" s="49"/>
      <x:c r="C65" s="49"/>
      <x:c r="D65" s="49"/>
      <x:c r="E65" s="49"/>
      <x:c r="F65" s="49"/>
      <x:c r="G65" s="49"/>
      <x:c r="H65" s="49"/>
      <x:c r="I65" s="49"/>
      <x:c r="J65" s="49"/>
      <x:c r="K65" s="49"/>
      <x:c r="L65" s="49"/>
      <x:c r="M65" s="49"/>
      <x:c r="N65" s="49"/>
      <x:c r="O65" s="49"/>
      <x:c r="P65" s="49"/>
      <x:c r="Q65" s="49"/>
      <x:c r="R65" s="49"/>
      <x:c r="S65" s="49"/>
      <x:c r="T65" s="49"/>
      <x:c r="U65" s="49"/>
      <x:c r="V65" s="49"/>
      <x:c r="W65" s="49"/>
      <x:c r="X65" s="49"/>
      <x:c r="Y65" s="49"/>
      <x:c r="Z65" s="49"/>
      <x:c r="AA65" s="49"/>
      <x:c r="AB65" s="49"/>
      <x:c r="AC65" s="49"/>
      <x:c r="AD65" s="49"/>
      <x:c r="AE65" s="49"/>
      <x:c r="AF65" s="49"/>
      <x:c r="AG65" s="49"/>
      <x:c r="AH65" s="49"/>
      <x:c r="AI65" s="49"/>
      <x:c r="AJ65" s="49"/>
      <x:c r="AK65" s="49"/>
      <x:c r="AL65" s="49"/>
      <x:c r="AM65" s="49"/>
      <x:c r="AN65" s="49"/>
      <x:c r="AO65" s="49"/>
      <x:c r="AP65" s="49"/>
      <x:c r="AQ65" s="49"/>
      <x:c r="AR65" s="49"/>
      <x:c r="AS65" s="49"/>
      <x:c r="AT65" s="49"/>
      <x:c r="AU65" s="49"/>
      <x:c r="AV65" s="49"/>
      <x:c r="AW65" s="49"/>
      <x:c r="AX65" s="49"/>
      <x:c r="AY65" s="49"/>
      <x:c r="AZ65" s="49"/>
    </x:row>
    <x:row r="66">
      <x:c r="A66" s="49"/>
      <x:c r="B66" s="49"/>
      <x:c r="C66" s="49"/>
      <x:c r="D66" s="49"/>
      <x:c r="E66" s="49"/>
      <x:c r="F66" s="49"/>
      <x:c r="G66" s="49"/>
      <x:c r="H66" s="49"/>
      <x:c r="I66" s="49"/>
      <x:c r="J66" s="49"/>
      <x:c r="K66" s="49"/>
      <x:c r="L66" s="49"/>
      <x:c r="M66" s="49"/>
      <x:c r="N66" s="49"/>
      <x:c r="O66" s="49"/>
      <x:c r="P66" s="49"/>
      <x:c r="Q66" s="49"/>
      <x:c r="R66" s="49"/>
      <x:c r="S66" s="49"/>
      <x:c r="T66" s="49"/>
      <x:c r="U66" s="49"/>
      <x:c r="V66" s="49"/>
      <x:c r="W66" s="49"/>
      <x:c r="X66" s="49"/>
      <x:c r="Y66" s="49"/>
      <x:c r="Z66" s="49"/>
      <x:c r="AA66" s="49"/>
      <x:c r="AB66" s="49"/>
      <x:c r="AC66" s="49"/>
      <x:c r="AD66" s="49"/>
      <x:c r="AE66" s="49"/>
      <x:c r="AF66" s="49"/>
      <x:c r="AG66" s="49"/>
      <x:c r="AH66" s="49"/>
      <x:c r="AI66" s="49"/>
      <x:c r="AJ66" s="49"/>
      <x:c r="AK66" s="49"/>
      <x:c r="AL66" s="49"/>
      <x:c r="AM66" s="49"/>
      <x:c r="AN66" s="49"/>
      <x:c r="AO66" s="49"/>
      <x:c r="AP66" s="49"/>
      <x:c r="AQ66" s="49"/>
      <x:c r="AR66" s="49"/>
      <x:c r="AS66" s="49"/>
      <x:c r="AT66" s="49"/>
      <x:c r="AU66" s="49"/>
      <x:c r="AV66" s="49"/>
      <x:c r="AW66" s="49"/>
      <x:c r="AX66" s="49"/>
      <x:c r="AY66" s="49"/>
      <x:c r="AZ66" s="49"/>
    </x:row>
    <x:row r="67">
      <x:c r="A67" s="49"/>
      <x:c r="B67" s="49"/>
      <x:c r="C67" s="49"/>
      <x:c r="D67" s="49"/>
      <x:c r="E67" s="49"/>
      <x:c r="F67" s="49"/>
      <x:c r="G67" s="49"/>
      <x:c r="H67" s="49"/>
      <x:c r="I67" s="49"/>
      <x:c r="J67" s="49"/>
      <x:c r="K67" s="49"/>
      <x:c r="L67" s="49"/>
      <x:c r="M67" s="49"/>
      <x:c r="N67" s="49"/>
      <x:c r="O67" s="49"/>
      <x:c r="P67" s="49"/>
      <x:c r="Q67" s="49"/>
      <x:c r="R67" s="49"/>
      <x:c r="S67" s="49"/>
      <x:c r="T67" s="49"/>
      <x:c r="U67" s="49"/>
      <x:c r="V67" s="49"/>
      <x:c r="W67" s="49"/>
      <x:c r="X67" s="49"/>
      <x:c r="Y67" s="49"/>
      <x:c r="Z67" s="49"/>
      <x:c r="AA67" s="49"/>
      <x:c r="AB67" s="49"/>
      <x:c r="AC67" s="49"/>
      <x:c r="AD67" s="49"/>
      <x:c r="AE67" s="49"/>
      <x:c r="AF67" s="49"/>
      <x:c r="AG67" s="49"/>
      <x:c r="AH67" s="49"/>
      <x:c r="AI67" s="49"/>
      <x:c r="AJ67" s="49"/>
      <x:c r="AK67" s="49"/>
      <x:c r="AL67" s="49"/>
      <x:c r="AM67" s="49"/>
      <x:c r="AN67" s="49"/>
      <x:c r="AO67" s="49"/>
      <x:c r="AP67" s="49"/>
      <x:c r="AQ67" s="49"/>
      <x:c r="AR67" s="49"/>
      <x:c r="AS67" s="49"/>
      <x:c r="AT67" s="49"/>
      <x:c r="AU67" s="49"/>
      <x:c r="AV67" s="49"/>
      <x:c r="AW67" s="49"/>
      <x:c r="AX67" s="49"/>
      <x:c r="AY67" s="49"/>
      <x:c r="AZ67" s="49"/>
    </x:row>
    <x:row r="68">
      <x:c r="A68" s="49"/>
      <x:c r="B68" s="49"/>
      <x:c r="C68" s="49"/>
      <x:c r="D68" s="49"/>
      <x:c r="E68" s="49"/>
      <x:c r="F68" s="49"/>
      <x:c r="G68" s="49"/>
      <x:c r="H68" s="49"/>
      <x:c r="I68" s="49"/>
      <x:c r="J68" s="49"/>
      <x:c r="K68" s="49"/>
      <x:c r="L68" s="49"/>
      <x:c r="M68" s="49"/>
      <x:c r="N68" s="49"/>
      <x:c r="O68" s="49"/>
      <x:c r="P68" s="49"/>
      <x:c r="Q68" s="49"/>
      <x:c r="R68" s="49"/>
      <x:c r="S68" s="49"/>
      <x:c r="T68" s="49"/>
      <x:c r="U68" s="49"/>
      <x:c r="V68" s="49"/>
      <x:c r="W68" s="49"/>
      <x:c r="X68" s="49"/>
      <x:c r="Y68" s="49"/>
      <x:c r="Z68" s="49"/>
      <x:c r="AA68" s="49"/>
      <x:c r="AB68" s="49"/>
      <x:c r="AC68" s="49"/>
      <x:c r="AD68" s="49"/>
      <x:c r="AE68" s="49"/>
      <x:c r="AF68" s="49"/>
      <x:c r="AG68" s="49"/>
      <x:c r="AH68" s="49"/>
      <x:c r="AI68" s="49"/>
      <x:c r="AJ68" s="49"/>
      <x:c r="AK68" s="49"/>
      <x:c r="AL68" s="49"/>
      <x:c r="AM68" s="49"/>
      <x:c r="AN68" s="49"/>
      <x:c r="AO68" s="49"/>
      <x:c r="AP68" s="49"/>
      <x:c r="AQ68" s="49"/>
      <x:c r="AR68" s="49"/>
      <x:c r="AS68" s="49"/>
      <x:c r="AT68" s="49"/>
      <x:c r="AU68" s="49"/>
      <x:c r="AV68" s="49"/>
      <x:c r="AW68" s="49"/>
      <x:c r="AX68" s="49"/>
      <x:c r="AY68" s="49"/>
      <x:c r="AZ68" s="49"/>
    </x:row>
    <x:row r="69">
      <x:c r="A69" s="49"/>
      <x:c r="B69" s="49"/>
      <x:c r="C69" s="49"/>
      <x:c r="D69" s="49"/>
      <x:c r="E69" s="49"/>
      <x:c r="F69" s="49"/>
      <x:c r="G69" s="49"/>
      <x:c r="H69" s="49"/>
      <x:c r="I69" s="49"/>
      <x:c r="J69" s="49"/>
      <x:c r="K69" s="49"/>
      <x:c r="L69" s="49"/>
      <x:c r="M69" s="49"/>
      <x:c r="N69" s="49"/>
      <x:c r="O69" s="49"/>
      <x:c r="P69" s="49"/>
      <x:c r="Q69" s="49"/>
      <x:c r="R69" s="49"/>
      <x:c r="S69" s="49"/>
      <x:c r="T69" s="49"/>
      <x:c r="U69" s="49"/>
      <x:c r="V69" s="49"/>
      <x:c r="W69" s="49"/>
      <x:c r="X69" s="49"/>
      <x:c r="Y69" s="49"/>
      <x:c r="Z69" s="49"/>
      <x:c r="AA69" s="49"/>
      <x:c r="AB69" s="49"/>
      <x:c r="AC69" s="49"/>
      <x:c r="AD69" s="49"/>
      <x:c r="AE69" s="49"/>
      <x:c r="AF69" s="49"/>
      <x:c r="AG69" s="49"/>
      <x:c r="AH69" s="49"/>
      <x:c r="AI69" s="49"/>
      <x:c r="AJ69" s="49"/>
      <x:c r="AK69" s="49"/>
      <x:c r="AL69" s="49"/>
      <x:c r="AM69" s="49"/>
      <x:c r="AN69" s="49"/>
      <x:c r="AO69" s="49"/>
      <x:c r="AP69" s="49"/>
      <x:c r="AQ69" s="49"/>
      <x:c r="AR69" s="49"/>
      <x:c r="AS69" s="49"/>
      <x:c r="AT69" s="49"/>
      <x:c r="AU69" s="49"/>
      <x:c r="AV69" s="49"/>
      <x:c r="AW69" s="49"/>
      <x:c r="AX69" s="49"/>
      <x:c r="AY69" s="49"/>
      <x:c r="AZ69" s="49"/>
    </x:row>
    <x:row r="70">
      <x:c r="A70" s="49"/>
      <x:c r="B70" s="49"/>
      <x:c r="C70" s="49"/>
      <x:c r="D70" s="49"/>
      <x:c r="E70" s="49"/>
      <x:c r="F70" s="49"/>
      <x:c r="G70" s="49"/>
      <x:c r="H70" s="49"/>
      <x:c r="I70" s="49"/>
      <x:c r="J70" s="49"/>
      <x:c r="K70" s="49"/>
      <x:c r="L70" s="49"/>
      <x:c r="M70" s="49"/>
      <x:c r="N70" s="49"/>
      <x:c r="O70" s="49"/>
      <x:c r="P70" s="49"/>
      <x:c r="Q70" s="49"/>
      <x:c r="R70" s="49"/>
      <x:c r="S70" s="49"/>
      <x:c r="T70" s="49"/>
      <x:c r="U70" s="49"/>
      <x:c r="V70" s="49"/>
      <x:c r="W70" s="49"/>
      <x:c r="X70" s="49"/>
      <x:c r="Y70" s="49"/>
      <x:c r="Z70" s="49"/>
      <x:c r="AA70" s="49"/>
      <x:c r="AB70" s="49"/>
      <x:c r="AC70" s="49"/>
      <x:c r="AD70" s="49"/>
      <x:c r="AE70" s="49"/>
      <x:c r="AF70" s="49"/>
      <x:c r="AG70" s="49"/>
      <x:c r="AH70" s="49"/>
      <x:c r="AI70" s="49"/>
      <x:c r="AJ70" s="49"/>
      <x:c r="AK70" s="49"/>
      <x:c r="AL70" s="49"/>
      <x:c r="AM70" s="49"/>
      <x:c r="AN70" s="49"/>
      <x:c r="AO70" s="49"/>
      <x:c r="AP70" s="49"/>
      <x:c r="AQ70" s="49"/>
      <x:c r="AR70" s="49"/>
      <x:c r="AS70" s="49"/>
      <x:c r="AT70" s="49"/>
      <x:c r="AU70" s="49"/>
      <x:c r="AV70" s="49"/>
      <x:c r="AW70" s="49"/>
      <x:c r="AX70" s="49"/>
      <x:c r="AY70" s="49"/>
      <x:c r="AZ70" s="49"/>
    </x:row>
    <x:row r="71">
      <x:c r="A71" s="49"/>
      <x:c r="B71" s="49"/>
      <x:c r="C71" s="49"/>
      <x:c r="D71" s="49"/>
      <x:c r="E71" s="49"/>
      <x:c r="F71" s="49"/>
      <x:c r="G71" s="49"/>
      <x:c r="H71" s="49"/>
      <x:c r="I71" s="49"/>
      <x:c r="J71" s="49"/>
      <x:c r="K71" s="49"/>
      <x:c r="L71" s="49"/>
      <x:c r="M71" s="49"/>
      <x:c r="N71" s="49"/>
      <x:c r="O71" s="49"/>
      <x:c r="P71" s="49"/>
      <x:c r="Q71" s="49"/>
      <x:c r="R71" s="49"/>
      <x:c r="S71" s="49"/>
      <x:c r="T71" s="49"/>
      <x:c r="U71" s="49"/>
      <x:c r="V71" s="49"/>
      <x:c r="W71" s="49"/>
      <x:c r="X71" s="49"/>
      <x:c r="Y71" s="49"/>
      <x:c r="Z71" s="49"/>
      <x:c r="AA71" s="49"/>
      <x:c r="AB71" s="49"/>
      <x:c r="AC71" s="49"/>
      <x:c r="AD71" s="49"/>
      <x:c r="AE71" s="49"/>
      <x:c r="AF71" s="49"/>
      <x:c r="AG71" s="49"/>
      <x:c r="AH71" s="49"/>
      <x:c r="AI71" s="49"/>
      <x:c r="AJ71" s="49"/>
      <x:c r="AK71" s="49"/>
      <x:c r="AL71" s="49"/>
      <x:c r="AM71" s="49"/>
      <x:c r="AN71" s="49"/>
      <x:c r="AO71" s="49"/>
      <x:c r="AP71" s="49"/>
      <x:c r="AQ71" s="49"/>
      <x:c r="AR71" s="49"/>
      <x:c r="AS71" s="49"/>
      <x:c r="AT71" s="49"/>
      <x:c r="AU71" s="49"/>
      <x:c r="AV71" s="49"/>
      <x:c r="AW71" s="49"/>
      <x:c r="AX71" s="49"/>
      <x:c r="AY71" s="49"/>
      <x:c r="AZ71" s="49"/>
    </x:row>
    <x:row r="72">
      <x:c r="A72" s="49"/>
      <x:c r="B72" s="49"/>
      <x:c r="C72" s="49"/>
      <x:c r="D72" s="49"/>
      <x:c r="E72" s="49"/>
      <x:c r="F72" s="49"/>
      <x:c r="G72" s="49"/>
      <x:c r="H72" s="49"/>
      <x:c r="I72" s="49"/>
      <x:c r="J72" s="49"/>
      <x:c r="K72" s="49"/>
      <x:c r="L72" s="49"/>
      <x:c r="M72" s="49"/>
      <x:c r="N72" s="49"/>
      <x:c r="O72" s="49"/>
      <x:c r="P72" s="49"/>
      <x:c r="Q72" s="49"/>
      <x:c r="R72" s="49"/>
      <x:c r="S72" s="49"/>
      <x:c r="T72" s="49"/>
      <x:c r="U72" s="49"/>
      <x:c r="V72" s="49"/>
      <x:c r="W72" s="49"/>
      <x:c r="X72" s="49"/>
      <x:c r="Y72" s="49"/>
      <x:c r="Z72" s="49"/>
      <x:c r="AA72" s="49"/>
      <x:c r="AB72" s="49"/>
      <x:c r="AC72" s="49"/>
      <x:c r="AD72" s="49"/>
      <x:c r="AE72" s="49"/>
      <x:c r="AF72" s="49"/>
      <x:c r="AG72" s="49"/>
      <x:c r="AH72" s="49"/>
      <x:c r="AI72" s="49"/>
      <x:c r="AJ72" s="49"/>
      <x:c r="AK72" s="49"/>
      <x:c r="AL72" s="49"/>
      <x:c r="AM72" s="49"/>
      <x:c r="AN72" s="49"/>
      <x:c r="AO72" s="49"/>
      <x:c r="AP72" s="49"/>
      <x:c r="AQ72" s="49"/>
      <x:c r="AR72" s="49"/>
      <x:c r="AS72" s="49"/>
      <x:c r="AT72" s="49"/>
      <x:c r="AU72" s="49"/>
      <x:c r="AV72" s="49"/>
      <x:c r="AW72" s="49"/>
      <x:c r="AX72" s="49"/>
      <x:c r="AY72" s="49"/>
      <x:c r="AZ72" s="49"/>
    </x:row>
    <x:row r="73">
      <x:c r="A73" s="49"/>
      <x:c r="B73" s="49"/>
      <x:c r="C73" s="49"/>
      <x:c r="D73" s="49"/>
      <x:c r="E73" s="49"/>
      <x:c r="F73" s="49"/>
      <x:c r="G73" s="49"/>
      <x:c r="H73" s="49"/>
      <x:c r="I73" s="49"/>
      <x:c r="J73" s="49"/>
      <x:c r="K73" s="49"/>
      <x:c r="L73" s="49"/>
      <x:c r="M73" s="49"/>
      <x:c r="N73" s="49"/>
      <x:c r="O73" s="49"/>
      <x:c r="P73" s="49"/>
      <x:c r="Q73" s="49"/>
      <x:c r="R73" s="49"/>
      <x:c r="S73" s="49"/>
      <x:c r="T73" s="49"/>
      <x:c r="U73" s="49"/>
      <x:c r="V73" s="49"/>
      <x:c r="W73" s="49"/>
      <x:c r="X73" s="49"/>
      <x:c r="Y73" s="49"/>
      <x:c r="Z73" s="49"/>
      <x:c r="AA73" s="49"/>
      <x:c r="AB73" s="49"/>
      <x:c r="AC73" s="49"/>
      <x:c r="AD73" s="49"/>
      <x:c r="AE73" s="49"/>
      <x:c r="AF73" s="49"/>
      <x:c r="AG73" s="49"/>
      <x:c r="AH73" s="49"/>
      <x:c r="AI73" s="49"/>
      <x:c r="AJ73" s="49"/>
      <x:c r="AK73" s="49"/>
      <x:c r="AL73" s="49"/>
      <x:c r="AM73" s="49"/>
      <x:c r="AN73" s="49"/>
      <x:c r="AO73" s="49"/>
      <x:c r="AP73" s="49"/>
      <x:c r="AQ73" s="49"/>
      <x:c r="AR73" s="49"/>
      <x:c r="AS73" s="49"/>
      <x:c r="AT73" s="49"/>
      <x:c r="AU73" s="49"/>
      <x:c r="AV73" s="49"/>
      <x:c r="AW73" s="49"/>
      <x:c r="AX73" s="49"/>
      <x:c r="AY73" s="49"/>
      <x:c r="AZ73" s="49"/>
    </x:row>
    <x:row r="74">
      <x:c r="A74" s="49"/>
      <x:c r="B74" s="49"/>
      <x:c r="C74" s="49"/>
      <x:c r="D74" s="49"/>
      <x:c r="E74" s="49"/>
      <x:c r="F74" s="49"/>
      <x:c r="G74" s="49"/>
      <x:c r="H74" s="49"/>
      <x:c r="I74" s="49"/>
      <x:c r="J74" s="49"/>
      <x:c r="K74" s="49"/>
      <x:c r="L74" s="49"/>
      <x:c r="M74" s="49"/>
      <x:c r="N74" s="49"/>
      <x:c r="O74" s="49"/>
      <x:c r="P74" s="49"/>
      <x:c r="Q74" s="49"/>
      <x:c r="R74" s="49"/>
      <x:c r="S74" s="49"/>
      <x:c r="T74" s="49"/>
      <x:c r="U74" s="49"/>
      <x:c r="V74" s="49"/>
      <x:c r="W74" s="49"/>
      <x:c r="X74" s="49"/>
      <x:c r="Y74" s="49"/>
      <x:c r="Z74" s="49"/>
      <x:c r="AA74" s="49"/>
      <x:c r="AB74" s="49"/>
      <x:c r="AC74" s="49"/>
      <x:c r="AD74" s="49"/>
      <x:c r="AE74" s="49"/>
      <x:c r="AF74" s="49"/>
      <x:c r="AG74" s="49"/>
      <x:c r="AH74" s="49"/>
      <x:c r="AI74" s="49"/>
      <x:c r="AJ74" s="49"/>
      <x:c r="AK74" s="49"/>
      <x:c r="AL74" s="49"/>
      <x:c r="AM74" s="49"/>
      <x:c r="AN74" s="49"/>
      <x:c r="AO74" s="49"/>
      <x:c r="AP74" s="49"/>
      <x:c r="AQ74" s="49"/>
      <x:c r="AR74" s="49"/>
      <x:c r="AS74" s="49"/>
      <x:c r="AT74" s="49"/>
      <x:c r="AU74" s="49"/>
      <x:c r="AV74" s="49"/>
      <x:c r="AW74" s="49"/>
      <x:c r="AX74" s="49"/>
      <x:c r="AY74" s="49"/>
      <x:c r="AZ74" s="49"/>
    </x:row>
    <x:row r="75">
      <x:c r="A75" s="49"/>
      <x:c r="B75" s="49"/>
      <x:c r="C75" s="49"/>
      <x:c r="D75" s="49"/>
      <x:c r="E75" s="49"/>
      <x:c r="F75" s="49"/>
      <x:c r="G75" s="49"/>
      <x:c r="H75" s="49"/>
      <x:c r="I75" s="49"/>
      <x:c r="J75" s="49"/>
      <x:c r="K75" s="49"/>
      <x:c r="L75" s="49"/>
      <x:c r="M75" s="49"/>
      <x:c r="N75" s="49"/>
      <x:c r="O75" s="49"/>
      <x:c r="P75" s="49"/>
      <x:c r="Q75" s="49"/>
      <x:c r="R75" s="49"/>
      <x:c r="S75" s="49"/>
      <x:c r="T75" s="49"/>
      <x:c r="U75" s="49"/>
      <x:c r="V75" s="49"/>
      <x:c r="W75" s="49"/>
      <x:c r="X75" s="49"/>
      <x:c r="Y75" s="49"/>
      <x:c r="Z75" s="49"/>
      <x:c r="AA75" s="49"/>
      <x:c r="AB75" s="49"/>
      <x:c r="AC75" s="49"/>
      <x:c r="AD75" s="49"/>
      <x:c r="AE75" s="49"/>
      <x:c r="AF75" s="49"/>
      <x:c r="AG75" s="49"/>
      <x:c r="AH75" s="49"/>
      <x:c r="AI75" s="49"/>
      <x:c r="AJ75" s="49"/>
      <x:c r="AK75" s="49"/>
      <x:c r="AL75" s="49"/>
      <x:c r="AM75" s="49"/>
      <x:c r="AN75" s="49"/>
      <x:c r="AO75" s="49"/>
      <x:c r="AP75" s="49"/>
      <x:c r="AQ75" s="49"/>
      <x:c r="AR75" s="49"/>
      <x:c r="AS75" s="49"/>
      <x:c r="AT75" s="49"/>
      <x:c r="AU75" s="49"/>
      <x:c r="AV75" s="49"/>
      <x:c r="AW75" s="49"/>
      <x:c r="AX75" s="49"/>
      <x:c r="AY75" s="49"/>
      <x:c r="AZ75" s="49"/>
    </x:row>
    <x:row r="76">
      <x:c r="A76" s="49"/>
      <x:c r="B76" s="49"/>
      <x:c r="C76" s="49"/>
      <x:c r="D76" s="49"/>
      <x:c r="E76" s="49"/>
      <x:c r="F76" s="49"/>
      <x:c r="G76" s="49"/>
      <x:c r="H76" s="49"/>
      <x:c r="I76" s="49"/>
      <x:c r="J76" s="49"/>
      <x:c r="K76" s="49"/>
      <x:c r="L76" s="49"/>
      <x:c r="M76" s="49"/>
      <x:c r="N76" s="49"/>
      <x:c r="O76" s="49"/>
      <x:c r="P76" s="49"/>
      <x:c r="Q76" s="49"/>
      <x:c r="R76" s="49"/>
      <x:c r="S76" s="49"/>
      <x:c r="T76" s="49"/>
      <x:c r="U76" s="49"/>
      <x:c r="V76" s="49"/>
      <x:c r="W76" s="49"/>
      <x:c r="X76" s="49"/>
      <x:c r="Y76" s="49"/>
      <x:c r="Z76" s="49"/>
      <x:c r="AA76" s="49"/>
      <x:c r="AB76" s="49"/>
      <x:c r="AC76" s="49"/>
      <x:c r="AD76" s="49"/>
      <x:c r="AE76" s="49"/>
      <x:c r="AF76" s="49"/>
      <x:c r="AG76" s="49"/>
      <x:c r="AH76" s="49"/>
      <x:c r="AI76" s="49"/>
      <x:c r="AJ76" s="49"/>
      <x:c r="AK76" s="49"/>
      <x:c r="AL76" s="49"/>
      <x:c r="AM76" s="49"/>
      <x:c r="AN76" s="49"/>
      <x:c r="AO76" s="49"/>
      <x:c r="AP76" s="49"/>
      <x:c r="AQ76" s="49"/>
      <x:c r="AR76" s="49"/>
      <x:c r="AS76" s="49"/>
      <x:c r="AT76" s="49"/>
      <x:c r="AU76" s="49"/>
      <x:c r="AV76" s="49"/>
      <x:c r="AW76" s="49"/>
      <x:c r="AX76" s="49"/>
      <x:c r="AY76" s="49"/>
      <x:c r="AZ76" s="49"/>
    </x:row>
    <x:row r="77">
      <x:c r="A77" s="49"/>
      <x:c r="B77" s="49"/>
      <x:c r="C77" s="49"/>
      <x:c r="D77" s="49"/>
      <x:c r="E77" s="49"/>
      <x:c r="F77" s="49"/>
      <x:c r="G77" s="49"/>
      <x:c r="H77" s="49"/>
      <x:c r="I77" s="49"/>
      <x:c r="J77" s="49"/>
      <x:c r="K77" s="49"/>
      <x:c r="L77" s="49"/>
      <x:c r="M77" s="49"/>
      <x:c r="N77" s="49"/>
      <x:c r="O77" s="49"/>
      <x:c r="P77" s="49"/>
      <x:c r="Q77" s="49"/>
      <x:c r="R77" s="49"/>
      <x:c r="S77" s="49"/>
      <x:c r="T77" s="49"/>
      <x:c r="U77" s="49"/>
      <x:c r="V77" s="49"/>
      <x:c r="W77" s="49"/>
      <x:c r="X77" s="49"/>
      <x:c r="Y77" s="49"/>
      <x:c r="Z77" s="49"/>
      <x:c r="AA77" s="49"/>
      <x:c r="AB77" s="49"/>
      <x:c r="AC77" s="49"/>
      <x:c r="AD77" s="49"/>
      <x:c r="AE77" s="49"/>
      <x:c r="AF77" s="49"/>
      <x:c r="AG77" s="49"/>
      <x:c r="AH77" s="49"/>
      <x:c r="AI77" s="49"/>
      <x:c r="AJ77" s="49"/>
      <x:c r="AK77" s="49"/>
      <x:c r="AL77" s="49"/>
      <x:c r="AM77" s="49"/>
      <x:c r="AN77" s="49"/>
      <x:c r="AO77" s="49"/>
      <x:c r="AP77" s="49"/>
      <x:c r="AQ77" s="49"/>
      <x:c r="AR77" s="49"/>
      <x:c r="AS77" s="49"/>
      <x:c r="AT77" s="49"/>
      <x:c r="AU77" s="49"/>
      <x:c r="AV77" s="49"/>
      <x:c r="AW77" s="49"/>
      <x:c r="AX77" s="49"/>
      <x:c r="AY77" s="49"/>
      <x:c r="AZ77" s="49"/>
    </x:row>
    <x:row r="78">
      <x:c r="A78" s="49"/>
      <x:c r="B78" s="49"/>
      <x:c r="C78" s="49"/>
      <x:c r="D78" s="49"/>
      <x:c r="E78" s="49"/>
      <x:c r="F78" s="49"/>
      <x:c r="G78" s="49"/>
      <x:c r="H78" s="49"/>
      <x:c r="I78" s="49"/>
      <x:c r="J78" s="49"/>
      <x:c r="K78" s="49"/>
      <x:c r="L78" s="49"/>
      <x:c r="M78" s="49"/>
      <x:c r="N78" s="49"/>
      <x:c r="O78" s="49"/>
      <x:c r="P78" s="49"/>
      <x:c r="Q78" s="49"/>
      <x:c r="R78" s="49"/>
      <x:c r="S78" s="49"/>
      <x:c r="T78" s="49"/>
      <x:c r="U78" s="49"/>
      <x:c r="V78" s="49"/>
      <x:c r="W78" s="49"/>
      <x:c r="X78" s="49"/>
      <x:c r="Y78" s="49"/>
      <x:c r="Z78" s="49"/>
      <x:c r="AA78" s="49"/>
      <x:c r="AB78" s="49"/>
      <x:c r="AC78" s="49"/>
      <x:c r="AD78" s="49"/>
      <x:c r="AE78" s="49"/>
      <x:c r="AF78" s="49"/>
      <x:c r="AG78" s="49"/>
      <x:c r="AH78" s="49"/>
      <x:c r="AI78" s="49"/>
      <x:c r="AJ78" s="49"/>
      <x:c r="AK78" s="49"/>
      <x:c r="AL78" s="49"/>
      <x:c r="AM78" s="49"/>
      <x:c r="AN78" s="49"/>
      <x:c r="AO78" s="49"/>
      <x:c r="AP78" s="49"/>
      <x:c r="AQ78" s="49"/>
      <x:c r="AR78" s="49"/>
      <x:c r="AS78" s="49"/>
      <x:c r="AT78" s="49"/>
      <x:c r="AU78" s="49"/>
      <x:c r="AV78" s="49"/>
      <x:c r="AW78" s="49"/>
      <x:c r="AX78" s="49"/>
      <x:c r="AY78" s="49"/>
      <x:c r="AZ78" s="49"/>
    </x:row>
    <x:row r="79">
      <x:c r="A79" s="49"/>
      <x:c r="B79" s="49"/>
      <x:c r="C79" s="49"/>
      <x:c r="D79" s="49"/>
      <x:c r="E79" s="49"/>
      <x:c r="F79" s="49"/>
      <x:c r="G79" s="49"/>
      <x:c r="H79" s="49"/>
      <x:c r="I79" s="49"/>
      <x:c r="J79" s="49"/>
      <x:c r="K79" s="49"/>
      <x:c r="L79" s="49"/>
      <x:c r="M79" s="49"/>
      <x:c r="N79" s="49"/>
      <x:c r="O79" s="49"/>
      <x:c r="P79" s="49"/>
      <x:c r="Q79" s="49"/>
      <x:c r="R79" s="49"/>
      <x:c r="S79" s="49"/>
      <x:c r="T79" s="49"/>
      <x:c r="U79" s="49"/>
      <x:c r="V79" s="49"/>
      <x:c r="W79" s="49"/>
      <x:c r="X79" s="49"/>
      <x:c r="Y79" s="49"/>
      <x:c r="Z79" s="49"/>
      <x:c r="AA79" s="49"/>
      <x:c r="AB79" s="49"/>
      <x:c r="AC79" s="49"/>
      <x:c r="AD79" s="49"/>
      <x:c r="AE79" s="49"/>
      <x:c r="AF79" s="49"/>
      <x:c r="AG79" s="49"/>
      <x:c r="AH79" s="49"/>
      <x:c r="AI79" s="49"/>
      <x:c r="AJ79" s="49"/>
      <x:c r="AK79" s="49"/>
      <x:c r="AL79" s="49"/>
      <x:c r="AM79" s="49"/>
      <x:c r="AN79" s="49"/>
      <x:c r="AO79" s="49"/>
      <x:c r="AP79" s="49"/>
      <x:c r="AQ79" s="49"/>
      <x:c r="AR79" s="49"/>
      <x:c r="AS79" s="49"/>
      <x:c r="AT79" s="49"/>
      <x:c r="AU79" s="49"/>
      <x:c r="AV79" s="49"/>
      <x:c r="AW79" s="49"/>
      <x:c r="AX79" s="49"/>
      <x:c r="AY79" s="49"/>
      <x:c r="AZ79" s="49"/>
    </x:row>
    <x:row r="80">
      <x:c r="A80" s="49"/>
      <x:c r="B80" s="49"/>
      <x:c r="C80" s="49"/>
      <x:c r="D80" s="49"/>
      <x:c r="E80" s="49"/>
      <x:c r="F80" s="49"/>
      <x:c r="G80" s="49"/>
      <x:c r="H80" s="49"/>
      <x:c r="I80" s="49"/>
      <x:c r="J80" s="49"/>
      <x:c r="K80" s="49"/>
      <x:c r="L80" s="49"/>
      <x:c r="M80" s="49"/>
      <x:c r="N80" s="49"/>
      <x:c r="O80" s="49"/>
      <x:c r="P80" s="49"/>
      <x:c r="Q80" s="49"/>
      <x:c r="R80" s="49"/>
      <x:c r="S80" s="49"/>
      <x:c r="T80" s="49"/>
      <x:c r="U80" s="49"/>
      <x:c r="V80" s="49"/>
      <x:c r="W80" s="49"/>
      <x:c r="X80" s="49"/>
      <x:c r="Y80" s="49"/>
      <x:c r="Z80" s="49"/>
      <x:c r="AA80" s="49"/>
      <x:c r="AB80" s="49"/>
      <x:c r="AC80" s="49"/>
      <x:c r="AD80" s="49"/>
      <x:c r="AE80" s="49"/>
      <x:c r="AF80" s="49"/>
      <x:c r="AG80" s="49"/>
      <x:c r="AH80" s="49"/>
      <x:c r="AI80" s="49"/>
      <x:c r="AJ80" s="49"/>
      <x:c r="AK80" s="49"/>
      <x:c r="AL80" s="49"/>
      <x:c r="AM80" s="49"/>
      <x:c r="AN80" s="49"/>
      <x:c r="AO80" s="49"/>
      <x:c r="AP80" s="49"/>
      <x:c r="AQ80" s="49"/>
      <x:c r="AR80" s="49"/>
      <x:c r="AS80" s="49"/>
      <x:c r="AT80" s="49"/>
      <x:c r="AU80" s="49"/>
      <x:c r="AV80" s="49"/>
      <x:c r="AW80" s="49"/>
      <x:c r="AX80" s="49"/>
      <x:c r="AY80" s="49"/>
      <x:c r="AZ80" s="49"/>
    </x:row>
    <x:row r="81">
      <x:c r="A81" s="49"/>
      <x:c r="B81" s="49"/>
      <x:c r="C81" s="49"/>
      <x:c r="D81" s="49"/>
      <x:c r="E81" s="49"/>
      <x:c r="F81" s="49"/>
      <x:c r="G81" s="49"/>
      <x:c r="H81" s="49"/>
      <x:c r="I81" s="49"/>
      <x:c r="J81" s="49"/>
      <x:c r="K81" s="49"/>
      <x:c r="L81" s="49"/>
      <x:c r="M81" s="49"/>
      <x:c r="N81" s="49"/>
      <x:c r="O81" s="49"/>
      <x:c r="P81" s="49"/>
      <x:c r="Q81" s="49"/>
      <x:c r="R81" s="49"/>
      <x:c r="S81" s="49"/>
      <x:c r="T81" s="49"/>
      <x:c r="U81" s="49"/>
      <x:c r="V81" s="49"/>
      <x:c r="W81" s="49"/>
      <x:c r="X81" s="49"/>
      <x:c r="Y81" s="49"/>
      <x:c r="Z81" s="49"/>
      <x:c r="AA81" s="49"/>
      <x:c r="AB81" s="49"/>
      <x:c r="AC81" s="49"/>
      <x:c r="AD81" s="49"/>
      <x:c r="AE81" s="49"/>
      <x:c r="AF81" s="49"/>
      <x:c r="AG81" s="49"/>
      <x:c r="AH81" s="49"/>
      <x:c r="AI81" s="49"/>
      <x:c r="AJ81" s="49"/>
      <x:c r="AK81" s="49"/>
      <x:c r="AL81" s="49"/>
      <x:c r="AM81" s="49"/>
      <x:c r="AN81" s="49"/>
      <x:c r="AO81" s="49"/>
      <x:c r="AP81" s="49"/>
      <x:c r="AQ81" s="49"/>
      <x:c r="AR81" s="49"/>
      <x:c r="AS81" s="49"/>
      <x:c r="AT81" s="49"/>
      <x:c r="AU81" s="49"/>
      <x:c r="AV81" s="49"/>
      <x:c r="AW81" s="49"/>
      <x:c r="AX81" s="49"/>
      <x:c r="AY81" s="49"/>
      <x:c r="AZ81" s="49"/>
    </x:row>
    <x:row r="82">
      <x:c r="A82" s="49"/>
      <x:c r="B82" s="49"/>
      <x:c r="C82" s="49"/>
      <x:c r="D82" s="49"/>
      <x:c r="E82" s="49"/>
      <x:c r="F82" s="49"/>
      <x:c r="G82" s="49"/>
      <x:c r="H82" s="49"/>
      <x:c r="I82" s="49"/>
      <x:c r="J82" s="49"/>
      <x:c r="K82" s="49"/>
      <x:c r="L82" s="49"/>
      <x:c r="M82" s="49"/>
      <x:c r="N82" s="49"/>
      <x:c r="O82" s="49"/>
      <x:c r="P82" s="49"/>
      <x:c r="Q82" s="49"/>
      <x:c r="R82" s="49"/>
      <x:c r="S82" s="49"/>
      <x:c r="T82" s="49"/>
      <x:c r="U82" s="49"/>
      <x:c r="V82" s="49"/>
      <x:c r="W82" s="49"/>
      <x:c r="X82" s="49"/>
      <x:c r="Y82" s="49"/>
      <x:c r="Z82" s="49"/>
      <x:c r="AA82" s="49"/>
      <x:c r="AB82" s="49"/>
      <x:c r="AC82" s="49"/>
      <x:c r="AD82" s="49"/>
      <x:c r="AE82" s="49"/>
      <x:c r="AF82" s="49"/>
      <x:c r="AG82" s="49"/>
      <x:c r="AH82" s="49"/>
      <x:c r="AI82" s="49"/>
      <x:c r="AJ82" s="49"/>
      <x:c r="AK82" s="49"/>
      <x:c r="AL82" s="49"/>
      <x:c r="AM82" s="49"/>
      <x:c r="AN82" s="49"/>
      <x:c r="AO82" s="49"/>
      <x:c r="AP82" s="49"/>
      <x:c r="AQ82" s="49"/>
      <x:c r="AR82" s="49"/>
      <x:c r="AS82" s="49"/>
      <x:c r="AT82" s="49"/>
      <x:c r="AU82" s="49"/>
      <x:c r="AV82" s="49"/>
      <x:c r="AW82" s="49"/>
      <x:c r="AX82" s="49"/>
      <x:c r="AY82" s="49"/>
      <x:c r="AZ82" s="49"/>
    </x:row>
    <x:row r="83">
      <x:c r="A83" s="49"/>
      <x:c r="B83" s="49"/>
      <x:c r="C83" s="49"/>
      <x:c r="D83" s="49"/>
      <x:c r="E83" s="49"/>
      <x:c r="F83" s="49"/>
      <x:c r="G83" s="49"/>
      <x:c r="H83" s="49"/>
      <x:c r="I83" s="49"/>
      <x:c r="J83" s="49"/>
      <x:c r="K83" s="49"/>
      <x:c r="L83" s="49"/>
      <x:c r="M83" s="49"/>
      <x:c r="N83" s="49"/>
      <x:c r="O83" s="49"/>
      <x:c r="P83" s="49"/>
      <x:c r="Q83" s="49"/>
      <x:c r="R83" s="49"/>
      <x:c r="S83" s="49"/>
      <x:c r="T83" s="49"/>
      <x:c r="U83" s="49"/>
      <x:c r="V83" s="49"/>
      <x:c r="W83" s="49"/>
      <x:c r="X83" s="49"/>
      <x:c r="Y83" s="49"/>
      <x:c r="Z83" s="49"/>
      <x:c r="AA83" s="49"/>
      <x:c r="AB83" s="49"/>
      <x:c r="AC83" s="49"/>
      <x:c r="AD83" s="49"/>
      <x:c r="AE83" s="49"/>
      <x:c r="AF83" s="49"/>
      <x:c r="AG83" s="49"/>
      <x:c r="AH83" s="49"/>
      <x:c r="AI83" s="49"/>
      <x:c r="AJ83" s="49"/>
      <x:c r="AK83" s="49"/>
      <x:c r="AL83" s="49"/>
      <x:c r="AM83" s="49"/>
      <x:c r="AN83" s="49"/>
      <x:c r="AO83" s="49"/>
      <x:c r="AP83" s="49"/>
      <x:c r="AQ83" s="49"/>
      <x:c r="AR83" s="49"/>
      <x:c r="AS83" s="49"/>
      <x:c r="AT83" s="49"/>
      <x:c r="AU83" s="49"/>
      <x:c r="AV83" s="49"/>
      <x:c r="AW83" s="49"/>
      <x:c r="AX83" s="49"/>
      <x:c r="AY83" s="49"/>
      <x:c r="AZ83" s="49"/>
    </x:row>
    <x:row r="84">
      <x:c r="A84" s="49"/>
      <x:c r="B84" s="49"/>
      <x:c r="C84" s="49"/>
      <x:c r="D84" s="49"/>
      <x:c r="E84" s="49"/>
      <x:c r="F84" s="49"/>
      <x:c r="G84" s="49"/>
      <x:c r="H84" s="49"/>
      <x:c r="I84" s="49"/>
      <x:c r="J84" s="49"/>
      <x:c r="K84" s="49"/>
      <x:c r="L84" s="49"/>
      <x:c r="M84" s="49"/>
      <x:c r="N84" s="49"/>
      <x:c r="O84" s="49"/>
      <x:c r="P84" s="49"/>
      <x:c r="Q84" s="49"/>
      <x:c r="R84" s="49"/>
      <x:c r="S84" s="49"/>
      <x:c r="T84" s="49"/>
      <x:c r="U84" s="49"/>
      <x:c r="V84" s="49"/>
      <x:c r="W84" s="49"/>
      <x:c r="X84" s="49"/>
      <x:c r="Y84" s="49"/>
      <x:c r="Z84" s="49"/>
      <x:c r="AA84" s="49"/>
      <x:c r="AB84" s="49"/>
      <x:c r="AC84" s="49"/>
      <x:c r="AD84" s="49"/>
      <x:c r="AE84" s="49"/>
      <x:c r="AF84" s="49"/>
      <x:c r="AG84" s="49"/>
      <x:c r="AH84" s="49"/>
      <x:c r="AI84" s="49"/>
      <x:c r="AJ84" s="49"/>
      <x:c r="AK84" s="49"/>
      <x:c r="AL84" s="49"/>
      <x:c r="AM84" s="49"/>
      <x:c r="AN84" s="49"/>
      <x:c r="AO84" s="49"/>
      <x:c r="AP84" s="49"/>
      <x:c r="AQ84" s="49"/>
      <x:c r="AR84" s="49"/>
      <x:c r="AS84" s="49"/>
      <x:c r="AT84" s="49"/>
      <x:c r="AU84" s="49"/>
      <x:c r="AV84" s="49"/>
      <x:c r="AW84" s="49"/>
      <x:c r="AX84" s="49"/>
      <x:c r="AY84" s="49"/>
      <x:c r="AZ84" s="49"/>
    </x:row>
    <x:row r="85">
      <x:c r="A85" s="49"/>
      <x:c r="B85" s="49"/>
      <x:c r="C85" s="49"/>
      <x:c r="D85" s="49"/>
      <x:c r="E85" s="49"/>
      <x:c r="F85" s="49"/>
      <x:c r="G85" s="49"/>
      <x:c r="H85" s="49"/>
      <x:c r="I85" s="49"/>
      <x:c r="J85" s="49"/>
      <x:c r="K85" s="49"/>
      <x:c r="L85" s="49"/>
      <x:c r="M85" s="49"/>
      <x:c r="N85" s="49"/>
      <x:c r="O85" s="49"/>
      <x:c r="P85" s="49"/>
      <x:c r="Q85" s="49"/>
      <x:c r="R85" s="49"/>
      <x:c r="S85" s="49"/>
      <x:c r="T85" s="49"/>
      <x:c r="U85" s="49"/>
      <x:c r="V85" s="49"/>
      <x:c r="W85" s="49"/>
      <x:c r="X85" s="49"/>
      <x:c r="Y85" s="49"/>
      <x:c r="Z85" s="49"/>
      <x:c r="AA85" s="49"/>
      <x:c r="AB85" s="49"/>
      <x:c r="AC85" s="49"/>
      <x:c r="AD85" s="49"/>
      <x:c r="AE85" s="49"/>
      <x:c r="AF85" s="49"/>
      <x:c r="AG85" s="49"/>
      <x:c r="AH85" s="49"/>
      <x:c r="AI85" s="49"/>
      <x:c r="AJ85" s="49"/>
      <x:c r="AK85" s="49"/>
      <x:c r="AL85" s="49"/>
      <x:c r="AM85" s="49"/>
      <x:c r="AN85" s="49"/>
      <x:c r="AO85" s="49"/>
      <x:c r="AP85" s="49"/>
      <x:c r="AQ85" s="49"/>
      <x:c r="AR85" s="49"/>
      <x:c r="AS85" s="49"/>
      <x:c r="AT85" s="49"/>
      <x:c r="AU85" s="49"/>
      <x:c r="AV85" s="49"/>
      <x:c r="AW85" s="49"/>
      <x:c r="AX85" s="49"/>
      <x:c r="AY85" s="49"/>
      <x:c r="AZ85" s="49"/>
    </x:row>
    <x:row r="86">
      <x:c r="A86" s="49"/>
      <x:c r="B86" s="49"/>
      <x:c r="C86" s="49"/>
      <x:c r="D86" s="49"/>
      <x:c r="E86" s="49"/>
      <x:c r="F86" s="49"/>
      <x:c r="G86" s="49"/>
      <x:c r="H86" s="49"/>
      <x:c r="I86" s="49"/>
      <x:c r="J86" s="49"/>
      <x:c r="K86" s="49"/>
      <x:c r="L86" s="49"/>
      <x:c r="M86" s="49"/>
      <x:c r="N86" s="49"/>
      <x:c r="O86" s="49"/>
      <x:c r="P86" s="49"/>
      <x:c r="Q86" s="49"/>
      <x:c r="R86" s="49"/>
      <x:c r="S86" s="49"/>
      <x:c r="T86" s="49"/>
      <x:c r="U86" s="49"/>
      <x:c r="V86" s="49"/>
      <x:c r="W86" s="49"/>
      <x:c r="X86" s="49"/>
      <x:c r="Y86" s="49"/>
      <x:c r="Z86" s="49"/>
      <x:c r="AA86" s="49"/>
      <x:c r="AB86" s="49"/>
      <x:c r="AC86" s="49"/>
      <x:c r="AD86" s="49"/>
      <x:c r="AE86" s="49"/>
      <x:c r="AF86" s="49"/>
      <x:c r="AG86" s="49"/>
      <x:c r="AH86" s="49"/>
      <x:c r="AI86" s="49"/>
      <x:c r="AJ86" s="49"/>
      <x:c r="AK86" s="49"/>
      <x:c r="AL86" s="49"/>
      <x:c r="AM86" s="49"/>
      <x:c r="AN86" s="49"/>
      <x:c r="AO86" s="49"/>
      <x:c r="AP86" s="49"/>
      <x:c r="AQ86" s="49"/>
      <x:c r="AR86" s="49"/>
      <x:c r="AS86" s="49"/>
      <x:c r="AT86" s="49"/>
      <x:c r="AU86" s="49"/>
      <x:c r="AV86" s="49"/>
      <x:c r="AW86" s="49"/>
      <x:c r="AX86" s="49"/>
      <x:c r="AY86" s="49"/>
      <x:c r="AZ86" s="49"/>
    </x:row>
    <x:row r="87">
      <x:c r="A87" s="49"/>
      <x:c r="B87" s="49"/>
      <x:c r="C87" s="49"/>
      <x:c r="D87" s="49"/>
      <x:c r="E87" s="49"/>
      <x:c r="F87" s="49"/>
      <x:c r="G87" s="49"/>
      <x:c r="H87" s="49"/>
      <x:c r="I87" s="49"/>
      <x:c r="J87" s="49"/>
      <x:c r="K87" s="49"/>
      <x:c r="L87" s="49"/>
      <x:c r="M87" s="49"/>
      <x:c r="N87" s="49"/>
      <x:c r="O87" s="49"/>
      <x:c r="P87" s="49"/>
      <x:c r="Q87" s="49"/>
      <x:c r="R87" s="49"/>
      <x:c r="S87" s="49"/>
      <x:c r="T87" s="49"/>
      <x:c r="U87" s="49"/>
      <x:c r="V87" s="49"/>
      <x:c r="W87" s="49"/>
      <x:c r="X87" s="49"/>
      <x:c r="Y87" s="49"/>
      <x:c r="Z87" s="49"/>
      <x:c r="AA87" s="49"/>
      <x:c r="AB87" s="49"/>
      <x:c r="AC87" s="49"/>
      <x:c r="AD87" s="49"/>
      <x:c r="AE87" s="49"/>
      <x:c r="AF87" s="49"/>
      <x:c r="AG87" s="49"/>
      <x:c r="AH87" s="49"/>
      <x:c r="AI87" s="49"/>
      <x:c r="AJ87" s="49"/>
      <x:c r="AK87" s="49"/>
      <x:c r="AL87" s="49"/>
      <x:c r="AM87" s="49"/>
      <x:c r="AN87" s="49"/>
      <x:c r="AO87" s="49"/>
      <x:c r="AP87" s="49"/>
      <x:c r="AQ87" s="49"/>
      <x:c r="AR87" s="49"/>
      <x:c r="AS87" s="49"/>
      <x:c r="AT87" s="49"/>
      <x:c r="AU87" s="49"/>
      <x:c r="AV87" s="49"/>
      <x:c r="AW87" s="49"/>
      <x:c r="AX87" s="49"/>
      <x:c r="AY87" s="49"/>
      <x:c r="AZ87" s="49"/>
    </x:row>
    <x:row r="88">
      <x:c r="A88" s="49"/>
      <x:c r="B88" s="49"/>
      <x:c r="C88" s="49"/>
      <x:c r="D88" s="49"/>
      <x:c r="E88" s="49"/>
      <x:c r="F88" s="49"/>
      <x:c r="G88" s="49"/>
      <x:c r="H88" s="49"/>
      <x:c r="I88" s="49"/>
      <x:c r="J88" s="49"/>
      <x:c r="K88" s="49"/>
      <x:c r="L88" s="49"/>
      <x:c r="M88" s="49"/>
      <x:c r="N88" s="49"/>
      <x:c r="O88" s="49"/>
      <x:c r="P88" s="49"/>
      <x:c r="Q88" s="49"/>
      <x:c r="R88" s="49"/>
      <x:c r="S88" s="49"/>
      <x:c r="T88" s="49"/>
      <x:c r="U88" s="49"/>
      <x:c r="V88" s="49"/>
      <x:c r="W88" s="49"/>
      <x:c r="X88" s="49"/>
      <x:c r="Y88" s="49"/>
      <x:c r="Z88" s="49"/>
      <x:c r="AA88" s="49"/>
      <x:c r="AB88" s="49"/>
      <x:c r="AC88" s="49"/>
      <x:c r="AD88" s="49"/>
      <x:c r="AE88" s="49"/>
      <x:c r="AF88" s="49"/>
      <x:c r="AG88" s="49"/>
      <x:c r="AH88" s="49"/>
      <x:c r="AI88" s="49"/>
      <x:c r="AJ88" s="49"/>
      <x:c r="AK88" s="49"/>
      <x:c r="AL88" s="49"/>
      <x:c r="AM88" s="49"/>
      <x:c r="AN88" s="49"/>
      <x:c r="AO88" s="49"/>
      <x:c r="AP88" s="49"/>
      <x:c r="AQ88" s="49"/>
      <x:c r="AR88" s="49"/>
      <x:c r="AS88" s="49"/>
      <x:c r="AT88" s="49"/>
      <x:c r="AU88" s="49"/>
      <x:c r="AV88" s="49"/>
      <x:c r="AW88" s="49"/>
      <x:c r="AX88" s="49"/>
      <x:c r="AY88" s="49"/>
      <x:c r="AZ88" s="49"/>
    </x:row>
    <x:row r="89">
      <x:c r="A89" s="49"/>
      <x:c r="B89" s="49"/>
      <x:c r="C89" s="49"/>
      <x:c r="D89" s="49"/>
      <x:c r="E89" s="49"/>
      <x:c r="F89" s="49"/>
      <x:c r="G89" s="49"/>
      <x:c r="H89" s="49"/>
      <x:c r="I89" s="49"/>
      <x:c r="J89" s="49"/>
      <x:c r="K89" s="49"/>
      <x:c r="L89" s="49"/>
      <x:c r="M89" s="49"/>
      <x:c r="N89" s="49"/>
      <x:c r="O89" s="49"/>
      <x:c r="P89" s="49"/>
      <x:c r="Q89" s="49"/>
      <x:c r="R89" s="49"/>
      <x:c r="S89" s="49"/>
      <x:c r="T89" s="49"/>
      <x:c r="U89" s="49"/>
      <x:c r="V89" s="49"/>
      <x:c r="W89" s="49"/>
      <x:c r="X89" s="49"/>
      <x:c r="Y89" s="49"/>
      <x:c r="Z89" s="49"/>
      <x:c r="AA89" s="49"/>
      <x:c r="AB89" s="49"/>
      <x:c r="AC89" s="49"/>
      <x:c r="AD89" s="49"/>
      <x:c r="AE89" s="49"/>
      <x:c r="AF89" s="49"/>
      <x:c r="AG89" s="49"/>
      <x:c r="AH89" s="49"/>
      <x:c r="AI89" s="49"/>
      <x:c r="AJ89" s="49"/>
      <x:c r="AK89" s="49"/>
      <x:c r="AL89" s="49"/>
      <x:c r="AM89" s="49"/>
      <x:c r="AN89" s="49"/>
      <x:c r="AO89" s="49"/>
      <x:c r="AP89" s="49"/>
      <x:c r="AQ89" s="49"/>
      <x:c r="AR89" s="49"/>
      <x:c r="AS89" s="49"/>
      <x:c r="AT89" s="49"/>
      <x:c r="AU89" s="49"/>
      <x:c r="AV89" s="49"/>
      <x:c r="AW89" s="49"/>
      <x:c r="AX89" s="49"/>
      <x:c r="AY89" s="49"/>
      <x:c r="AZ89" s="49"/>
    </x:row>
    <x:row r="90">
      <x:c r="A90" s="49"/>
      <x:c r="B90" s="49"/>
      <x:c r="C90" s="49"/>
      <x:c r="D90" s="49"/>
      <x:c r="E90" s="49"/>
      <x:c r="F90" s="49"/>
      <x:c r="G90" s="49"/>
      <x:c r="H90" s="49"/>
      <x:c r="I90" s="49"/>
      <x:c r="J90" s="49"/>
      <x:c r="K90" s="49"/>
      <x:c r="L90" s="49"/>
      <x:c r="M90" s="49"/>
      <x:c r="N90" s="49"/>
      <x:c r="O90" s="49"/>
      <x:c r="P90" s="49"/>
      <x:c r="Q90" s="49"/>
      <x:c r="R90" s="49"/>
      <x:c r="S90" s="49"/>
      <x:c r="T90" s="49"/>
      <x:c r="U90" s="49"/>
      <x:c r="V90" s="49"/>
      <x:c r="W90" s="49"/>
      <x:c r="X90" s="49"/>
      <x:c r="Y90" s="49"/>
      <x:c r="Z90" s="49"/>
      <x:c r="AA90" s="49"/>
      <x:c r="AB90" s="49"/>
      <x:c r="AC90" s="49"/>
      <x:c r="AD90" s="49"/>
      <x:c r="AE90" s="49"/>
      <x:c r="AF90" s="49"/>
      <x:c r="AG90" s="49"/>
      <x:c r="AH90" s="49"/>
      <x:c r="AI90" s="49"/>
      <x:c r="AJ90" s="49"/>
      <x:c r="AK90" s="49"/>
      <x:c r="AL90" s="49"/>
      <x:c r="AM90" s="49"/>
      <x:c r="AN90" s="49"/>
      <x:c r="AO90" s="49"/>
      <x:c r="AP90" s="49"/>
      <x:c r="AQ90" s="49"/>
      <x:c r="AR90" s="49"/>
      <x:c r="AS90" s="49"/>
      <x:c r="AT90" s="49"/>
      <x:c r="AU90" s="49"/>
      <x:c r="AV90" s="49"/>
      <x:c r="AW90" s="49"/>
      <x:c r="AX90" s="49"/>
      <x:c r="AY90" s="49"/>
      <x:c r="AZ90" s="49"/>
    </x:row>
    <x:row r="91">
      <x:c r="A91" s="49"/>
      <x:c r="B91" s="49"/>
      <x:c r="C91" s="49"/>
      <x:c r="D91" s="49"/>
      <x:c r="E91" s="49"/>
      <x:c r="F91" s="49"/>
      <x:c r="G91" s="49"/>
      <x:c r="H91" s="49"/>
      <x:c r="I91" s="49"/>
      <x:c r="J91" s="49"/>
      <x:c r="K91" s="49"/>
      <x:c r="L91" s="49"/>
      <x:c r="M91" s="49"/>
      <x:c r="N91" s="49"/>
      <x:c r="O91" s="49"/>
      <x:c r="P91" s="49"/>
      <x:c r="Q91" s="49"/>
      <x:c r="R91" s="49"/>
      <x:c r="S91" s="49"/>
      <x:c r="T91" s="49"/>
      <x:c r="U91" s="49"/>
      <x:c r="V91" s="49"/>
      <x:c r="W91" s="49"/>
      <x:c r="X91" s="49"/>
      <x:c r="Y91" s="49"/>
      <x:c r="Z91" s="49"/>
      <x:c r="AA91" s="49"/>
      <x:c r="AB91" s="49"/>
      <x:c r="AC91" s="49"/>
      <x:c r="AD91" s="49"/>
      <x:c r="AE91" s="49"/>
      <x:c r="AF91" s="49"/>
      <x:c r="AG91" s="49"/>
      <x:c r="AH91" s="49"/>
      <x:c r="AI91" s="49"/>
      <x:c r="AJ91" s="49"/>
      <x:c r="AK91" s="49"/>
      <x:c r="AL91" s="49"/>
      <x:c r="AM91" s="49"/>
      <x:c r="AN91" s="49"/>
      <x:c r="AO91" s="49"/>
      <x:c r="AP91" s="49"/>
      <x:c r="AQ91" s="49"/>
      <x:c r="AR91" s="49"/>
      <x:c r="AS91" s="49"/>
      <x:c r="AT91" s="49"/>
      <x:c r="AU91" s="49"/>
      <x:c r="AV91" s="49"/>
      <x:c r="AW91" s="49"/>
      <x:c r="AX91" s="49"/>
      <x:c r="AY91" s="49"/>
      <x:c r="AZ91" s="49"/>
    </x:row>
    <x:row r="92">
      <x:c r="A92" s="49"/>
      <x:c r="B92" s="49"/>
      <x:c r="C92" s="49"/>
      <x:c r="D92" s="49"/>
      <x:c r="E92" s="49"/>
      <x:c r="F92" s="49"/>
      <x:c r="G92" s="49"/>
      <x:c r="H92" s="49"/>
      <x:c r="I92" s="49"/>
      <x:c r="J92" s="49"/>
      <x:c r="K92" s="49"/>
      <x:c r="L92" s="49"/>
      <x:c r="M92" s="49"/>
      <x:c r="N92" s="49"/>
      <x:c r="O92" s="49"/>
      <x:c r="P92" s="49"/>
      <x:c r="Q92" s="49"/>
      <x:c r="R92" s="49"/>
      <x:c r="S92" s="49"/>
      <x:c r="T92" s="49"/>
      <x:c r="U92" s="49"/>
      <x:c r="V92" s="49"/>
      <x:c r="W92" s="49"/>
      <x:c r="X92" s="49"/>
      <x:c r="Y92" s="49"/>
      <x:c r="Z92" s="49"/>
      <x:c r="AA92" s="49"/>
      <x:c r="AB92" s="49"/>
      <x:c r="AC92" s="49"/>
      <x:c r="AD92" s="49"/>
      <x:c r="AE92" s="49"/>
      <x:c r="AF92" s="49"/>
      <x:c r="AG92" s="49"/>
      <x:c r="AH92" s="49"/>
      <x:c r="AI92" s="49"/>
      <x:c r="AJ92" s="49"/>
      <x:c r="AK92" s="49"/>
      <x:c r="AL92" s="49"/>
      <x:c r="AM92" s="49"/>
      <x:c r="AN92" s="49"/>
      <x:c r="AO92" s="49"/>
      <x:c r="AP92" s="49"/>
      <x:c r="AQ92" s="49"/>
      <x:c r="AR92" s="49"/>
      <x:c r="AS92" s="49"/>
      <x:c r="AT92" s="49"/>
      <x:c r="AU92" s="49"/>
      <x:c r="AV92" s="49"/>
      <x:c r="AW92" s="49"/>
      <x:c r="AX92" s="49"/>
      <x:c r="AY92" s="49"/>
      <x:c r="AZ92" s="49"/>
    </x:row>
    <x:row r="93">
      <x:c r="A93" s="49"/>
      <x:c r="B93" s="49"/>
      <x:c r="C93" s="49"/>
      <x:c r="D93" s="49"/>
      <x:c r="E93" s="49"/>
      <x:c r="F93" s="49"/>
      <x:c r="G93" s="49"/>
      <x:c r="H93" s="49"/>
      <x:c r="I93" s="49"/>
      <x:c r="J93" s="49"/>
      <x:c r="K93" s="49"/>
      <x:c r="L93" s="49"/>
      <x:c r="M93" s="49"/>
      <x:c r="N93" s="49"/>
      <x:c r="O93" s="49"/>
      <x:c r="P93" s="49"/>
      <x:c r="Q93" s="49"/>
      <x:c r="R93" s="49"/>
      <x:c r="S93" s="49"/>
      <x:c r="T93" s="49"/>
      <x:c r="U93" s="49"/>
      <x:c r="V93" s="49"/>
      <x:c r="W93" s="49"/>
      <x:c r="X93" s="49"/>
      <x:c r="Y93" s="49"/>
      <x:c r="Z93" s="49"/>
      <x:c r="AA93" s="49"/>
      <x:c r="AB93" s="49"/>
      <x:c r="AC93" s="49"/>
      <x:c r="AD93" s="49"/>
      <x:c r="AE93" s="49"/>
      <x:c r="AF93" s="49"/>
      <x:c r="AG93" s="49"/>
      <x:c r="AH93" s="49"/>
      <x:c r="AI93" s="49"/>
      <x:c r="AJ93" s="49"/>
      <x:c r="AK93" s="49"/>
      <x:c r="AL93" s="49"/>
      <x:c r="AM93" s="49"/>
      <x:c r="AN93" s="49"/>
      <x:c r="AO93" s="49"/>
      <x:c r="AP93" s="49"/>
      <x:c r="AQ93" s="49"/>
      <x:c r="AR93" s="49"/>
      <x:c r="AS93" s="49"/>
      <x:c r="AT93" s="49"/>
      <x:c r="AU93" s="49"/>
      <x:c r="AV93" s="49"/>
      <x:c r="AW93" s="49"/>
      <x:c r="AX93" s="49"/>
      <x:c r="AY93" s="49"/>
      <x:c r="AZ93" s="49"/>
    </x:row>
    <x:row r="94">
      <x:c r="A94" s="49"/>
      <x:c r="B94" s="49"/>
      <x:c r="C94" s="49"/>
      <x:c r="D94" s="49"/>
      <x:c r="E94" s="49"/>
      <x:c r="F94" s="49"/>
      <x:c r="G94" s="49"/>
      <x:c r="H94" s="49"/>
      <x:c r="I94" s="49"/>
      <x:c r="J94" s="49"/>
      <x:c r="K94" s="49"/>
      <x:c r="L94" s="49"/>
      <x:c r="M94" s="49"/>
      <x:c r="N94" s="49"/>
      <x:c r="O94" s="49"/>
      <x:c r="P94" s="49"/>
      <x:c r="Q94" s="49"/>
      <x:c r="R94" s="49"/>
      <x:c r="S94" s="49"/>
      <x:c r="T94" s="49"/>
      <x:c r="U94" s="49"/>
      <x:c r="V94" s="49"/>
      <x:c r="W94" s="49"/>
      <x:c r="X94" s="49"/>
      <x:c r="Y94" s="49"/>
      <x:c r="Z94" s="49"/>
      <x:c r="AA94" s="49"/>
      <x:c r="AB94" s="49"/>
      <x:c r="AC94" s="49"/>
      <x:c r="AD94" s="49"/>
      <x:c r="AE94" s="49"/>
      <x:c r="AF94" s="49"/>
      <x:c r="AG94" s="49"/>
      <x:c r="AH94" s="49"/>
      <x:c r="AI94" s="49"/>
      <x:c r="AJ94" s="49"/>
      <x:c r="AK94" s="49"/>
      <x:c r="AL94" s="49"/>
      <x:c r="AM94" s="49"/>
      <x:c r="AN94" s="49"/>
      <x:c r="AO94" s="49"/>
      <x:c r="AP94" s="49"/>
      <x:c r="AQ94" s="49"/>
      <x:c r="AR94" s="49"/>
      <x:c r="AS94" s="49"/>
      <x:c r="AT94" s="49"/>
      <x:c r="AU94" s="49"/>
      <x:c r="AV94" s="49"/>
      <x:c r="AW94" s="49"/>
      <x:c r="AX94" s="49"/>
      <x:c r="AY94" s="49"/>
      <x:c r="AZ94" s="49"/>
    </x:row>
    <x:row r="95">
      <x:c r="A95" s="49"/>
      <x:c r="B95" s="49"/>
      <x:c r="C95" s="49"/>
      <x:c r="D95" s="49"/>
      <x:c r="E95" s="49"/>
      <x:c r="F95" s="49"/>
      <x:c r="G95" s="49"/>
      <x:c r="H95" s="49"/>
      <x:c r="I95" s="49"/>
      <x:c r="J95" s="49"/>
      <x:c r="K95" s="49"/>
      <x:c r="L95" s="49"/>
      <x:c r="M95" s="49"/>
      <x:c r="N95" s="49"/>
      <x:c r="O95" s="49"/>
      <x:c r="P95" s="49"/>
      <x:c r="Q95" s="49"/>
      <x:c r="R95" s="49"/>
      <x:c r="S95" s="49"/>
      <x:c r="T95" s="49"/>
      <x:c r="U95" s="49"/>
      <x:c r="V95" s="49"/>
      <x:c r="W95" s="49"/>
      <x:c r="X95" s="49"/>
      <x:c r="Y95" s="49"/>
      <x:c r="Z95" s="49"/>
      <x:c r="AA95" s="49"/>
      <x:c r="AB95" s="49"/>
      <x:c r="AC95" s="49"/>
      <x:c r="AD95" s="49"/>
      <x:c r="AE95" s="49"/>
      <x:c r="AF95" s="49"/>
      <x:c r="AG95" s="49"/>
      <x:c r="AH95" s="49"/>
      <x:c r="AI95" s="49"/>
      <x:c r="AJ95" s="49"/>
      <x:c r="AK95" s="49"/>
      <x:c r="AL95" s="49"/>
      <x:c r="AM95" s="49"/>
      <x:c r="AN95" s="49"/>
      <x:c r="AO95" s="49"/>
      <x:c r="AP95" s="49"/>
      <x:c r="AQ95" s="49"/>
      <x:c r="AR95" s="49"/>
      <x:c r="AS95" s="49"/>
      <x:c r="AT95" s="49"/>
      <x:c r="AU95" s="49"/>
      <x:c r="AV95" s="49"/>
      <x:c r="AW95" s="49"/>
      <x:c r="AX95" s="49"/>
      <x:c r="AY95" s="49"/>
      <x:c r="AZ95" s="49"/>
    </x:row>
    <x:row r="96">
      <x:c r="A96" s="49"/>
      <x:c r="B96" s="49"/>
      <x:c r="C96" s="49"/>
      <x:c r="D96" s="49"/>
      <x:c r="E96" s="49"/>
      <x:c r="F96" s="49"/>
      <x:c r="G96" s="49"/>
      <x:c r="H96" s="49"/>
      <x:c r="I96" s="49"/>
      <x:c r="J96" s="49"/>
      <x:c r="K96" s="49"/>
      <x:c r="L96" s="49"/>
      <x:c r="M96" s="49"/>
      <x:c r="N96" s="49"/>
      <x:c r="O96" s="49"/>
      <x:c r="P96" s="49"/>
      <x:c r="Q96" s="49"/>
      <x:c r="R96" s="49"/>
      <x:c r="S96" s="49"/>
      <x:c r="T96" s="49"/>
      <x:c r="U96" s="49"/>
      <x:c r="V96" s="49"/>
      <x:c r="W96" s="49"/>
      <x:c r="X96" s="49"/>
      <x:c r="Y96" s="49"/>
      <x:c r="Z96" s="49"/>
      <x:c r="AA96" s="49"/>
      <x:c r="AB96" s="49"/>
      <x:c r="AC96" s="49"/>
      <x:c r="AD96" s="49"/>
      <x:c r="AE96" s="49"/>
      <x:c r="AF96" s="49"/>
      <x:c r="AG96" s="49"/>
      <x:c r="AH96" s="49"/>
      <x:c r="AI96" s="49"/>
      <x:c r="AJ96" s="49"/>
      <x:c r="AK96" s="49"/>
      <x:c r="AL96" s="49"/>
      <x:c r="AM96" s="49"/>
      <x:c r="AN96" s="49"/>
      <x:c r="AO96" s="49"/>
      <x:c r="AP96" s="49"/>
      <x:c r="AQ96" s="49"/>
      <x:c r="AR96" s="49"/>
      <x:c r="AS96" s="49"/>
      <x:c r="AT96" s="49"/>
      <x:c r="AU96" s="49"/>
      <x:c r="AV96" s="49"/>
      <x:c r="AW96" s="49"/>
      <x:c r="AX96" s="49"/>
      <x:c r="AY96" s="49"/>
      <x:c r="AZ96" s="49"/>
    </x:row>
    <x:row r="97">
      <x:c r="A97" s="49"/>
      <x:c r="B97" s="49"/>
      <x:c r="C97" s="49"/>
      <x:c r="D97" s="49"/>
      <x:c r="E97" s="49"/>
      <x:c r="F97" s="49"/>
      <x:c r="G97" s="49"/>
      <x:c r="H97" s="49"/>
      <x:c r="I97" s="49"/>
      <x:c r="J97" s="49"/>
      <x:c r="K97" s="49"/>
      <x:c r="L97" s="49"/>
      <x:c r="M97" s="49"/>
      <x:c r="N97" s="49"/>
      <x:c r="O97" s="49"/>
      <x:c r="P97" s="49"/>
      <x:c r="Q97" s="49"/>
      <x:c r="R97" s="49"/>
      <x:c r="S97" s="49"/>
      <x:c r="T97" s="49"/>
      <x:c r="U97" s="49"/>
      <x:c r="V97" s="49"/>
      <x:c r="W97" s="49"/>
      <x:c r="X97" s="49"/>
      <x:c r="Y97" s="49"/>
      <x:c r="Z97" s="49"/>
      <x:c r="AA97" s="49"/>
      <x:c r="AB97" s="49"/>
      <x:c r="AC97" s="49"/>
      <x:c r="AD97" s="49"/>
      <x:c r="AE97" s="49"/>
      <x:c r="AF97" s="49"/>
      <x:c r="AG97" s="49"/>
      <x:c r="AH97" s="49"/>
      <x:c r="AI97" s="49"/>
      <x:c r="AJ97" s="49"/>
      <x:c r="AK97" s="49"/>
      <x:c r="AL97" s="49"/>
      <x:c r="AM97" s="49"/>
      <x:c r="AN97" s="49"/>
      <x:c r="AO97" s="49"/>
      <x:c r="AP97" s="49"/>
      <x:c r="AQ97" s="49"/>
      <x:c r="AR97" s="49"/>
      <x:c r="AS97" s="49"/>
      <x:c r="AT97" s="49"/>
      <x:c r="AU97" s="49"/>
      <x:c r="AV97" s="49"/>
      <x:c r="AW97" s="49"/>
      <x:c r="AX97" s="49"/>
      <x:c r="AY97" s="49"/>
      <x:c r="AZ97" s="49"/>
    </x:row>
    <x:row r="98">
      <x:c r="A98" s="49"/>
      <x:c r="B98" s="49"/>
      <x:c r="C98" s="49"/>
      <x:c r="D98" s="49"/>
      <x:c r="E98" s="49"/>
      <x:c r="F98" s="49"/>
      <x:c r="G98" s="49"/>
      <x:c r="H98" s="49"/>
      <x:c r="I98" s="49"/>
      <x:c r="J98" s="49"/>
      <x:c r="K98" s="49"/>
      <x:c r="L98" s="49"/>
      <x:c r="M98" s="49"/>
      <x:c r="N98" s="49"/>
      <x:c r="O98" s="49"/>
      <x:c r="P98" s="49"/>
      <x:c r="Q98" s="49"/>
      <x:c r="R98" s="49"/>
      <x:c r="S98" s="49"/>
      <x:c r="T98" s="49"/>
      <x:c r="U98" s="49"/>
      <x:c r="V98" s="49"/>
      <x:c r="W98" s="49"/>
      <x:c r="X98" s="49"/>
      <x:c r="Y98" s="49"/>
      <x:c r="Z98" s="49"/>
      <x:c r="AA98" s="49"/>
      <x:c r="AB98" s="49"/>
      <x:c r="AC98" s="49"/>
      <x:c r="AD98" s="49"/>
      <x:c r="AE98" s="49"/>
      <x:c r="AF98" s="49"/>
      <x:c r="AG98" s="49"/>
      <x:c r="AH98" s="49"/>
      <x:c r="AI98" s="49"/>
      <x:c r="AJ98" s="49"/>
      <x:c r="AK98" s="49"/>
      <x:c r="AL98" s="49"/>
      <x:c r="AM98" s="49"/>
      <x:c r="AN98" s="49"/>
      <x:c r="AO98" s="49"/>
      <x:c r="AP98" s="49"/>
      <x:c r="AQ98" s="49"/>
      <x:c r="AR98" s="49"/>
      <x:c r="AS98" s="49"/>
      <x:c r="AT98" s="49"/>
      <x:c r="AU98" s="49"/>
      <x:c r="AV98" s="49"/>
      <x:c r="AW98" s="49"/>
      <x:c r="AX98" s="49"/>
      <x:c r="AY98" s="49"/>
      <x:c r="AZ98" s="49"/>
    </x:row>
    <x:row r="99">
      <x:c r="A99" s="49"/>
      <x:c r="B99" s="49"/>
      <x:c r="C99" s="49"/>
      <x:c r="D99" s="49"/>
      <x:c r="E99" s="49"/>
      <x:c r="F99" s="49"/>
      <x:c r="G99" s="49"/>
      <x:c r="H99" s="49"/>
      <x:c r="I99" s="49"/>
      <x:c r="J99" s="49"/>
      <x:c r="K99" s="49"/>
      <x:c r="L99" s="49"/>
      <x:c r="M99" s="49"/>
      <x:c r="N99" s="49"/>
      <x:c r="O99" s="49"/>
      <x:c r="P99" s="49"/>
      <x:c r="Q99" s="49"/>
      <x:c r="R99" s="49"/>
      <x:c r="S99" s="49"/>
      <x:c r="T99" s="49"/>
      <x:c r="U99" s="49"/>
      <x:c r="V99" s="49"/>
      <x:c r="W99" s="49"/>
      <x:c r="X99" s="49"/>
      <x:c r="Y99" s="49"/>
      <x:c r="Z99" s="49"/>
      <x:c r="AA99" s="49"/>
      <x:c r="AB99" s="49"/>
      <x:c r="AC99" s="49"/>
      <x:c r="AD99" s="49"/>
      <x:c r="AE99" s="49"/>
      <x:c r="AF99" s="49"/>
      <x:c r="AG99" s="49"/>
      <x:c r="AH99" s="49"/>
      <x:c r="AI99" s="49"/>
      <x:c r="AJ99" s="49"/>
      <x:c r="AK99" s="49"/>
      <x:c r="AL99" s="49"/>
      <x:c r="AM99" s="49"/>
      <x:c r="AN99" s="49"/>
      <x:c r="AO99" s="49"/>
      <x:c r="AP99" s="49"/>
      <x:c r="AQ99" s="49"/>
      <x:c r="AR99" s="49"/>
      <x:c r="AS99" s="49"/>
      <x:c r="AT99" s="49"/>
      <x:c r="AU99" s="49"/>
      <x:c r="AV99" s="49"/>
      <x:c r="AW99" s="49"/>
      <x:c r="AX99" s="49"/>
      <x:c r="AY99" s="49"/>
      <x:c r="AZ99" s="49"/>
    </x:row>
    <x:row r="100">
      <x:c r="A100" s="49"/>
      <x:c r="B100" s="49"/>
      <x:c r="C100" s="49"/>
      <x:c r="D100" s="49"/>
      <x:c r="E100" s="49"/>
      <x:c r="F100" s="49"/>
      <x:c r="G100" s="49"/>
      <x:c r="H100" s="49"/>
      <x:c r="I100" s="49"/>
      <x:c r="J100" s="49"/>
      <x:c r="K100" s="49"/>
      <x:c r="L100" s="49"/>
      <x:c r="M100" s="49"/>
      <x:c r="N100" s="49"/>
      <x:c r="O100" s="49"/>
      <x:c r="P100" s="49"/>
      <x:c r="Q100" s="49"/>
      <x:c r="R100" s="49"/>
      <x:c r="S100" s="49"/>
      <x:c r="T100" s="49"/>
      <x:c r="U100" s="49"/>
      <x:c r="V100" s="49"/>
      <x:c r="W100" s="49"/>
      <x:c r="X100" s="49"/>
      <x:c r="Y100" s="49"/>
      <x:c r="Z100" s="49"/>
      <x:c r="AA100" s="49"/>
      <x:c r="AB100" s="49"/>
      <x:c r="AC100" s="49"/>
      <x:c r="AD100" s="49"/>
      <x:c r="AE100" s="49"/>
      <x:c r="AF100" s="49"/>
      <x:c r="AG100" s="49"/>
      <x:c r="AH100" s="49"/>
      <x:c r="AI100" s="49"/>
      <x:c r="AJ100" s="49"/>
      <x:c r="AK100" s="49"/>
      <x:c r="AL100" s="49"/>
      <x:c r="AM100" s="49"/>
      <x:c r="AN100" s="49"/>
      <x:c r="AO100" s="49"/>
      <x:c r="AP100" s="49"/>
      <x:c r="AQ100" s="49"/>
      <x:c r="AR100" s="49"/>
      <x:c r="AS100" s="49"/>
      <x:c r="AT100" s="49"/>
      <x:c r="AU100" s="49"/>
      <x:c r="AV100" s="49"/>
      <x:c r="AW100" s="49"/>
      <x:c r="AX100" s="49"/>
      <x:c r="AY100" s="49"/>
      <x:c r="AZ100" s="49"/>
    </x:row>
    <x:row r="101">
      <x:c r="A101" s="49"/>
      <x:c r="B101" s="49"/>
      <x:c r="C101" s="49"/>
      <x:c r="D101" s="49"/>
      <x:c r="E101" s="49"/>
      <x:c r="F101" s="49"/>
      <x:c r="G101" s="49"/>
      <x:c r="H101" s="49"/>
      <x:c r="I101" s="49"/>
      <x:c r="J101" s="49"/>
      <x:c r="K101" s="49"/>
      <x:c r="L101" s="49"/>
      <x:c r="M101" s="49"/>
      <x:c r="N101" s="49"/>
      <x:c r="O101" s="49"/>
      <x:c r="P101" s="49"/>
      <x:c r="Q101" s="49"/>
      <x:c r="R101" s="49"/>
      <x:c r="S101" s="49"/>
      <x:c r="T101" s="49"/>
      <x:c r="U101" s="49"/>
      <x:c r="V101" s="49"/>
      <x:c r="W101" s="49"/>
      <x:c r="X101" s="49"/>
      <x:c r="Y101" s="49"/>
      <x:c r="Z101" s="49"/>
      <x:c r="AA101" s="49"/>
      <x:c r="AB101" s="49"/>
      <x:c r="AC101" s="49"/>
      <x:c r="AD101" s="49"/>
      <x:c r="AE101" s="49"/>
      <x:c r="AF101" s="49"/>
      <x:c r="AG101" s="49"/>
      <x:c r="AH101" s="49"/>
      <x:c r="AI101" s="49"/>
      <x:c r="AJ101" s="49"/>
      <x:c r="AK101" s="49"/>
      <x:c r="AL101" s="49"/>
      <x:c r="AM101" s="49"/>
      <x:c r="AN101" s="49"/>
      <x:c r="AO101" s="49"/>
      <x:c r="AP101" s="49"/>
      <x:c r="AQ101" s="49"/>
      <x:c r="AR101" s="49"/>
      <x:c r="AS101" s="49"/>
      <x:c r="AT101" s="49"/>
      <x:c r="AU101" s="49"/>
      <x:c r="AV101" s="49"/>
      <x:c r="AW101" s="49"/>
      <x:c r="AX101" s="49"/>
      <x:c r="AY101" s="49"/>
      <x:c r="AZ101" s="49"/>
    </x:row>
    <x:row r="102">
      <x:c r="A102" s="49"/>
      <x:c r="B102" s="49"/>
      <x:c r="C102" s="49"/>
      <x:c r="D102" s="49"/>
      <x:c r="E102" s="49"/>
      <x:c r="F102" s="49"/>
      <x:c r="G102" s="49"/>
      <x:c r="H102" s="49"/>
      <x:c r="I102" s="49"/>
      <x:c r="J102" s="49"/>
      <x:c r="K102" s="49"/>
      <x:c r="L102" s="49"/>
      <x:c r="M102" s="49"/>
      <x:c r="N102" s="49"/>
      <x:c r="O102" s="49"/>
      <x:c r="P102" s="49"/>
      <x:c r="Q102" s="49"/>
      <x:c r="R102" s="49"/>
      <x:c r="S102" s="49"/>
      <x:c r="T102" s="49"/>
      <x:c r="U102" s="49"/>
      <x:c r="V102" s="49"/>
      <x:c r="W102" s="49"/>
      <x:c r="X102" s="49"/>
      <x:c r="Y102" s="49"/>
      <x:c r="Z102" s="49"/>
      <x:c r="AA102" s="49"/>
      <x:c r="AB102" s="49"/>
      <x:c r="AC102" s="49"/>
      <x:c r="AD102" s="49"/>
      <x:c r="AE102" s="49"/>
      <x:c r="AF102" s="49"/>
      <x:c r="AG102" s="49"/>
      <x:c r="AH102" s="49"/>
      <x:c r="AI102" s="49"/>
      <x:c r="AJ102" s="49"/>
      <x:c r="AK102" s="49"/>
      <x:c r="AL102" s="49"/>
      <x:c r="AM102" s="49"/>
      <x:c r="AN102" s="49"/>
      <x:c r="AO102" s="49"/>
      <x:c r="AP102" s="49"/>
      <x:c r="AQ102" s="49"/>
      <x:c r="AR102" s="49"/>
      <x:c r="AS102" s="49"/>
      <x:c r="AT102" s="49"/>
      <x:c r="AU102" s="49"/>
      <x:c r="AV102" s="49"/>
      <x:c r="AW102" s="49"/>
      <x:c r="AX102" s="49"/>
      <x:c r="AY102" s="49"/>
      <x:c r="AZ102" s="49"/>
    </x:row>
    <x:row r="103">
      <x:c r="A103" s="49"/>
      <x:c r="B103" s="49"/>
      <x:c r="C103" s="49"/>
      <x:c r="D103" s="49"/>
      <x:c r="E103" s="49"/>
      <x:c r="F103" s="49"/>
      <x:c r="G103" s="49"/>
      <x:c r="H103" s="49"/>
      <x:c r="I103" s="49"/>
      <x:c r="J103" s="49"/>
      <x:c r="K103" s="49"/>
      <x:c r="L103" s="49"/>
      <x:c r="M103" s="49"/>
      <x:c r="N103" s="49"/>
      <x:c r="O103" s="49"/>
      <x:c r="P103" s="49"/>
      <x:c r="Q103" s="49"/>
      <x:c r="R103" s="49"/>
      <x:c r="S103" s="49"/>
      <x:c r="T103" s="49"/>
      <x:c r="U103" s="49"/>
      <x:c r="V103" s="49"/>
      <x:c r="W103" s="49"/>
      <x:c r="X103" s="49"/>
      <x:c r="Y103" s="49"/>
      <x:c r="Z103" s="49"/>
      <x:c r="AA103" s="49"/>
      <x:c r="AB103" s="49"/>
      <x:c r="AC103" s="49"/>
      <x:c r="AD103" s="49"/>
      <x:c r="AE103" s="49"/>
      <x:c r="AF103" s="49"/>
      <x:c r="AG103" s="49"/>
      <x:c r="AH103" s="49"/>
      <x:c r="AI103" s="49"/>
      <x:c r="AJ103" s="49"/>
      <x:c r="AK103" s="49"/>
      <x:c r="AL103" s="49"/>
      <x:c r="AM103" s="49"/>
      <x:c r="AN103" s="49"/>
      <x:c r="AO103" s="49"/>
      <x:c r="AP103" s="49"/>
      <x:c r="AQ103" s="49"/>
      <x:c r="AR103" s="49"/>
      <x:c r="AS103" s="49"/>
      <x:c r="AT103" s="49"/>
      <x:c r="AU103" s="49"/>
      <x:c r="AV103" s="49"/>
      <x:c r="AW103" s="49"/>
      <x:c r="AX103" s="49"/>
      <x:c r="AY103" s="49"/>
      <x:c r="AZ103" s="49"/>
    </x:row>
    <x:row r="104">
      <x:c r="A104" s="49"/>
      <x:c r="B104" s="49"/>
      <x:c r="C104" s="49"/>
      <x:c r="D104" s="49"/>
      <x:c r="E104" s="49"/>
      <x:c r="F104" s="49"/>
      <x:c r="G104" s="49"/>
      <x:c r="H104" s="49"/>
      <x:c r="I104" s="49"/>
      <x:c r="J104" s="49"/>
      <x:c r="K104" s="49"/>
      <x:c r="L104" s="49"/>
      <x:c r="M104" s="49"/>
      <x:c r="N104" s="49"/>
      <x:c r="O104" s="49"/>
      <x:c r="P104" s="49"/>
      <x:c r="Q104" s="49"/>
      <x:c r="R104" s="49"/>
      <x:c r="S104" s="49"/>
      <x:c r="T104" s="49"/>
      <x:c r="U104" s="49"/>
      <x:c r="V104" s="49"/>
      <x:c r="W104" s="49"/>
      <x:c r="X104" s="49"/>
      <x:c r="Y104" s="49"/>
      <x:c r="Z104" s="49"/>
      <x:c r="AA104" s="49"/>
      <x:c r="AB104" s="49"/>
      <x:c r="AC104" s="49"/>
      <x:c r="AD104" s="49"/>
      <x:c r="AE104" s="49"/>
      <x:c r="AF104" s="49"/>
      <x:c r="AG104" s="49"/>
      <x:c r="AH104" s="49"/>
      <x:c r="AI104" s="49"/>
      <x:c r="AJ104" s="49"/>
      <x:c r="AK104" s="49"/>
      <x:c r="AL104" s="49"/>
      <x:c r="AM104" s="49"/>
      <x:c r="AN104" s="49"/>
      <x:c r="AO104" s="49"/>
      <x:c r="AP104" s="49"/>
      <x:c r="AQ104" s="49"/>
      <x:c r="AR104" s="49"/>
      <x:c r="AS104" s="49"/>
      <x:c r="AT104" s="49"/>
      <x:c r="AU104" s="49"/>
      <x:c r="AV104" s="49"/>
      <x:c r="AW104" s="49"/>
      <x:c r="AX104" s="49"/>
      <x:c r="AY104" s="49"/>
      <x:c r="AZ104" s="49"/>
    </x:row>
    <x:row r="105">
      <x:c r="A105" s="49"/>
      <x:c r="B105" s="49"/>
      <x:c r="C105" s="49"/>
      <x:c r="D105" s="49"/>
      <x:c r="E105" s="49"/>
      <x:c r="F105" s="49"/>
      <x:c r="G105" s="49"/>
      <x:c r="H105" s="49"/>
      <x:c r="I105" s="49"/>
      <x:c r="J105" s="49"/>
      <x:c r="K105" s="49"/>
      <x:c r="L105" s="49"/>
      <x:c r="M105" s="49"/>
      <x:c r="N105" s="49"/>
      <x:c r="O105" s="49"/>
      <x:c r="P105" s="49"/>
      <x:c r="Q105" s="49"/>
      <x:c r="R105" s="49"/>
      <x:c r="S105" s="49"/>
      <x:c r="T105" s="49"/>
      <x:c r="U105" s="49"/>
      <x:c r="V105" s="49"/>
      <x:c r="W105" s="49"/>
      <x:c r="X105" s="49"/>
      <x:c r="Y105" s="49"/>
      <x:c r="Z105" s="49"/>
      <x:c r="AA105" s="49"/>
      <x:c r="AB105" s="49"/>
      <x:c r="AC105" s="49"/>
      <x:c r="AD105" s="49"/>
      <x:c r="AE105" s="49"/>
      <x:c r="AF105" s="49"/>
      <x:c r="AG105" s="49"/>
      <x:c r="AH105" s="49"/>
      <x:c r="AI105" s="49"/>
      <x:c r="AJ105" s="49"/>
      <x:c r="AK105" s="49"/>
      <x:c r="AL105" s="49"/>
      <x:c r="AM105" s="49"/>
      <x:c r="AN105" s="49"/>
      <x:c r="AO105" s="49"/>
      <x:c r="AP105" s="49"/>
      <x:c r="AQ105" s="49"/>
      <x:c r="AR105" s="49"/>
      <x:c r="AS105" s="49"/>
      <x:c r="AT105" s="49"/>
      <x:c r="AU105" s="49"/>
      <x:c r="AV105" s="49"/>
      <x:c r="AW105" s="49"/>
      <x:c r="AX105" s="49"/>
      <x:c r="AY105" s="49"/>
      <x:c r="AZ105" s="49"/>
    </x:row>
    <x:row r="106">
      <x:c r="A106" s="49"/>
      <x:c r="B106" s="49"/>
      <x:c r="C106" s="49"/>
      <x:c r="D106" s="49"/>
      <x:c r="E106" s="49"/>
      <x:c r="F106" s="49"/>
      <x:c r="G106" s="49"/>
      <x:c r="H106" s="49"/>
      <x:c r="I106" s="49"/>
      <x:c r="J106" s="49"/>
      <x:c r="K106" s="49"/>
      <x:c r="L106" s="49"/>
      <x:c r="M106" s="49"/>
      <x:c r="N106" s="49"/>
      <x:c r="O106" s="49"/>
      <x:c r="P106" s="49"/>
      <x:c r="Q106" s="49"/>
      <x:c r="R106" s="49"/>
      <x:c r="S106" s="49"/>
      <x:c r="T106" s="49"/>
      <x:c r="U106" s="49"/>
      <x:c r="V106" s="49"/>
      <x:c r="W106" s="49"/>
      <x:c r="X106" s="49"/>
      <x:c r="Y106" s="49"/>
      <x:c r="Z106" s="49"/>
      <x:c r="AA106" s="49"/>
      <x:c r="AB106" s="49"/>
      <x:c r="AC106" s="49"/>
      <x:c r="AD106" s="49"/>
      <x:c r="AE106" s="49"/>
      <x:c r="AF106" s="49"/>
      <x:c r="AG106" s="49"/>
      <x:c r="AH106" s="49"/>
      <x:c r="AI106" s="49"/>
      <x:c r="AJ106" s="49"/>
      <x:c r="AK106" s="49"/>
      <x:c r="AL106" s="49"/>
      <x:c r="AM106" s="49"/>
      <x:c r="AN106" s="49"/>
      <x:c r="AO106" s="49"/>
      <x:c r="AP106" s="49"/>
      <x:c r="AQ106" s="49"/>
      <x:c r="AR106" s="49"/>
      <x:c r="AS106" s="49"/>
      <x:c r="AT106" s="49"/>
      <x:c r="AU106" s="49"/>
      <x:c r="AV106" s="49"/>
      <x:c r="AW106" s="49"/>
      <x:c r="AX106" s="49"/>
      <x:c r="AY106" s="49"/>
      <x:c r="AZ106" s="49"/>
    </x:row>
    <x:row r="107">
      <x:c r="A107" s="49"/>
      <x:c r="B107" s="49"/>
      <x:c r="C107" s="49"/>
      <x:c r="D107" s="49"/>
      <x:c r="E107" s="49"/>
      <x:c r="F107" s="49"/>
      <x:c r="G107" s="49"/>
      <x:c r="H107" s="49"/>
      <x:c r="I107" s="49"/>
      <x:c r="J107" s="49"/>
      <x:c r="K107" s="49"/>
      <x:c r="L107" s="49"/>
      <x:c r="M107" s="49"/>
      <x:c r="N107" s="49"/>
      <x:c r="O107" s="49"/>
      <x:c r="P107" s="49"/>
      <x:c r="Q107" s="49"/>
      <x:c r="R107" s="49"/>
      <x:c r="S107" s="49"/>
      <x:c r="T107" s="49"/>
      <x:c r="U107" s="49"/>
      <x:c r="V107" s="49"/>
      <x:c r="W107" s="49"/>
      <x:c r="X107" s="49"/>
      <x:c r="Y107" s="49"/>
      <x:c r="Z107" s="49"/>
      <x:c r="AA107" s="49"/>
      <x:c r="AB107" s="49"/>
      <x:c r="AC107" s="49"/>
      <x:c r="AD107" s="49"/>
      <x:c r="AE107" s="49"/>
      <x:c r="AF107" s="49"/>
      <x:c r="AG107" s="49"/>
      <x:c r="AH107" s="49"/>
      <x:c r="AI107" s="49"/>
      <x:c r="AJ107" s="49"/>
      <x:c r="AK107" s="49"/>
      <x:c r="AL107" s="49"/>
      <x:c r="AM107" s="49"/>
      <x:c r="AN107" s="49"/>
      <x:c r="AO107" s="49"/>
      <x:c r="AP107" s="49"/>
      <x:c r="AQ107" s="49"/>
      <x:c r="AR107" s="49"/>
      <x:c r="AS107" s="49"/>
      <x:c r="AT107" s="49"/>
      <x:c r="AU107" s="49"/>
      <x:c r="AV107" s="49"/>
      <x:c r="AW107" s="49"/>
      <x:c r="AX107" s="49"/>
      <x:c r="AY107" s="49"/>
      <x:c r="AZ107" s="49"/>
    </x:row>
    <x:row r="108">
      <x:c r="A108" s="49"/>
      <x:c r="B108" s="49"/>
      <x:c r="C108" s="49"/>
      <x:c r="D108" s="49"/>
      <x:c r="E108" s="49"/>
      <x:c r="F108" s="49"/>
      <x:c r="G108" s="49"/>
      <x:c r="H108" s="49"/>
      <x:c r="I108" s="49"/>
      <x:c r="J108" s="49"/>
      <x:c r="K108" s="49"/>
      <x:c r="L108" s="49"/>
      <x:c r="M108" s="49"/>
      <x:c r="N108" s="49"/>
      <x:c r="O108" s="49"/>
      <x:c r="P108" s="49"/>
      <x:c r="Q108" s="49"/>
      <x:c r="R108" s="49"/>
      <x:c r="S108" s="49"/>
      <x:c r="T108" s="49"/>
      <x:c r="U108" s="49"/>
      <x:c r="V108" s="49"/>
      <x:c r="W108" s="49"/>
      <x:c r="X108" s="49"/>
      <x:c r="Y108" s="49"/>
      <x:c r="Z108" s="49"/>
      <x:c r="AA108" s="49"/>
      <x:c r="AB108" s="49"/>
      <x:c r="AC108" s="49"/>
      <x:c r="AD108" s="49"/>
      <x:c r="AE108" s="49"/>
      <x:c r="AF108" s="49"/>
      <x:c r="AG108" s="49"/>
      <x:c r="AH108" s="49"/>
      <x:c r="AI108" s="49"/>
      <x:c r="AJ108" s="49"/>
      <x:c r="AK108" s="49"/>
      <x:c r="AL108" s="49"/>
      <x:c r="AM108" s="49"/>
      <x:c r="AN108" s="49"/>
      <x:c r="AO108" s="49"/>
      <x:c r="AP108" s="49"/>
      <x:c r="AQ108" s="49"/>
      <x:c r="AR108" s="49"/>
      <x:c r="AS108" s="49"/>
      <x:c r="AT108" s="49"/>
      <x:c r="AU108" s="49"/>
      <x:c r="AV108" s="49"/>
      <x:c r="AW108" s="49"/>
      <x:c r="AX108" s="49"/>
      <x:c r="AY108" s="49"/>
      <x:c r="AZ108" s="49"/>
    </x:row>
    <x:row r="109">
      <x:c r="A109" s="49"/>
      <x:c r="B109" s="49"/>
      <x:c r="C109" s="49"/>
      <x:c r="D109" s="49"/>
      <x:c r="E109" s="49"/>
      <x:c r="F109" s="49"/>
      <x:c r="G109" s="49"/>
      <x:c r="H109" s="49"/>
      <x:c r="I109" s="49"/>
      <x:c r="J109" s="49"/>
      <x:c r="K109" s="49"/>
      <x:c r="L109" s="49"/>
      <x:c r="M109" s="49"/>
      <x:c r="N109" s="49"/>
      <x:c r="O109" s="49"/>
      <x:c r="P109" s="49"/>
      <x:c r="Q109" s="49"/>
      <x:c r="R109" s="49"/>
      <x:c r="S109" s="49"/>
      <x:c r="T109" s="49"/>
      <x:c r="U109" s="49"/>
      <x:c r="V109" s="49"/>
      <x:c r="W109" s="49"/>
      <x:c r="X109" s="49"/>
      <x:c r="Y109" s="49"/>
      <x:c r="Z109" s="49"/>
      <x:c r="AA109" s="49"/>
      <x:c r="AB109" s="49"/>
      <x:c r="AC109" s="49"/>
      <x:c r="AD109" s="49"/>
      <x:c r="AE109" s="49"/>
      <x:c r="AF109" s="49"/>
      <x:c r="AG109" s="49"/>
      <x:c r="AH109" s="49"/>
      <x:c r="AI109" s="49"/>
      <x:c r="AJ109" s="49"/>
      <x:c r="AK109" s="49"/>
      <x:c r="AL109" s="49"/>
      <x:c r="AM109" s="49"/>
      <x:c r="AN109" s="49"/>
      <x:c r="AO109" s="49"/>
      <x:c r="AP109" s="49"/>
      <x:c r="AQ109" s="49"/>
      <x:c r="AR109" s="49"/>
      <x:c r="AS109" s="49"/>
      <x:c r="AT109" s="49"/>
      <x:c r="AU109" s="49"/>
      <x:c r="AV109" s="49"/>
      <x:c r="AW109" s="49"/>
      <x:c r="AX109" s="49"/>
      <x:c r="AY109" s="49"/>
      <x:c r="AZ109" s="49"/>
    </x:row>
    <x:row r="110">
      <x:c r="A110" s="49"/>
      <x:c r="B110" s="49"/>
      <x:c r="C110" s="49"/>
      <x:c r="D110" s="49"/>
      <x:c r="E110" s="49"/>
      <x:c r="F110" s="49"/>
      <x:c r="G110" s="49"/>
      <x:c r="H110" s="49"/>
      <x:c r="I110" s="49"/>
      <x:c r="J110" s="49"/>
      <x:c r="K110" s="49"/>
      <x:c r="L110" s="49"/>
      <x:c r="M110" s="49"/>
      <x:c r="N110" s="49"/>
      <x:c r="O110" s="49"/>
      <x:c r="P110" s="49"/>
      <x:c r="Q110" s="49"/>
      <x:c r="R110" s="49"/>
      <x:c r="S110" s="49"/>
      <x:c r="T110" s="49"/>
      <x:c r="U110" s="49"/>
      <x:c r="V110" s="49"/>
      <x:c r="W110" s="49"/>
      <x:c r="X110" s="49"/>
      <x:c r="Y110" s="49"/>
      <x:c r="Z110" s="49"/>
      <x:c r="AA110" s="49"/>
      <x:c r="AB110" s="49"/>
      <x:c r="AC110" s="49"/>
      <x:c r="AD110" s="49"/>
      <x:c r="AE110" s="49"/>
      <x:c r="AF110" s="49"/>
      <x:c r="AG110" s="49"/>
      <x:c r="AH110" s="49"/>
      <x:c r="AI110" s="49"/>
      <x:c r="AJ110" s="49"/>
      <x:c r="AK110" s="49"/>
      <x:c r="AL110" s="49"/>
      <x:c r="AM110" s="49"/>
      <x:c r="AN110" s="49"/>
      <x:c r="AO110" s="49"/>
      <x:c r="AP110" s="49"/>
      <x:c r="AQ110" s="49"/>
      <x:c r="AR110" s="49"/>
      <x:c r="AS110" s="49"/>
      <x:c r="AT110" s="49"/>
      <x:c r="AU110" s="49"/>
      <x:c r="AV110" s="49"/>
      <x:c r="AW110" s="49"/>
      <x:c r="AX110" s="49"/>
      <x:c r="AY110" s="49"/>
      <x:c r="AZ110" s="49"/>
    </x:row>
    <x:row r="111">
      <x:c r="A111" s="49"/>
      <x:c r="B111" s="49"/>
      <x:c r="C111" s="49"/>
      <x:c r="D111" s="49"/>
      <x:c r="E111" s="49"/>
      <x:c r="F111" s="49"/>
      <x:c r="G111" s="49"/>
      <x:c r="H111" s="49"/>
      <x:c r="I111" s="49"/>
      <x:c r="J111" s="49"/>
      <x:c r="K111" s="49"/>
      <x:c r="L111" s="49"/>
      <x:c r="M111" s="49"/>
      <x:c r="N111" s="49"/>
      <x:c r="O111" s="49"/>
      <x:c r="P111" s="49"/>
      <x:c r="Q111" s="49"/>
      <x:c r="R111" s="49"/>
      <x:c r="S111" s="49"/>
      <x:c r="T111" s="49"/>
      <x:c r="U111" s="49"/>
      <x:c r="V111" s="49"/>
      <x:c r="W111" s="49"/>
      <x:c r="X111" s="49"/>
      <x:c r="Y111" s="49"/>
      <x:c r="Z111" s="49"/>
      <x:c r="AA111" s="49"/>
      <x:c r="AB111" s="49"/>
      <x:c r="AC111" s="49"/>
      <x:c r="AD111" s="49"/>
      <x:c r="AE111" s="49"/>
      <x:c r="AF111" s="49"/>
      <x:c r="AG111" s="49"/>
      <x:c r="AH111" s="49"/>
      <x:c r="AI111" s="49"/>
      <x:c r="AJ111" s="49"/>
      <x:c r="AK111" s="49"/>
      <x:c r="AL111" s="49"/>
      <x:c r="AM111" s="49"/>
      <x:c r="AN111" s="49"/>
      <x:c r="AO111" s="49"/>
      <x:c r="AP111" s="49"/>
      <x:c r="AQ111" s="49"/>
      <x:c r="AR111" s="49"/>
      <x:c r="AS111" s="49"/>
      <x:c r="AT111" s="49"/>
      <x:c r="AU111" s="49"/>
      <x:c r="AV111" s="49"/>
      <x:c r="AW111" s="49"/>
      <x:c r="AX111" s="49"/>
      <x:c r="AY111" s="49"/>
      <x:c r="AZ111" s="49"/>
    </x:row>
    <x:row r="112">
      <x:c r="A112" s="49"/>
      <x:c r="B112" s="49"/>
      <x:c r="C112" s="49"/>
      <x:c r="D112" s="49"/>
      <x:c r="E112" s="49"/>
      <x:c r="F112" s="49"/>
      <x:c r="G112" s="49"/>
      <x:c r="H112" s="49"/>
      <x:c r="I112" s="49"/>
      <x:c r="J112" s="49"/>
      <x:c r="K112" s="49"/>
      <x:c r="L112" s="49"/>
      <x:c r="M112" s="49"/>
      <x:c r="N112" s="49"/>
      <x:c r="O112" s="49"/>
      <x:c r="P112" s="49"/>
      <x:c r="Q112" s="49"/>
      <x:c r="R112" s="49"/>
      <x:c r="S112" s="49"/>
      <x:c r="T112" s="49"/>
      <x:c r="U112" s="49"/>
      <x:c r="V112" s="49"/>
      <x:c r="W112" s="49"/>
      <x:c r="X112" s="49"/>
      <x:c r="Y112" s="49"/>
      <x:c r="Z112" s="49"/>
      <x:c r="AA112" s="49"/>
      <x:c r="AB112" s="49"/>
      <x:c r="AC112" s="49"/>
      <x:c r="AD112" s="49"/>
      <x:c r="AE112" s="49"/>
      <x:c r="AF112" s="49"/>
      <x:c r="AG112" s="49"/>
      <x:c r="AH112" s="49"/>
      <x:c r="AI112" s="49"/>
      <x:c r="AJ112" s="49"/>
      <x:c r="AK112" s="49"/>
      <x:c r="AL112" s="49"/>
      <x:c r="AM112" s="49"/>
      <x:c r="AN112" s="49"/>
      <x:c r="AO112" s="49"/>
      <x:c r="AP112" s="49"/>
      <x:c r="AQ112" s="49"/>
      <x:c r="AR112" s="49"/>
      <x:c r="AS112" s="49"/>
      <x:c r="AT112" s="49"/>
      <x:c r="AU112" s="49"/>
      <x:c r="AV112" s="49"/>
      <x:c r="AW112" s="49"/>
      <x:c r="AX112" s="49"/>
      <x:c r="AY112" s="49"/>
      <x:c r="AZ112" s="49"/>
    </x:row>
    <x:row r="113">
      <x:c r="A113" s="49"/>
      <x:c r="B113" s="49"/>
      <x:c r="C113" s="49"/>
      <x:c r="D113" s="49"/>
      <x:c r="E113" s="49"/>
      <x:c r="F113" s="49"/>
      <x:c r="G113" s="49"/>
      <x:c r="H113" s="49"/>
      <x:c r="I113" s="49"/>
      <x:c r="J113" s="49"/>
      <x:c r="K113" s="49"/>
      <x:c r="L113" s="49"/>
      <x:c r="M113" s="49"/>
      <x:c r="N113" s="49"/>
      <x:c r="O113" s="49"/>
      <x:c r="P113" s="49"/>
      <x:c r="Q113" s="49"/>
      <x:c r="R113" s="49"/>
      <x:c r="S113" s="49"/>
      <x:c r="T113" s="49"/>
      <x:c r="U113" s="49"/>
      <x:c r="V113" s="49"/>
      <x:c r="W113" s="49"/>
      <x:c r="X113" s="49"/>
      <x:c r="Y113" s="49"/>
      <x:c r="Z113" s="49"/>
      <x:c r="AA113" s="49"/>
      <x:c r="AB113" s="49"/>
      <x:c r="AC113" s="49"/>
      <x:c r="AD113" s="49"/>
      <x:c r="AE113" s="49"/>
      <x:c r="AF113" s="49"/>
      <x:c r="AG113" s="49"/>
      <x:c r="AH113" s="49"/>
      <x:c r="AI113" s="49"/>
      <x:c r="AJ113" s="49"/>
      <x:c r="AK113" s="49"/>
      <x:c r="AL113" s="49"/>
      <x:c r="AM113" s="49"/>
      <x:c r="AN113" s="49"/>
      <x:c r="AO113" s="49"/>
      <x:c r="AP113" s="49"/>
      <x:c r="AQ113" s="49"/>
      <x:c r="AR113" s="49"/>
      <x:c r="AS113" s="49"/>
      <x:c r="AT113" s="49"/>
      <x:c r="AU113" s="49"/>
      <x:c r="AV113" s="49"/>
      <x:c r="AW113" s="49"/>
      <x:c r="AX113" s="49"/>
      <x:c r="AY113" s="49"/>
      <x:c r="AZ113" s="49"/>
    </x:row>
    <x:row r="114">
      <x:c r="A114" s="49"/>
      <x:c r="B114" s="49"/>
      <x:c r="C114" s="49"/>
      <x:c r="D114" s="49"/>
      <x:c r="E114" s="49"/>
      <x:c r="F114" s="49"/>
      <x:c r="G114" s="49"/>
      <x:c r="H114" s="49"/>
      <x:c r="I114" s="49"/>
      <x:c r="J114" s="49"/>
      <x:c r="K114" s="49"/>
      <x:c r="L114" s="49"/>
      <x:c r="M114" s="49"/>
      <x:c r="N114" s="49"/>
      <x:c r="O114" s="49"/>
      <x:c r="P114" s="49"/>
      <x:c r="Q114" s="49"/>
      <x:c r="R114" s="49"/>
      <x:c r="S114" s="49"/>
      <x:c r="T114" s="49"/>
      <x:c r="U114" s="49"/>
      <x:c r="V114" s="49"/>
      <x:c r="W114" s="49"/>
      <x:c r="X114" s="49"/>
      <x:c r="Y114" s="49"/>
      <x:c r="Z114" s="49"/>
      <x:c r="AA114" s="49"/>
      <x:c r="AB114" s="49"/>
      <x:c r="AC114" s="49"/>
      <x:c r="AD114" s="49"/>
      <x:c r="AE114" s="49"/>
      <x:c r="AF114" s="49"/>
      <x:c r="AG114" s="49"/>
      <x:c r="AH114" s="49"/>
      <x:c r="AI114" s="49"/>
      <x:c r="AJ114" s="49"/>
      <x:c r="AK114" s="49"/>
      <x:c r="AL114" s="49"/>
      <x:c r="AM114" s="49"/>
      <x:c r="AN114" s="49"/>
      <x:c r="AO114" s="49"/>
      <x:c r="AP114" s="49"/>
      <x:c r="AQ114" s="49"/>
      <x:c r="AR114" s="49"/>
      <x:c r="AS114" s="49"/>
      <x:c r="AT114" s="49"/>
      <x:c r="AU114" s="49"/>
      <x:c r="AV114" s="49"/>
      <x:c r="AW114" s="49"/>
      <x:c r="AX114" s="49"/>
      <x:c r="AY114" s="49"/>
      <x:c r="AZ114" s="49"/>
    </x:row>
    <x:row r="115">
      <x:c r="A115" s="49"/>
      <x:c r="B115" s="49"/>
      <x:c r="C115" s="49"/>
      <x:c r="D115" s="49"/>
      <x:c r="E115" s="49"/>
      <x:c r="F115" s="49"/>
      <x:c r="G115" s="49"/>
      <x:c r="H115" s="49"/>
      <x:c r="I115" s="49"/>
      <x:c r="J115" s="49"/>
      <x:c r="K115" s="49"/>
      <x:c r="L115" s="49"/>
      <x:c r="M115" s="49"/>
      <x:c r="N115" s="49"/>
      <x:c r="O115" s="49"/>
      <x:c r="P115" s="49"/>
      <x:c r="Q115" s="49"/>
      <x:c r="R115" s="49"/>
      <x:c r="S115" s="49"/>
      <x:c r="T115" s="49"/>
      <x:c r="U115" s="49"/>
      <x:c r="V115" s="49"/>
      <x:c r="W115" s="49"/>
      <x:c r="X115" s="49"/>
      <x:c r="Y115" s="49"/>
      <x:c r="Z115" s="49"/>
      <x:c r="AA115" s="49"/>
      <x:c r="AB115" s="49"/>
      <x:c r="AC115" s="49"/>
      <x:c r="AD115" s="49"/>
      <x:c r="AE115" s="49"/>
      <x:c r="AF115" s="49"/>
      <x:c r="AG115" s="49"/>
      <x:c r="AH115" s="49"/>
      <x:c r="AI115" s="49"/>
      <x:c r="AJ115" s="49"/>
      <x:c r="AK115" s="49"/>
      <x:c r="AL115" s="49"/>
      <x:c r="AM115" s="49"/>
      <x:c r="AN115" s="49"/>
      <x:c r="AO115" s="49"/>
      <x:c r="AP115" s="49"/>
      <x:c r="AQ115" s="49"/>
      <x:c r="AR115" s="49"/>
      <x:c r="AS115" s="49"/>
      <x:c r="AT115" s="49"/>
      <x:c r="AU115" s="49"/>
      <x:c r="AV115" s="49"/>
      <x:c r="AW115" s="49"/>
      <x:c r="AX115" s="49"/>
      <x:c r="AY115" s="49"/>
      <x:c r="AZ115" s="49"/>
    </x:row>
    <x:row r="116">
      <x:c r="A116" s="49"/>
      <x:c r="B116" s="49"/>
      <x:c r="C116" s="49"/>
      <x:c r="D116" s="49"/>
      <x:c r="E116" s="49"/>
      <x:c r="F116" s="49"/>
      <x:c r="G116" s="49"/>
      <x:c r="H116" s="49"/>
      <x:c r="I116" s="49"/>
      <x:c r="J116" s="49"/>
      <x:c r="K116" s="49"/>
      <x:c r="L116" s="49"/>
      <x:c r="M116" s="49"/>
      <x:c r="N116" s="49"/>
      <x:c r="O116" s="49"/>
      <x:c r="P116" s="49"/>
      <x:c r="Q116" s="49"/>
      <x:c r="R116" s="49"/>
      <x:c r="S116" s="49"/>
      <x:c r="T116" s="49"/>
      <x:c r="U116" s="49"/>
      <x:c r="V116" s="49"/>
      <x:c r="W116" s="49"/>
      <x:c r="X116" s="49"/>
      <x:c r="Y116" s="49"/>
      <x:c r="Z116" s="49"/>
      <x:c r="AA116" s="49"/>
      <x:c r="AB116" s="49"/>
      <x:c r="AC116" s="49"/>
      <x:c r="AD116" s="49"/>
      <x:c r="AE116" s="49"/>
      <x:c r="AF116" s="49"/>
      <x:c r="AG116" s="49"/>
      <x:c r="AH116" s="49"/>
      <x:c r="AI116" s="49"/>
      <x:c r="AJ116" s="49"/>
      <x:c r="AK116" s="49"/>
      <x:c r="AL116" s="49"/>
      <x:c r="AM116" s="49"/>
      <x:c r="AN116" s="49"/>
      <x:c r="AO116" s="49"/>
      <x:c r="AP116" s="49"/>
      <x:c r="AQ116" s="49"/>
      <x:c r="AR116" s="49"/>
      <x:c r="AS116" s="49"/>
      <x:c r="AT116" s="49"/>
      <x:c r="AU116" s="49"/>
      <x:c r="AV116" s="49"/>
      <x:c r="AW116" s="49"/>
      <x:c r="AX116" s="49"/>
      <x:c r="AY116" s="49"/>
      <x:c r="AZ116" s="49"/>
    </x:row>
    <x:row r="117">
      <x:c r="A117" s="49"/>
      <x:c r="B117" s="49"/>
      <x:c r="C117" s="49"/>
      <x:c r="D117" s="49"/>
      <x:c r="E117" s="49"/>
      <x:c r="F117" s="49"/>
      <x:c r="G117" s="49"/>
      <x:c r="H117" s="49"/>
      <x:c r="I117" s="49"/>
      <x:c r="J117" s="49"/>
      <x:c r="K117" s="49"/>
      <x:c r="L117" s="49"/>
      <x:c r="M117" s="49"/>
      <x:c r="N117" s="49"/>
      <x:c r="O117" s="49"/>
      <x:c r="P117" s="49"/>
      <x:c r="Q117" s="49"/>
      <x:c r="R117" s="49"/>
      <x:c r="S117" s="49"/>
      <x:c r="T117" s="49"/>
      <x:c r="U117" s="49"/>
      <x:c r="V117" s="49"/>
      <x:c r="W117" s="49"/>
      <x:c r="X117" s="49"/>
      <x:c r="Y117" s="49"/>
      <x:c r="Z117" s="49"/>
      <x:c r="AA117" s="49"/>
      <x:c r="AB117" s="49"/>
      <x:c r="AC117" s="49"/>
      <x:c r="AD117" s="49"/>
      <x:c r="AE117" s="49"/>
      <x:c r="AF117" s="49"/>
      <x:c r="AG117" s="49"/>
      <x:c r="AH117" s="49"/>
      <x:c r="AI117" s="49"/>
      <x:c r="AJ117" s="49"/>
      <x:c r="AK117" s="49"/>
      <x:c r="AL117" s="49"/>
      <x:c r="AM117" s="49"/>
      <x:c r="AN117" s="49"/>
      <x:c r="AO117" s="49"/>
      <x:c r="AP117" s="49"/>
      <x:c r="AQ117" s="49"/>
      <x:c r="AR117" s="49"/>
      <x:c r="AS117" s="49"/>
      <x:c r="AT117" s="49"/>
      <x:c r="AU117" s="49"/>
      <x:c r="AV117" s="49"/>
      <x:c r="AW117" s="49"/>
      <x:c r="AX117" s="49"/>
      <x:c r="AY117" s="49"/>
      <x:c r="AZ117" s="49"/>
    </x:row>
    <x:row r="118">
      <x:c r="A118" s="49"/>
      <x:c r="B118" s="49"/>
      <x:c r="C118" s="49"/>
      <x:c r="D118" s="49"/>
      <x:c r="E118" s="49"/>
      <x:c r="F118" s="49"/>
      <x:c r="G118" s="49"/>
      <x:c r="H118" s="49"/>
      <x:c r="I118" s="49"/>
      <x:c r="J118" s="49"/>
      <x:c r="K118" s="49"/>
      <x:c r="L118" s="49"/>
      <x:c r="M118" s="49"/>
      <x:c r="N118" s="49"/>
      <x:c r="O118" s="49"/>
      <x:c r="P118" s="49"/>
      <x:c r="Q118" s="49"/>
      <x:c r="R118" s="49"/>
      <x:c r="S118" s="49"/>
      <x:c r="T118" s="49"/>
      <x:c r="U118" s="49"/>
      <x:c r="V118" s="49"/>
      <x:c r="W118" s="49"/>
      <x:c r="X118" s="49"/>
      <x:c r="Y118" s="49"/>
      <x:c r="Z118" s="49"/>
      <x:c r="AA118" s="49"/>
      <x:c r="AB118" s="49"/>
      <x:c r="AC118" s="49"/>
      <x:c r="AD118" s="49"/>
      <x:c r="AE118" s="49"/>
      <x:c r="AF118" s="49"/>
      <x:c r="AG118" s="49"/>
      <x:c r="AH118" s="49"/>
      <x:c r="AI118" s="49"/>
      <x:c r="AJ118" s="49"/>
      <x:c r="AK118" s="49"/>
      <x:c r="AL118" s="49"/>
      <x:c r="AM118" s="49"/>
      <x:c r="AN118" s="49"/>
      <x:c r="AO118" s="49"/>
      <x:c r="AP118" s="49"/>
      <x:c r="AQ118" s="49"/>
      <x:c r="AR118" s="49"/>
      <x:c r="AS118" s="49"/>
      <x:c r="AT118" s="49"/>
      <x:c r="AU118" s="49"/>
      <x:c r="AV118" s="49"/>
      <x:c r="AW118" s="49"/>
      <x:c r="AX118" s="49"/>
      <x:c r="AY118" s="49"/>
      <x:c r="AZ118" s="49"/>
    </x:row>
    <x:row r="119">
      <x:c r="A119" s="49"/>
      <x:c r="B119" s="49"/>
      <x:c r="C119" s="49"/>
      <x:c r="D119" s="49"/>
      <x:c r="E119" s="49"/>
      <x:c r="F119" s="49"/>
      <x:c r="G119" s="49"/>
      <x:c r="H119" s="49"/>
      <x:c r="I119" s="49"/>
      <x:c r="J119" s="49"/>
      <x:c r="K119" s="49"/>
      <x:c r="L119" s="49"/>
      <x:c r="M119" s="49"/>
      <x:c r="N119" s="49"/>
      <x:c r="O119" s="49"/>
      <x:c r="P119" s="49"/>
      <x:c r="Q119" s="49"/>
      <x:c r="R119" s="49"/>
      <x:c r="S119" s="49"/>
      <x:c r="T119" s="49"/>
      <x:c r="U119" s="49"/>
      <x:c r="V119" s="49"/>
      <x:c r="W119" s="49"/>
      <x:c r="X119" s="49"/>
      <x:c r="Y119" s="49"/>
      <x:c r="Z119" s="49"/>
      <x:c r="AA119" s="49"/>
      <x:c r="AB119" s="49"/>
      <x:c r="AC119" s="49"/>
      <x:c r="AD119" s="49"/>
      <x:c r="AE119" s="49"/>
      <x:c r="AF119" s="49"/>
      <x:c r="AG119" s="49"/>
      <x:c r="AH119" s="49"/>
      <x:c r="AI119" s="49"/>
      <x:c r="AJ119" s="49"/>
      <x:c r="AK119" s="49"/>
      <x:c r="AL119" s="49"/>
      <x:c r="AM119" s="49"/>
      <x:c r="AN119" s="49"/>
      <x:c r="AO119" s="49"/>
      <x:c r="AP119" s="49"/>
      <x:c r="AQ119" s="49"/>
      <x:c r="AR119" s="49"/>
      <x:c r="AS119" s="49"/>
      <x:c r="AT119" s="49"/>
      <x:c r="AU119" s="49"/>
      <x:c r="AV119" s="49"/>
      <x:c r="AW119" s="49"/>
      <x:c r="AX119" s="49"/>
      <x:c r="AY119" s="49"/>
      <x:c r="AZ119" s="49"/>
    </x:row>
    <x:row r="120">
      <x:c r="A120" s="49"/>
      <x:c r="B120" s="49"/>
      <x:c r="C120" s="49"/>
      <x:c r="D120" s="49"/>
      <x:c r="E120" s="49"/>
      <x:c r="F120" s="49"/>
      <x:c r="G120" s="49"/>
      <x:c r="H120" s="49"/>
      <x:c r="I120" s="49"/>
      <x:c r="J120" s="49"/>
      <x:c r="K120" s="49"/>
      <x:c r="L120" s="49"/>
      <x:c r="M120" s="49"/>
      <x:c r="N120" s="49"/>
      <x:c r="O120" s="49"/>
      <x:c r="P120" s="49"/>
      <x:c r="Q120" s="49"/>
      <x:c r="R120" s="49"/>
      <x:c r="S120" s="49"/>
      <x:c r="T120" s="49"/>
      <x:c r="U120" s="49"/>
      <x:c r="V120" s="49"/>
      <x:c r="W120" s="49"/>
      <x:c r="X120" s="49"/>
      <x:c r="Y120" s="49"/>
      <x:c r="Z120" s="49"/>
      <x:c r="AA120" s="49"/>
      <x:c r="AB120" s="49"/>
      <x:c r="AC120" s="49"/>
      <x:c r="AD120" s="49"/>
      <x:c r="AE120" s="49"/>
      <x:c r="AF120" s="49"/>
      <x:c r="AG120" s="49"/>
      <x:c r="AH120" s="49"/>
      <x:c r="AI120" s="49"/>
      <x:c r="AJ120" s="49"/>
      <x:c r="AK120" s="49"/>
      <x:c r="AL120" s="49"/>
      <x:c r="AM120" s="49"/>
      <x:c r="AN120" s="49"/>
      <x:c r="AO120" s="49"/>
      <x:c r="AP120" s="49"/>
      <x:c r="AQ120" s="49"/>
      <x:c r="AR120" s="49"/>
      <x:c r="AS120" s="49"/>
      <x:c r="AT120" s="49"/>
      <x:c r="AU120" s="49"/>
      <x:c r="AV120" s="49"/>
      <x:c r="AW120" s="49"/>
      <x:c r="AX120" s="49"/>
      <x:c r="AY120" s="49"/>
      <x:c r="AZ120" s="49"/>
    </x:row>
    <x:row r="121">
      <x:c r="A121" s="49"/>
      <x:c r="B121" s="49"/>
      <x:c r="C121" s="49"/>
      <x:c r="D121" s="49"/>
      <x:c r="E121" s="49"/>
      <x:c r="F121" s="49"/>
      <x:c r="G121" s="49"/>
      <x:c r="H121" s="49"/>
      <x:c r="I121" s="49"/>
      <x:c r="J121" s="49"/>
      <x:c r="K121" s="49"/>
      <x:c r="L121" s="49"/>
      <x:c r="M121" s="49"/>
      <x:c r="N121" s="49"/>
      <x:c r="O121" s="49"/>
      <x:c r="P121" s="49"/>
      <x:c r="Q121" s="49"/>
      <x:c r="R121" s="49"/>
      <x:c r="S121" s="49"/>
      <x:c r="T121" s="49"/>
      <x:c r="U121" s="49"/>
      <x:c r="V121" s="49"/>
      <x:c r="W121" s="49"/>
      <x:c r="X121" s="49"/>
      <x:c r="Y121" s="49"/>
      <x:c r="Z121" s="49"/>
      <x:c r="AA121" s="49"/>
      <x:c r="AB121" s="49"/>
      <x:c r="AC121" s="49"/>
      <x:c r="AD121" s="49"/>
      <x:c r="AE121" s="49"/>
      <x:c r="AF121" s="49"/>
      <x:c r="AG121" s="49"/>
      <x:c r="AH121" s="49"/>
      <x:c r="AI121" s="49"/>
      <x:c r="AJ121" s="49"/>
      <x:c r="AK121" s="49"/>
      <x:c r="AL121" s="49"/>
      <x:c r="AM121" s="49"/>
      <x:c r="AN121" s="49"/>
      <x:c r="AO121" s="49"/>
      <x:c r="AP121" s="49"/>
      <x:c r="AQ121" s="49"/>
      <x:c r="AR121" s="49"/>
      <x:c r="AS121" s="49"/>
      <x:c r="AT121" s="49"/>
      <x:c r="AU121" s="49"/>
      <x:c r="AV121" s="49"/>
      <x:c r="AW121" s="49"/>
      <x:c r="AX121" s="49"/>
      <x:c r="AY121" s="49"/>
      <x:c r="AZ121" s="49"/>
    </x:row>
    <x:row r="122">
      <x:c r="A122" s="49"/>
      <x:c r="B122" s="49"/>
      <x:c r="C122" s="49"/>
      <x:c r="D122" s="49"/>
      <x:c r="E122" s="49"/>
      <x:c r="F122" s="49"/>
      <x:c r="G122" s="49"/>
      <x:c r="H122" s="49"/>
      <x:c r="I122" s="49"/>
      <x:c r="J122" s="49"/>
      <x:c r="K122" s="49"/>
      <x:c r="L122" s="49"/>
      <x:c r="M122" s="49"/>
      <x:c r="N122" s="49"/>
      <x:c r="O122" s="49"/>
      <x:c r="P122" s="49"/>
      <x:c r="Q122" s="49"/>
      <x:c r="R122" s="49"/>
      <x:c r="S122" s="49"/>
      <x:c r="T122" s="49"/>
      <x:c r="U122" s="49"/>
      <x:c r="V122" s="49"/>
      <x:c r="W122" s="49"/>
      <x:c r="X122" s="49"/>
      <x:c r="Y122" s="49"/>
      <x:c r="Z122" s="49"/>
      <x:c r="AA122" s="49"/>
      <x:c r="AB122" s="49"/>
      <x:c r="AC122" s="49"/>
      <x:c r="AD122" s="49"/>
      <x:c r="AE122" s="49"/>
      <x:c r="AF122" s="49"/>
      <x:c r="AG122" s="49"/>
      <x:c r="AH122" s="49"/>
      <x:c r="AI122" s="49"/>
      <x:c r="AJ122" s="49"/>
      <x:c r="AK122" s="49"/>
      <x:c r="AL122" s="49"/>
      <x:c r="AM122" s="49"/>
      <x:c r="AN122" s="49"/>
      <x:c r="AO122" s="49"/>
      <x:c r="AP122" s="49"/>
      <x:c r="AQ122" s="49"/>
      <x:c r="AR122" s="49"/>
      <x:c r="AS122" s="49"/>
      <x:c r="AT122" s="49"/>
      <x:c r="AU122" s="49"/>
      <x:c r="AV122" s="49"/>
      <x:c r="AW122" s="49"/>
      <x:c r="AX122" s="49"/>
      <x:c r="AY122" s="49"/>
      <x:c r="AZ122" s="49"/>
    </x:row>
    <x:row r="123">
      <x:c r="A123" s="49"/>
      <x:c r="B123" s="49"/>
      <x:c r="C123" s="49"/>
      <x:c r="D123" s="49"/>
      <x:c r="E123" s="49"/>
      <x:c r="F123" s="49"/>
      <x:c r="G123" s="49"/>
      <x:c r="H123" s="49"/>
      <x:c r="I123" s="49"/>
      <x:c r="J123" s="49"/>
      <x:c r="K123" s="49"/>
      <x:c r="L123" s="49"/>
      <x:c r="M123" s="49"/>
      <x:c r="N123" s="49"/>
      <x:c r="O123" s="49"/>
      <x:c r="P123" s="49"/>
      <x:c r="Q123" s="49"/>
      <x:c r="R123" s="49"/>
      <x:c r="S123" s="49"/>
      <x:c r="T123" s="49"/>
      <x:c r="U123" s="49"/>
      <x:c r="V123" s="49"/>
      <x:c r="W123" s="49"/>
      <x:c r="X123" s="49"/>
      <x:c r="Y123" s="49"/>
      <x:c r="Z123" s="49"/>
      <x:c r="AA123" s="49"/>
      <x:c r="AB123" s="49"/>
      <x:c r="AC123" s="49"/>
      <x:c r="AD123" s="49"/>
      <x:c r="AE123" s="49"/>
      <x:c r="AF123" s="49"/>
      <x:c r="AG123" s="49"/>
      <x:c r="AH123" s="49"/>
      <x:c r="AI123" s="49"/>
      <x:c r="AJ123" s="49"/>
      <x:c r="AK123" s="49"/>
      <x:c r="AL123" s="49"/>
      <x:c r="AM123" s="49"/>
      <x:c r="AN123" s="49"/>
      <x:c r="AO123" s="49"/>
      <x:c r="AP123" s="49"/>
      <x:c r="AQ123" s="49"/>
      <x:c r="AR123" s="49"/>
      <x:c r="AS123" s="49"/>
      <x:c r="AT123" s="49"/>
      <x:c r="AU123" s="49"/>
      <x:c r="AV123" s="49"/>
      <x:c r="AW123" s="49"/>
      <x:c r="AX123" s="49"/>
      <x:c r="AY123" s="49"/>
      <x:c r="AZ123" s="49"/>
    </x:row>
    <x:row r="124">
      <x:c r="A124" s="49"/>
      <x:c r="B124" s="49"/>
      <x:c r="C124" s="49"/>
      <x:c r="D124" s="49"/>
      <x:c r="E124" s="49"/>
      <x:c r="F124" s="49"/>
      <x:c r="G124" s="49"/>
      <x:c r="H124" s="49"/>
      <x:c r="I124" s="49"/>
      <x:c r="J124" s="49"/>
      <x:c r="K124" s="49"/>
      <x:c r="L124" s="49"/>
      <x:c r="M124" s="49"/>
      <x:c r="N124" s="49"/>
      <x:c r="O124" s="49"/>
      <x:c r="P124" s="49"/>
      <x:c r="Q124" s="49"/>
      <x:c r="R124" s="49"/>
      <x:c r="S124" s="49"/>
      <x:c r="T124" s="49"/>
      <x:c r="U124" s="49"/>
      <x:c r="V124" s="49"/>
      <x:c r="W124" s="49"/>
      <x:c r="X124" s="49"/>
      <x:c r="Y124" s="49"/>
      <x:c r="Z124" s="49"/>
      <x:c r="AA124" s="49"/>
      <x:c r="AB124" s="49"/>
      <x:c r="AC124" s="49"/>
      <x:c r="AD124" s="49"/>
      <x:c r="AE124" s="49"/>
      <x:c r="AF124" s="49"/>
      <x:c r="AG124" s="49"/>
      <x:c r="AH124" s="49"/>
      <x:c r="AI124" s="49"/>
      <x:c r="AJ124" s="49"/>
      <x:c r="AK124" s="49"/>
      <x:c r="AL124" s="49"/>
      <x:c r="AM124" s="49"/>
      <x:c r="AN124" s="49"/>
      <x:c r="AO124" s="49"/>
      <x:c r="AP124" s="49"/>
      <x:c r="AQ124" s="49"/>
      <x:c r="AR124" s="49"/>
      <x:c r="AS124" s="49"/>
      <x:c r="AT124" s="49"/>
      <x:c r="AU124" s="49"/>
      <x:c r="AV124" s="49"/>
      <x:c r="AW124" s="49"/>
      <x:c r="AX124" s="49"/>
      <x:c r="AY124" s="49"/>
      <x:c r="AZ124" s="49"/>
    </x:row>
    <x:row r="125">
      <x:c r="A125" s="49"/>
      <x:c r="B125" s="49"/>
      <x:c r="C125" s="49"/>
      <x:c r="D125" s="49"/>
      <x:c r="E125" s="49"/>
      <x:c r="F125" s="49"/>
      <x:c r="G125" s="49"/>
      <x:c r="H125" s="49"/>
      <x:c r="I125" s="49"/>
      <x:c r="J125" s="49"/>
      <x:c r="K125" s="49"/>
      <x:c r="L125" s="49"/>
      <x:c r="M125" s="49"/>
      <x:c r="N125" s="49"/>
      <x:c r="O125" s="49"/>
      <x:c r="P125" s="49"/>
      <x:c r="Q125" s="49"/>
      <x:c r="R125" s="49"/>
      <x:c r="S125" s="49"/>
      <x:c r="T125" s="49"/>
      <x:c r="U125" s="49"/>
      <x:c r="V125" s="49"/>
      <x:c r="W125" s="49"/>
      <x:c r="X125" s="49"/>
      <x:c r="Y125" s="49"/>
      <x:c r="Z125" s="49"/>
      <x:c r="AA125" s="49"/>
      <x:c r="AB125" s="49"/>
      <x:c r="AC125" s="49"/>
      <x:c r="AD125" s="49"/>
      <x:c r="AE125" s="49"/>
      <x:c r="AF125" s="49"/>
      <x:c r="AG125" s="49"/>
      <x:c r="AH125" s="49"/>
      <x:c r="AI125" s="49"/>
      <x:c r="AJ125" s="49"/>
      <x:c r="AK125" s="49"/>
      <x:c r="AL125" s="49"/>
      <x:c r="AM125" s="49"/>
      <x:c r="AN125" s="49"/>
      <x:c r="AO125" s="49"/>
      <x:c r="AP125" s="49"/>
      <x:c r="AQ125" s="49"/>
      <x:c r="AR125" s="49"/>
      <x:c r="AS125" s="49"/>
      <x:c r="AT125" s="49"/>
      <x:c r="AU125" s="49"/>
      <x:c r="AV125" s="49"/>
      <x:c r="AW125" s="49"/>
      <x:c r="AX125" s="49"/>
      <x:c r="AY125" s="49"/>
      <x:c r="AZ125" s="49"/>
    </x:row>
    <x:row r="126">
      <x:c r="A126" s="49"/>
      <x:c r="B126" s="49"/>
      <x:c r="C126" s="49"/>
      <x:c r="D126" s="49"/>
      <x:c r="E126" s="49"/>
      <x:c r="F126" s="49"/>
      <x:c r="G126" s="49"/>
      <x:c r="H126" s="49"/>
      <x:c r="I126" s="49"/>
      <x:c r="J126" s="49"/>
      <x:c r="K126" s="49"/>
      <x:c r="L126" s="49"/>
      <x:c r="M126" s="49"/>
      <x:c r="N126" s="49"/>
      <x:c r="O126" s="49"/>
      <x:c r="P126" s="49"/>
      <x:c r="Q126" s="49"/>
      <x:c r="R126" s="49"/>
      <x:c r="S126" s="49"/>
      <x:c r="T126" s="49"/>
      <x:c r="U126" s="49"/>
      <x:c r="V126" s="49"/>
      <x:c r="W126" s="49"/>
      <x:c r="X126" s="49"/>
      <x:c r="Y126" s="49"/>
      <x:c r="Z126" s="49"/>
      <x:c r="AA126" s="49"/>
      <x:c r="AB126" s="49"/>
      <x:c r="AC126" s="49"/>
      <x:c r="AD126" s="49"/>
      <x:c r="AE126" s="49"/>
      <x:c r="AF126" s="49"/>
      <x:c r="AG126" s="49"/>
      <x:c r="AH126" s="49"/>
      <x:c r="AI126" s="49"/>
      <x:c r="AJ126" s="49"/>
      <x:c r="AK126" s="49"/>
      <x:c r="AL126" s="49"/>
      <x:c r="AM126" s="49"/>
      <x:c r="AN126" s="49"/>
      <x:c r="AO126" s="49"/>
      <x:c r="AP126" s="49"/>
      <x:c r="AQ126" s="49"/>
      <x:c r="AR126" s="49"/>
      <x:c r="AS126" s="49"/>
      <x:c r="AT126" s="49"/>
      <x:c r="AU126" s="49"/>
      <x:c r="AV126" s="49"/>
      <x:c r="AW126" s="49"/>
      <x:c r="AX126" s="49"/>
      <x:c r="AY126" s="49"/>
      <x:c r="AZ126" s="49"/>
    </x:row>
    <x:row r="127">
      <x:c r="A127" s="49"/>
      <x:c r="B127" s="49"/>
      <x:c r="C127" s="49"/>
      <x:c r="D127" s="49"/>
      <x:c r="E127" s="49"/>
      <x:c r="F127" s="49"/>
      <x:c r="G127" s="49"/>
      <x:c r="H127" s="49"/>
      <x:c r="I127" s="49"/>
      <x:c r="J127" s="49"/>
      <x:c r="K127" s="49"/>
      <x:c r="L127" s="49"/>
      <x:c r="M127" s="49"/>
      <x:c r="N127" s="49"/>
      <x:c r="O127" s="49"/>
      <x:c r="P127" s="49"/>
      <x:c r="Q127" s="49"/>
      <x:c r="R127" s="49"/>
      <x:c r="S127" s="49"/>
      <x:c r="T127" s="49"/>
      <x:c r="U127" s="49"/>
      <x:c r="V127" s="49"/>
      <x:c r="W127" s="49"/>
      <x:c r="X127" s="49"/>
      <x:c r="Y127" s="49"/>
      <x:c r="Z127" s="49"/>
      <x:c r="AA127" s="49"/>
      <x:c r="AB127" s="49"/>
      <x:c r="AC127" s="49"/>
      <x:c r="AD127" s="49"/>
      <x:c r="AE127" s="49"/>
      <x:c r="AF127" s="49"/>
      <x:c r="AG127" s="49"/>
      <x:c r="AH127" s="49"/>
      <x:c r="AI127" s="49"/>
      <x:c r="AJ127" s="49"/>
      <x:c r="AK127" s="49"/>
      <x:c r="AL127" s="49"/>
      <x:c r="AM127" s="49"/>
      <x:c r="AN127" s="49"/>
      <x:c r="AO127" s="49"/>
      <x:c r="AP127" s="49"/>
      <x:c r="AQ127" s="49"/>
      <x:c r="AR127" s="49"/>
      <x:c r="AS127" s="49"/>
      <x:c r="AT127" s="49"/>
      <x:c r="AU127" s="49"/>
      <x:c r="AV127" s="49"/>
      <x:c r="AW127" s="49"/>
      <x:c r="AX127" s="49"/>
      <x:c r="AY127" s="49"/>
      <x:c r="AZ127" s="49"/>
    </x:row>
    <x:row r="128">
      <x:c r="A128" s="49"/>
      <x:c r="B128" s="49"/>
      <x:c r="C128" s="49"/>
      <x:c r="D128" s="49"/>
      <x:c r="E128" s="49"/>
      <x:c r="F128" s="49"/>
      <x:c r="G128" s="49"/>
      <x:c r="H128" s="49"/>
      <x:c r="I128" s="49"/>
      <x:c r="J128" s="49"/>
      <x:c r="K128" s="49"/>
      <x:c r="L128" s="49"/>
      <x:c r="M128" s="49"/>
      <x:c r="N128" s="49"/>
      <x:c r="O128" s="49"/>
      <x:c r="P128" s="49"/>
      <x:c r="Q128" s="49"/>
      <x:c r="R128" s="49"/>
      <x:c r="S128" s="49"/>
      <x:c r="T128" s="49"/>
      <x:c r="U128" s="49"/>
      <x:c r="V128" s="49"/>
      <x:c r="W128" s="49"/>
      <x:c r="X128" s="49"/>
      <x:c r="Y128" s="49"/>
      <x:c r="Z128" s="49"/>
      <x:c r="AA128" s="49"/>
      <x:c r="AB128" s="49"/>
      <x:c r="AC128" s="49"/>
      <x:c r="AD128" s="49"/>
      <x:c r="AE128" s="49"/>
      <x:c r="AF128" s="49"/>
      <x:c r="AG128" s="49"/>
      <x:c r="AH128" s="49"/>
      <x:c r="AI128" s="49"/>
      <x:c r="AJ128" s="49"/>
      <x:c r="AK128" s="49"/>
      <x:c r="AL128" s="49"/>
      <x:c r="AM128" s="49"/>
      <x:c r="AN128" s="49"/>
      <x:c r="AO128" s="49"/>
      <x:c r="AP128" s="49"/>
      <x:c r="AQ128" s="49"/>
      <x:c r="AR128" s="49"/>
      <x:c r="AS128" s="49"/>
      <x:c r="AT128" s="49"/>
      <x:c r="AU128" s="49"/>
      <x:c r="AV128" s="49"/>
      <x:c r="AW128" s="49"/>
      <x:c r="AX128" s="49"/>
      <x:c r="AY128" s="49"/>
      <x:c r="AZ128" s="49"/>
    </x:row>
    <x:row r="129">
      <x:c r="A129" s="49"/>
      <x:c r="B129" s="49"/>
      <x:c r="C129" s="49"/>
      <x:c r="D129" s="49"/>
      <x:c r="E129" s="49"/>
      <x:c r="F129" s="49"/>
      <x:c r="G129" s="49"/>
      <x:c r="H129" s="49"/>
      <x:c r="I129" s="49"/>
      <x:c r="J129" s="49"/>
      <x:c r="K129" s="49"/>
      <x:c r="L129" s="49"/>
      <x:c r="M129" s="49"/>
      <x:c r="N129" s="49"/>
      <x:c r="O129" s="49"/>
      <x:c r="P129" s="49"/>
      <x:c r="Q129" s="49"/>
      <x:c r="R129" s="49"/>
      <x:c r="S129" s="49"/>
      <x:c r="T129" s="49"/>
      <x:c r="U129" s="49"/>
      <x:c r="V129" s="49"/>
      <x:c r="W129" s="49"/>
      <x:c r="X129" s="49"/>
      <x:c r="Y129" s="49"/>
      <x:c r="Z129" s="49"/>
      <x:c r="AA129" s="49"/>
      <x:c r="AB129" s="49"/>
      <x:c r="AC129" s="49"/>
      <x:c r="AD129" s="49"/>
      <x:c r="AE129" s="49"/>
      <x:c r="AF129" s="49"/>
      <x:c r="AG129" s="49"/>
      <x:c r="AH129" s="49"/>
      <x:c r="AI129" s="49"/>
      <x:c r="AJ129" s="49"/>
      <x:c r="AK129" s="49"/>
      <x:c r="AL129" s="49"/>
      <x:c r="AM129" s="49"/>
      <x:c r="AN129" s="49"/>
      <x:c r="AO129" s="49"/>
      <x:c r="AP129" s="49"/>
      <x:c r="AQ129" s="49"/>
      <x:c r="AR129" s="49"/>
      <x:c r="AS129" s="49"/>
      <x:c r="AT129" s="49"/>
      <x:c r="AU129" s="49"/>
      <x:c r="AV129" s="49"/>
      <x:c r="AW129" s="49"/>
      <x:c r="AX129" s="49"/>
      <x:c r="AY129" s="49"/>
      <x:c r="AZ129" s="49"/>
    </x:row>
    <x:row r="130">
      <x:c r="A130" s="49"/>
      <x:c r="B130" s="49"/>
      <x:c r="C130" s="49"/>
      <x:c r="D130" s="49"/>
      <x:c r="E130" s="49"/>
      <x:c r="F130" s="49"/>
      <x:c r="G130" s="49"/>
      <x:c r="H130" s="49"/>
      <x:c r="I130" s="49"/>
      <x:c r="J130" s="49"/>
      <x:c r="K130" s="49"/>
      <x:c r="L130" s="49"/>
      <x:c r="M130" s="49"/>
      <x:c r="N130" s="49"/>
      <x:c r="O130" s="49"/>
      <x:c r="P130" s="49"/>
      <x:c r="Q130" s="49"/>
      <x:c r="R130" s="49"/>
      <x:c r="S130" s="49"/>
      <x:c r="T130" s="49"/>
      <x:c r="U130" s="49"/>
      <x:c r="V130" s="49"/>
      <x:c r="W130" s="49"/>
      <x:c r="X130" s="49"/>
      <x:c r="Y130" s="49"/>
      <x:c r="Z130" s="49"/>
      <x:c r="AA130" s="49"/>
      <x:c r="AB130" s="49"/>
      <x:c r="AC130" s="49"/>
      <x:c r="AD130" s="49"/>
      <x:c r="AE130" s="49"/>
      <x:c r="AF130" s="49"/>
      <x:c r="AG130" s="49"/>
      <x:c r="AH130" s="49"/>
      <x:c r="AI130" s="49"/>
      <x:c r="AJ130" s="49"/>
      <x:c r="AK130" s="49"/>
      <x:c r="AL130" s="49"/>
      <x:c r="AM130" s="49"/>
      <x:c r="AN130" s="49"/>
      <x:c r="AO130" s="49"/>
      <x:c r="AP130" s="49"/>
      <x:c r="AQ130" s="49"/>
      <x:c r="AR130" s="49"/>
      <x:c r="AS130" s="49"/>
      <x:c r="AT130" s="49"/>
      <x:c r="AU130" s="49"/>
      <x:c r="AV130" s="49"/>
      <x:c r="AW130" s="49"/>
      <x:c r="AX130" s="49"/>
      <x:c r="AY130" s="49"/>
      <x:c r="AZ130" s="49"/>
    </x:row>
    <x:row r="131">
      <x:c r="A131" s="49"/>
      <x:c r="B131" s="49"/>
      <x:c r="C131" s="49"/>
      <x:c r="D131" s="49"/>
      <x:c r="E131" s="49"/>
      <x:c r="F131" s="49"/>
      <x:c r="G131" s="49"/>
      <x:c r="H131" s="49"/>
      <x:c r="I131" s="49"/>
      <x:c r="J131" s="49"/>
      <x:c r="K131" s="49"/>
      <x:c r="L131" s="49"/>
      <x:c r="M131" s="49"/>
      <x:c r="N131" s="49"/>
      <x:c r="O131" s="49"/>
      <x:c r="P131" s="49"/>
      <x:c r="Q131" s="49"/>
      <x:c r="R131" s="49"/>
      <x:c r="S131" s="49"/>
      <x:c r="T131" s="49"/>
      <x:c r="U131" s="49"/>
      <x:c r="V131" s="49"/>
      <x:c r="W131" s="49"/>
      <x:c r="X131" s="49"/>
      <x:c r="Y131" s="49"/>
      <x:c r="Z131" s="49"/>
      <x:c r="AA131" s="49"/>
      <x:c r="AB131" s="49"/>
      <x:c r="AC131" s="49"/>
      <x:c r="AD131" s="49"/>
      <x:c r="AE131" s="49"/>
      <x:c r="AF131" s="49"/>
      <x:c r="AG131" s="49"/>
      <x:c r="AH131" s="49"/>
      <x:c r="AI131" s="49"/>
      <x:c r="AJ131" s="49"/>
      <x:c r="AK131" s="49"/>
      <x:c r="AL131" s="49"/>
      <x:c r="AM131" s="49"/>
      <x:c r="AN131" s="49"/>
      <x:c r="AO131" s="49"/>
      <x:c r="AP131" s="49"/>
      <x:c r="AQ131" s="49"/>
      <x:c r="AR131" s="49"/>
      <x:c r="AS131" s="49"/>
      <x:c r="AT131" s="49"/>
      <x:c r="AU131" s="49"/>
      <x:c r="AV131" s="49"/>
      <x:c r="AW131" s="49"/>
      <x:c r="AX131" s="49"/>
      <x:c r="AY131" s="49"/>
      <x:c r="AZ131" s="49"/>
    </x:row>
    <x:row r="132">
      <x:c r="A132" s="49"/>
      <x:c r="B132" s="49"/>
      <x:c r="C132" s="49"/>
      <x:c r="D132" s="49"/>
      <x:c r="E132" s="49"/>
      <x:c r="F132" s="49"/>
      <x:c r="G132" s="49"/>
      <x:c r="H132" s="49"/>
      <x:c r="I132" s="49"/>
      <x:c r="J132" s="49"/>
      <x:c r="K132" s="49"/>
      <x:c r="L132" s="49"/>
      <x:c r="M132" s="49"/>
      <x:c r="N132" s="49"/>
      <x:c r="O132" s="49"/>
      <x:c r="P132" s="49"/>
      <x:c r="Q132" s="49"/>
      <x:c r="R132" s="49"/>
      <x:c r="S132" s="49"/>
      <x:c r="T132" s="49"/>
      <x:c r="U132" s="49"/>
      <x:c r="V132" s="49"/>
      <x:c r="W132" s="49"/>
      <x:c r="X132" s="49"/>
      <x:c r="Y132" s="49"/>
      <x:c r="Z132" s="49"/>
      <x:c r="AA132" s="49"/>
      <x:c r="AB132" s="49"/>
      <x:c r="AC132" s="49"/>
      <x:c r="AD132" s="49"/>
      <x:c r="AE132" s="49"/>
      <x:c r="AF132" s="49"/>
      <x:c r="AG132" s="49"/>
      <x:c r="AH132" s="49"/>
      <x:c r="AI132" s="49"/>
      <x:c r="AJ132" s="49"/>
      <x:c r="AK132" s="49"/>
      <x:c r="AL132" s="49"/>
      <x:c r="AM132" s="49"/>
      <x:c r="AN132" s="49"/>
      <x:c r="AO132" s="49"/>
      <x:c r="AP132" s="49"/>
      <x:c r="AQ132" s="49"/>
      <x:c r="AR132" s="49"/>
      <x:c r="AS132" s="49"/>
      <x:c r="AT132" s="49"/>
      <x:c r="AU132" s="49"/>
      <x:c r="AV132" s="49"/>
      <x:c r="AW132" s="49"/>
      <x:c r="AX132" s="49"/>
      <x:c r="AY132" s="49"/>
      <x:c r="AZ132" s="49"/>
    </x:row>
    <x:row r="133">
      <x:c r="A133" s="49"/>
      <x:c r="B133" s="49"/>
      <x:c r="C133" s="49"/>
      <x:c r="D133" s="49"/>
      <x:c r="E133" s="49"/>
      <x:c r="F133" s="49"/>
      <x:c r="G133" s="49"/>
      <x:c r="H133" s="49"/>
      <x:c r="I133" s="49"/>
      <x:c r="J133" s="49"/>
      <x:c r="K133" s="49"/>
      <x:c r="L133" s="49"/>
      <x:c r="M133" s="49"/>
      <x:c r="N133" s="49"/>
      <x:c r="O133" s="49"/>
      <x:c r="P133" s="49"/>
      <x:c r="Q133" s="49"/>
      <x:c r="R133" s="49"/>
      <x:c r="S133" s="49"/>
      <x:c r="T133" s="49"/>
      <x:c r="U133" s="49"/>
      <x:c r="V133" s="49"/>
      <x:c r="W133" s="49"/>
      <x:c r="X133" s="49"/>
      <x:c r="Y133" s="49"/>
      <x:c r="Z133" s="49"/>
      <x:c r="AA133" s="49"/>
      <x:c r="AB133" s="49"/>
      <x:c r="AC133" s="49"/>
      <x:c r="AD133" s="49"/>
      <x:c r="AE133" s="49"/>
      <x:c r="AF133" s="49"/>
      <x:c r="AG133" s="49"/>
      <x:c r="AH133" s="49"/>
      <x:c r="AI133" s="49"/>
      <x:c r="AJ133" s="49"/>
      <x:c r="AK133" s="49"/>
      <x:c r="AL133" s="49"/>
      <x:c r="AM133" s="49"/>
      <x:c r="AN133" s="49"/>
      <x:c r="AO133" s="49"/>
      <x:c r="AP133" s="49"/>
      <x:c r="AQ133" s="49"/>
      <x:c r="AR133" s="49"/>
      <x:c r="AS133" s="49"/>
      <x:c r="AT133" s="49"/>
      <x:c r="AU133" s="49"/>
      <x:c r="AV133" s="49"/>
      <x:c r="AW133" s="49"/>
      <x:c r="AX133" s="49"/>
      <x:c r="AY133" s="49"/>
      <x:c r="AZ133" s="49"/>
    </x:row>
    <x:row r="134">
      <x:c r="A134" s="49"/>
      <x:c r="B134" s="49"/>
      <x:c r="C134" s="49"/>
      <x:c r="D134" s="49"/>
      <x:c r="E134" s="49"/>
      <x:c r="F134" s="49"/>
      <x:c r="G134" s="49"/>
      <x:c r="H134" s="49"/>
      <x:c r="I134" s="49"/>
      <x:c r="J134" s="49"/>
      <x:c r="K134" s="49"/>
      <x:c r="L134" s="49"/>
      <x:c r="M134" s="49"/>
      <x:c r="N134" s="49"/>
      <x:c r="O134" s="49"/>
      <x:c r="P134" s="49"/>
      <x:c r="Q134" s="49"/>
      <x:c r="R134" s="49"/>
      <x:c r="S134" s="49"/>
      <x:c r="T134" s="49"/>
      <x:c r="U134" s="49"/>
      <x:c r="V134" s="49"/>
      <x:c r="W134" s="49"/>
      <x:c r="X134" s="49"/>
      <x:c r="Y134" s="49"/>
      <x:c r="Z134" s="49"/>
      <x:c r="AA134" s="49"/>
      <x:c r="AB134" s="49"/>
      <x:c r="AC134" s="49"/>
      <x:c r="AD134" s="49"/>
      <x:c r="AE134" s="49"/>
      <x:c r="AF134" s="49"/>
      <x:c r="AG134" s="49"/>
      <x:c r="AH134" s="49"/>
      <x:c r="AI134" s="49"/>
      <x:c r="AJ134" s="49"/>
      <x:c r="AK134" s="49"/>
      <x:c r="AL134" s="49"/>
      <x:c r="AM134" s="49"/>
      <x:c r="AN134" s="49"/>
      <x:c r="AO134" s="49"/>
      <x:c r="AP134" s="49"/>
      <x:c r="AQ134" s="49"/>
      <x:c r="AR134" s="49"/>
      <x:c r="AS134" s="49"/>
      <x:c r="AT134" s="49"/>
      <x:c r="AU134" s="49"/>
      <x:c r="AV134" s="49"/>
      <x:c r="AW134" s="49"/>
      <x:c r="AX134" s="49"/>
      <x:c r="AY134" s="49"/>
      <x:c r="AZ134" s="49"/>
    </x:row>
    <x:row r="135">
      <x:c r="A135" s="49"/>
      <x:c r="B135" s="49"/>
      <x:c r="C135" s="49"/>
      <x:c r="D135" s="49"/>
      <x:c r="E135" s="49"/>
      <x:c r="F135" s="49"/>
      <x:c r="G135" s="49"/>
      <x:c r="H135" s="49"/>
      <x:c r="I135" s="49"/>
      <x:c r="J135" s="49"/>
      <x:c r="K135" s="49"/>
      <x:c r="L135" s="49"/>
      <x:c r="M135" s="49"/>
      <x:c r="N135" s="49"/>
      <x:c r="O135" s="49"/>
      <x:c r="P135" s="49"/>
      <x:c r="Q135" s="49"/>
      <x:c r="R135" s="49"/>
      <x:c r="S135" s="49"/>
      <x:c r="T135" s="49"/>
      <x:c r="U135" s="49"/>
      <x:c r="V135" s="49"/>
      <x:c r="W135" s="49"/>
      <x:c r="X135" s="49"/>
      <x:c r="Y135" s="49"/>
      <x:c r="Z135" s="49"/>
      <x:c r="AA135" s="49"/>
      <x:c r="AB135" s="49"/>
      <x:c r="AC135" s="49"/>
      <x:c r="AD135" s="49"/>
      <x:c r="AE135" s="49"/>
      <x:c r="AF135" s="49"/>
      <x:c r="AG135" s="49"/>
      <x:c r="AH135" s="49"/>
      <x:c r="AI135" s="49"/>
      <x:c r="AJ135" s="49"/>
      <x:c r="AK135" s="49"/>
      <x:c r="AL135" s="49"/>
      <x:c r="AM135" s="49"/>
      <x:c r="AN135" s="49"/>
      <x:c r="AO135" s="49"/>
      <x:c r="AP135" s="49"/>
      <x:c r="AQ135" s="49"/>
      <x:c r="AR135" s="49"/>
      <x:c r="AS135" s="49"/>
      <x:c r="AT135" s="49"/>
      <x:c r="AU135" s="49"/>
      <x:c r="AV135" s="49"/>
      <x:c r="AW135" s="49"/>
      <x:c r="AX135" s="49"/>
      <x:c r="AY135" s="49"/>
      <x:c r="AZ135" s="49"/>
    </x:row>
    <x:row r="136">
      <x:c r="A136" s="49"/>
      <x:c r="B136" s="49"/>
      <x:c r="C136" s="49"/>
      <x:c r="D136" s="49"/>
      <x:c r="E136" s="49"/>
      <x:c r="F136" s="49"/>
      <x:c r="G136" s="49"/>
      <x:c r="H136" s="49"/>
      <x:c r="I136" s="49"/>
      <x:c r="J136" s="49"/>
      <x:c r="K136" s="49"/>
      <x:c r="L136" s="49"/>
      <x:c r="M136" s="49"/>
      <x:c r="N136" s="49"/>
      <x:c r="O136" s="49"/>
      <x:c r="P136" s="49"/>
      <x:c r="Q136" s="49"/>
      <x:c r="R136" s="49"/>
      <x:c r="S136" s="49"/>
      <x:c r="T136" s="49"/>
      <x:c r="U136" s="49"/>
      <x:c r="V136" s="49"/>
      <x:c r="W136" s="49"/>
      <x:c r="X136" s="49"/>
      <x:c r="Y136" s="49"/>
      <x:c r="Z136" s="49"/>
      <x:c r="AA136" s="49"/>
      <x:c r="AB136" s="49"/>
      <x:c r="AC136" s="49"/>
      <x:c r="AD136" s="49"/>
      <x:c r="AE136" s="49"/>
      <x:c r="AF136" s="49"/>
      <x:c r="AG136" s="49"/>
      <x:c r="AH136" s="49"/>
      <x:c r="AI136" s="49"/>
      <x:c r="AJ136" s="49"/>
      <x:c r="AK136" s="49"/>
      <x:c r="AL136" s="49"/>
      <x:c r="AM136" s="49"/>
      <x:c r="AN136" s="49"/>
      <x:c r="AO136" s="49"/>
      <x:c r="AP136" s="49"/>
      <x:c r="AQ136" s="49"/>
      <x:c r="AR136" s="49"/>
      <x:c r="AS136" s="49"/>
      <x:c r="AT136" s="49"/>
      <x:c r="AU136" s="49"/>
      <x:c r="AV136" s="49"/>
      <x:c r="AW136" s="49"/>
      <x:c r="AX136" s="49"/>
      <x:c r="AY136" s="49"/>
      <x:c r="AZ136" s="49"/>
    </x:row>
    <x:row r="137">
      <x:c r="A137" s="49"/>
      <x:c r="B137" s="49"/>
      <x:c r="C137" s="49"/>
      <x:c r="D137" s="49"/>
      <x:c r="E137" s="49"/>
      <x:c r="F137" s="49"/>
      <x:c r="G137" s="49"/>
      <x:c r="H137" s="49"/>
      <x:c r="I137" s="49"/>
      <x:c r="J137" s="49"/>
      <x:c r="K137" s="49"/>
      <x:c r="L137" s="49"/>
      <x:c r="M137" s="49"/>
      <x:c r="N137" s="49"/>
      <x:c r="O137" s="49"/>
      <x:c r="P137" s="49"/>
      <x:c r="Q137" s="49"/>
      <x:c r="R137" s="49"/>
      <x:c r="S137" s="49"/>
      <x:c r="T137" s="49"/>
      <x:c r="U137" s="49"/>
      <x:c r="V137" s="49"/>
      <x:c r="W137" s="49"/>
      <x:c r="X137" s="49"/>
      <x:c r="Y137" s="49"/>
      <x:c r="Z137" s="49"/>
      <x:c r="AA137" s="49"/>
      <x:c r="AB137" s="49"/>
      <x:c r="AC137" s="49"/>
      <x:c r="AD137" s="49"/>
      <x:c r="AE137" s="49"/>
      <x:c r="AF137" s="49"/>
      <x:c r="AG137" s="49"/>
      <x:c r="AH137" s="49"/>
      <x:c r="AI137" s="49"/>
      <x:c r="AJ137" s="49"/>
      <x:c r="AK137" s="49"/>
      <x:c r="AL137" s="49"/>
      <x:c r="AM137" s="49"/>
      <x:c r="AN137" s="49"/>
      <x:c r="AO137" s="49"/>
      <x:c r="AP137" s="49"/>
      <x:c r="AQ137" s="49"/>
      <x:c r="AR137" s="49"/>
      <x:c r="AS137" s="49"/>
      <x:c r="AT137" s="49"/>
      <x:c r="AU137" s="49"/>
      <x:c r="AV137" s="49"/>
      <x:c r="AW137" s="49"/>
      <x:c r="AX137" s="49"/>
      <x:c r="AY137" s="49"/>
      <x:c r="AZ137" s="49"/>
    </x:row>
    <x:row r="138">
      <x:c r="A138" s="49"/>
      <x:c r="B138" s="49"/>
      <x:c r="C138" s="49"/>
      <x:c r="D138" s="49"/>
      <x:c r="E138" s="49"/>
      <x:c r="F138" s="49"/>
      <x:c r="G138" s="49"/>
      <x:c r="H138" s="49"/>
      <x:c r="I138" s="49"/>
      <x:c r="J138" s="49"/>
      <x:c r="K138" s="49"/>
      <x:c r="L138" s="49"/>
      <x:c r="M138" s="49"/>
      <x:c r="N138" s="49"/>
      <x:c r="O138" s="49"/>
      <x:c r="P138" s="49"/>
      <x:c r="Q138" s="49"/>
      <x:c r="R138" s="49"/>
      <x:c r="S138" s="49"/>
      <x:c r="T138" s="49"/>
      <x:c r="U138" s="49"/>
      <x:c r="V138" s="49"/>
      <x:c r="W138" s="49"/>
      <x:c r="X138" s="49"/>
      <x:c r="Y138" s="49"/>
      <x:c r="Z138" s="49"/>
      <x:c r="AA138" s="49"/>
      <x:c r="AB138" s="49"/>
      <x:c r="AC138" s="49"/>
      <x:c r="AD138" s="49"/>
      <x:c r="AE138" s="49"/>
      <x:c r="AF138" s="49"/>
      <x:c r="AG138" s="49"/>
      <x:c r="AH138" s="49"/>
      <x:c r="AI138" s="49"/>
      <x:c r="AJ138" s="49"/>
      <x:c r="AK138" s="49"/>
      <x:c r="AL138" s="49"/>
      <x:c r="AM138" s="49"/>
      <x:c r="AN138" s="49"/>
      <x:c r="AO138" s="49"/>
      <x:c r="AP138" s="49"/>
      <x:c r="AQ138" s="49"/>
      <x:c r="AR138" s="49"/>
      <x:c r="AS138" s="49"/>
      <x:c r="AT138" s="49"/>
      <x:c r="AU138" s="49"/>
      <x:c r="AV138" s="49"/>
      <x:c r="AW138" s="49"/>
      <x:c r="AX138" s="49"/>
      <x:c r="AY138" s="49"/>
      <x:c r="AZ138" s="49"/>
    </x:row>
    <x:row r="139">
      <x:c r="A139" s="49"/>
      <x:c r="B139" s="49"/>
      <x:c r="C139" s="49"/>
      <x:c r="D139" s="49"/>
      <x:c r="E139" s="49"/>
      <x:c r="F139" s="49"/>
      <x:c r="G139" s="49"/>
      <x:c r="H139" s="49"/>
      <x:c r="I139" s="49"/>
      <x:c r="J139" s="49"/>
      <x:c r="K139" s="49"/>
      <x:c r="L139" s="49"/>
      <x:c r="M139" s="49"/>
      <x:c r="N139" s="49"/>
      <x:c r="O139" s="49"/>
      <x:c r="P139" s="49"/>
      <x:c r="Q139" s="49"/>
      <x:c r="R139" s="49"/>
      <x:c r="S139" s="49"/>
      <x:c r="T139" s="49"/>
      <x:c r="U139" s="49"/>
      <x:c r="V139" s="49"/>
      <x:c r="W139" s="49"/>
      <x:c r="X139" s="49"/>
      <x:c r="Y139" s="49"/>
      <x:c r="Z139" s="49"/>
      <x:c r="AA139" s="49"/>
      <x:c r="AB139" s="49"/>
      <x:c r="AC139" s="49"/>
      <x:c r="AD139" s="49"/>
      <x:c r="AE139" s="49"/>
      <x:c r="AF139" s="49"/>
      <x:c r="AG139" s="49"/>
      <x:c r="AH139" s="49"/>
      <x:c r="AI139" s="49"/>
      <x:c r="AJ139" s="49"/>
      <x:c r="AK139" s="49"/>
      <x:c r="AL139" s="49"/>
      <x:c r="AM139" s="49"/>
      <x:c r="AN139" s="49"/>
      <x:c r="AO139" s="49"/>
      <x:c r="AP139" s="49"/>
      <x:c r="AQ139" s="49"/>
      <x:c r="AR139" s="49"/>
      <x:c r="AS139" s="49"/>
      <x:c r="AT139" s="49"/>
      <x:c r="AU139" s="49"/>
      <x:c r="AV139" s="49"/>
      <x:c r="AW139" s="49"/>
      <x:c r="AX139" s="49"/>
      <x:c r="AY139" s="49"/>
      <x:c r="AZ139" s="49"/>
    </x:row>
    <x:row r="140">
      <x:c r="A140" s="49"/>
      <x:c r="B140" s="49"/>
      <x:c r="C140" s="49"/>
      <x:c r="D140" s="49"/>
      <x:c r="E140" s="49"/>
      <x:c r="F140" s="49"/>
      <x:c r="G140" s="49"/>
      <x:c r="H140" s="49"/>
      <x:c r="I140" s="49"/>
      <x:c r="J140" s="49"/>
      <x:c r="K140" s="49"/>
      <x:c r="L140" s="49"/>
      <x:c r="M140" s="49"/>
      <x:c r="N140" s="49"/>
      <x:c r="O140" s="49"/>
      <x:c r="P140" s="49"/>
      <x:c r="Q140" s="49"/>
      <x:c r="R140" s="49"/>
      <x:c r="S140" s="49"/>
      <x:c r="T140" s="49"/>
      <x:c r="U140" s="49"/>
      <x:c r="V140" s="49"/>
      <x:c r="W140" s="49"/>
      <x:c r="X140" s="49"/>
      <x:c r="Y140" s="49"/>
      <x:c r="Z140" s="49"/>
      <x:c r="AA140" s="49"/>
      <x:c r="AB140" s="49"/>
      <x:c r="AC140" s="49"/>
      <x:c r="AD140" s="49"/>
      <x:c r="AE140" s="49"/>
      <x:c r="AF140" s="49"/>
      <x:c r="AG140" s="49"/>
      <x:c r="AH140" s="49"/>
      <x:c r="AI140" s="49"/>
      <x:c r="AJ140" s="49"/>
      <x:c r="AK140" s="49"/>
      <x:c r="AL140" s="49"/>
      <x:c r="AM140" s="49"/>
      <x:c r="AN140" s="49"/>
      <x:c r="AO140" s="49"/>
      <x:c r="AP140" s="49"/>
      <x:c r="AQ140" s="49"/>
      <x:c r="AR140" s="49"/>
      <x:c r="AS140" s="49"/>
      <x:c r="AT140" s="49"/>
      <x:c r="AU140" s="49"/>
      <x:c r="AV140" s="49"/>
      <x:c r="AW140" s="49"/>
      <x:c r="AX140" s="49"/>
      <x:c r="AY140" s="49"/>
      <x:c r="AZ140" s="49"/>
    </x:row>
    <x:row r="141">
      <x:c r="A141" s="49"/>
      <x:c r="B141" s="49"/>
      <x:c r="C141" s="49"/>
      <x:c r="D141" s="49"/>
      <x:c r="E141" s="49"/>
      <x:c r="F141" s="49"/>
      <x:c r="G141" s="49"/>
      <x:c r="H141" s="49"/>
      <x:c r="I141" s="49"/>
      <x:c r="J141" s="49"/>
      <x:c r="K141" s="49"/>
      <x:c r="L141" s="49"/>
      <x:c r="M141" s="49"/>
      <x:c r="N141" s="49"/>
      <x:c r="O141" s="49"/>
      <x:c r="P141" s="49"/>
      <x:c r="Q141" s="49"/>
      <x:c r="R141" s="49"/>
      <x:c r="S141" s="49"/>
      <x:c r="T141" s="49"/>
      <x:c r="U141" s="49"/>
      <x:c r="V141" s="49"/>
      <x:c r="W141" s="49"/>
      <x:c r="X141" s="49"/>
      <x:c r="Y141" s="49"/>
      <x:c r="Z141" s="49"/>
      <x:c r="AA141" s="49"/>
      <x:c r="AB141" s="49"/>
      <x:c r="AC141" s="49"/>
      <x:c r="AD141" s="49"/>
      <x:c r="AE141" s="49"/>
      <x:c r="AF141" s="49"/>
      <x:c r="AG141" s="49"/>
      <x:c r="AH141" s="49"/>
      <x:c r="AI141" s="49"/>
      <x:c r="AJ141" s="49"/>
      <x:c r="AK141" s="49"/>
      <x:c r="AL141" s="49"/>
      <x:c r="AM141" s="49"/>
      <x:c r="AN141" s="49"/>
      <x:c r="AO141" s="49"/>
      <x:c r="AP141" s="49"/>
      <x:c r="AQ141" s="49"/>
      <x:c r="AR141" s="49"/>
      <x:c r="AS141" s="49"/>
      <x:c r="AT141" s="49"/>
      <x:c r="AU141" s="49"/>
      <x:c r="AV141" s="49"/>
      <x:c r="AW141" s="49"/>
      <x:c r="AX141" s="49"/>
      <x:c r="AY141" s="49"/>
      <x:c r="AZ141" s="49"/>
    </x:row>
    <x:row r="142">
      <x:c r="A142" s="49"/>
      <x:c r="B142" s="49"/>
      <x:c r="C142" s="49"/>
      <x:c r="D142" s="49"/>
      <x:c r="E142" s="49"/>
      <x:c r="F142" s="49"/>
      <x:c r="G142" s="49"/>
      <x:c r="H142" s="49"/>
      <x:c r="I142" s="49"/>
      <x:c r="J142" s="49"/>
      <x:c r="K142" s="49"/>
      <x:c r="L142" s="49"/>
      <x:c r="M142" s="49"/>
      <x:c r="N142" s="49"/>
      <x:c r="O142" s="49"/>
      <x:c r="P142" s="49"/>
      <x:c r="Q142" s="49"/>
      <x:c r="R142" s="49"/>
      <x:c r="S142" s="49"/>
      <x:c r="T142" s="49"/>
      <x:c r="U142" s="49"/>
      <x:c r="V142" s="49"/>
      <x:c r="W142" s="49"/>
      <x:c r="X142" s="49"/>
      <x:c r="Y142" s="49"/>
      <x:c r="Z142" s="49"/>
      <x:c r="AA142" s="49"/>
      <x:c r="AB142" s="49"/>
      <x:c r="AC142" s="49"/>
      <x:c r="AD142" s="49"/>
      <x:c r="AE142" s="49"/>
      <x:c r="AF142" s="49"/>
      <x:c r="AG142" s="49"/>
      <x:c r="AH142" s="49"/>
      <x:c r="AI142" s="49"/>
      <x:c r="AJ142" s="49"/>
      <x:c r="AK142" s="49"/>
      <x:c r="AL142" s="49"/>
      <x:c r="AM142" s="49"/>
      <x:c r="AN142" s="49"/>
      <x:c r="AO142" s="49"/>
      <x:c r="AP142" s="49"/>
      <x:c r="AQ142" s="49"/>
      <x:c r="AR142" s="49"/>
      <x:c r="AS142" s="49"/>
      <x:c r="AT142" s="49"/>
      <x:c r="AU142" s="49"/>
      <x:c r="AV142" s="49"/>
      <x:c r="AW142" s="49"/>
      <x:c r="AX142" s="49"/>
      <x:c r="AY142" s="49"/>
      <x:c r="AZ142" s="49"/>
    </x:row>
    <x:row r="143">
      <x:c r="A143" s="49"/>
      <x:c r="B143" s="49"/>
      <x:c r="C143" s="49"/>
      <x:c r="D143" s="49"/>
      <x:c r="E143" s="49"/>
      <x:c r="F143" s="49"/>
      <x:c r="G143" s="49"/>
      <x:c r="H143" s="49"/>
      <x:c r="I143" s="49"/>
      <x:c r="J143" s="49"/>
      <x:c r="K143" s="49"/>
      <x:c r="L143" s="49"/>
      <x:c r="M143" s="49"/>
      <x:c r="N143" s="49"/>
      <x:c r="O143" s="49"/>
      <x:c r="P143" s="49"/>
      <x:c r="Q143" s="49"/>
      <x:c r="R143" s="49"/>
      <x:c r="S143" s="49"/>
      <x:c r="T143" s="49"/>
      <x:c r="U143" s="49"/>
      <x:c r="V143" s="49"/>
      <x:c r="W143" s="49"/>
      <x:c r="X143" s="49"/>
      <x:c r="Y143" s="49"/>
      <x:c r="Z143" s="49"/>
      <x:c r="AA143" s="49"/>
      <x:c r="AB143" s="49"/>
      <x:c r="AC143" s="49"/>
      <x:c r="AD143" s="49"/>
      <x:c r="AE143" s="49"/>
      <x:c r="AF143" s="49"/>
      <x:c r="AG143" s="49"/>
      <x:c r="AH143" s="49"/>
      <x:c r="AI143" s="49"/>
      <x:c r="AJ143" s="49"/>
      <x:c r="AK143" s="49"/>
      <x:c r="AL143" s="49"/>
      <x:c r="AM143" s="49"/>
      <x:c r="AN143" s="49"/>
      <x:c r="AO143" s="49"/>
      <x:c r="AP143" s="49"/>
      <x:c r="AQ143" s="49"/>
      <x:c r="AR143" s="49"/>
      <x:c r="AS143" s="49"/>
      <x:c r="AT143" s="49"/>
      <x:c r="AU143" s="49"/>
      <x:c r="AV143" s="49"/>
      <x:c r="AW143" s="49"/>
      <x:c r="AX143" s="49"/>
      <x:c r="AY143" s="49"/>
      <x:c r="AZ143" s="49"/>
    </x:row>
    <x:row r="144">
      <x:c r="A144" s="49"/>
      <x:c r="B144" s="49"/>
      <x:c r="C144" s="49"/>
      <x:c r="D144" s="49"/>
      <x:c r="E144" s="49"/>
      <x:c r="F144" s="49"/>
      <x:c r="G144" s="49"/>
      <x:c r="H144" s="49"/>
      <x:c r="I144" s="49"/>
      <x:c r="J144" s="49"/>
      <x:c r="K144" s="49"/>
      <x:c r="L144" s="49"/>
      <x:c r="M144" s="49"/>
      <x:c r="N144" s="49"/>
      <x:c r="O144" s="49"/>
      <x:c r="P144" s="49"/>
      <x:c r="Q144" s="49"/>
      <x:c r="R144" s="49"/>
      <x:c r="S144" s="49"/>
      <x:c r="T144" s="49"/>
      <x:c r="U144" s="49"/>
      <x:c r="V144" s="49"/>
      <x:c r="W144" s="49"/>
      <x:c r="X144" s="49"/>
      <x:c r="Y144" s="49"/>
      <x:c r="Z144" s="49"/>
      <x:c r="AA144" s="49"/>
      <x:c r="AB144" s="49"/>
      <x:c r="AC144" s="49"/>
      <x:c r="AD144" s="49"/>
      <x:c r="AE144" s="49"/>
      <x:c r="AF144" s="49"/>
      <x:c r="AG144" s="49"/>
      <x:c r="AH144" s="49"/>
      <x:c r="AI144" s="49"/>
      <x:c r="AJ144" s="49"/>
      <x:c r="AK144" s="49"/>
      <x:c r="AL144" s="49"/>
      <x:c r="AM144" s="49"/>
      <x:c r="AN144" s="49"/>
      <x:c r="AO144" s="49"/>
      <x:c r="AP144" s="49"/>
      <x:c r="AQ144" s="49"/>
      <x:c r="AR144" s="49"/>
      <x:c r="AS144" s="49"/>
      <x:c r="AT144" s="49"/>
      <x:c r="AU144" s="49"/>
      <x:c r="AV144" s="49"/>
      <x:c r="AW144" s="49"/>
      <x:c r="AX144" s="49"/>
      <x:c r="AY144" s="49"/>
      <x:c r="AZ144" s="49"/>
    </x:row>
    <x:row r="145">
      <x:c r="A145" s="49"/>
      <x:c r="B145" s="49"/>
      <x:c r="C145" s="49"/>
      <x:c r="D145" s="49"/>
      <x:c r="E145" s="49"/>
      <x:c r="F145" s="49"/>
      <x:c r="G145" s="49"/>
      <x:c r="H145" s="49"/>
      <x:c r="I145" s="49"/>
      <x:c r="J145" s="49"/>
      <x:c r="K145" s="49"/>
      <x:c r="L145" s="49"/>
      <x:c r="M145" s="49"/>
      <x:c r="N145" s="49"/>
      <x:c r="O145" s="49"/>
      <x:c r="P145" s="49"/>
      <x:c r="Q145" s="49"/>
      <x:c r="R145" s="49"/>
      <x:c r="S145" s="49"/>
      <x:c r="T145" s="49"/>
      <x:c r="U145" s="49"/>
      <x:c r="V145" s="49"/>
      <x:c r="W145" s="49"/>
      <x:c r="X145" s="49"/>
      <x:c r="Y145" s="49"/>
      <x:c r="Z145" s="49"/>
      <x:c r="AA145" s="49"/>
      <x:c r="AB145" s="49"/>
      <x:c r="AC145" s="49"/>
      <x:c r="AD145" s="49"/>
      <x:c r="AE145" s="49"/>
      <x:c r="AF145" s="49"/>
      <x:c r="AG145" s="49"/>
      <x:c r="AH145" s="49"/>
      <x:c r="AI145" s="49"/>
      <x:c r="AJ145" s="49"/>
      <x:c r="AK145" s="49"/>
      <x:c r="AL145" s="49"/>
      <x:c r="AM145" s="49"/>
      <x:c r="AN145" s="49"/>
      <x:c r="AO145" s="49"/>
      <x:c r="AP145" s="49"/>
      <x:c r="AQ145" s="49"/>
      <x:c r="AR145" s="49"/>
      <x:c r="AS145" s="49"/>
      <x:c r="AT145" s="49"/>
      <x:c r="AU145" s="49"/>
      <x:c r="AV145" s="49"/>
      <x:c r="AW145" s="49"/>
      <x:c r="AX145" s="49"/>
      <x:c r="AY145" s="49"/>
      <x:c r="AZ145" s="49"/>
    </x:row>
    <x:row r="146">
      <x:c r="A146" s="49"/>
      <x:c r="B146" s="49"/>
      <x:c r="C146" s="49"/>
      <x:c r="D146" s="49"/>
      <x:c r="E146" s="49"/>
      <x:c r="F146" s="49"/>
      <x:c r="G146" s="49"/>
      <x:c r="H146" s="49"/>
      <x:c r="I146" s="49"/>
      <x:c r="J146" s="49"/>
      <x:c r="K146" s="49"/>
      <x:c r="L146" s="49"/>
      <x:c r="M146" s="49"/>
      <x:c r="N146" s="49"/>
      <x:c r="O146" s="49"/>
      <x:c r="P146" s="49"/>
      <x:c r="Q146" s="49"/>
      <x:c r="R146" s="49"/>
      <x:c r="S146" s="49"/>
      <x:c r="T146" s="49"/>
      <x:c r="U146" s="49"/>
      <x:c r="V146" s="49"/>
      <x:c r="W146" s="49"/>
      <x:c r="X146" s="49"/>
      <x:c r="Y146" s="49"/>
      <x:c r="Z146" s="49"/>
      <x:c r="AA146" s="49"/>
      <x:c r="AB146" s="49"/>
      <x:c r="AC146" s="49"/>
      <x:c r="AD146" s="49"/>
      <x:c r="AE146" s="49"/>
      <x:c r="AF146" s="49"/>
      <x:c r="AG146" s="49"/>
      <x:c r="AH146" s="49"/>
      <x:c r="AI146" s="49"/>
      <x:c r="AJ146" s="49"/>
      <x:c r="AK146" s="49"/>
      <x:c r="AL146" s="49"/>
      <x:c r="AM146" s="49"/>
      <x:c r="AN146" s="49"/>
      <x:c r="AO146" s="49"/>
      <x:c r="AP146" s="49"/>
      <x:c r="AQ146" s="49"/>
      <x:c r="AR146" s="49"/>
      <x:c r="AS146" s="49"/>
      <x:c r="AT146" s="49"/>
      <x:c r="AU146" s="49"/>
      <x:c r="AV146" s="49"/>
      <x:c r="AW146" s="49"/>
      <x:c r="AX146" s="49"/>
      <x:c r="AY146" s="49"/>
      <x:c r="AZ146" s="49"/>
    </x:row>
    <x:row r="147">
      <x:c r="A147" s="49"/>
      <x:c r="B147" s="49"/>
      <x:c r="C147" s="49"/>
      <x:c r="D147" s="49"/>
      <x:c r="E147" s="49"/>
      <x:c r="F147" s="49"/>
      <x:c r="G147" s="49"/>
      <x:c r="H147" s="49"/>
      <x:c r="I147" s="49"/>
      <x:c r="J147" s="49"/>
      <x:c r="K147" s="49"/>
      <x:c r="L147" s="49"/>
      <x:c r="M147" s="49"/>
      <x:c r="N147" s="49"/>
      <x:c r="O147" s="49"/>
      <x:c r="P147" s="49"/>
      <x:c r="Q147" s="49"/>
      <x:c r="R147" s="49"/>
      <x:c r="S147" s="49"/>
      <x:c r="T147" s="49"/>
      <x:c r="U147" s="49"/>
      <x:c r="V147" s="49"/>
      <x:c r="W147" s="49"/>
      <x:c r="X147" s="49"/>
      <x:c r="Y147" s="49"/>
      <x:c r="Z147" s="49"/>
      <x:c r="AA147" s="49"/>
      <x:c r="AB147" s="49"/>
      <x:c r="AC147" s="49"/>
      <x:c r="AD147" s="49"/>
      <x:c r="AE147" s="49"/>
      <x:c r="AF147" s="49"/>
      <x:c r="AG147" s="49"/>
      <x:c r="AH147" s="49"/>
      <x:c r="AI147" s="49"/>
      <x:c r="AJ147" s="49"/>
      <x:c r="AK147" s="49"/>
      <x:c r="AL147" s="49"/>
      <x:c r="AM147" s="49"/>
      <x:c r="AN147" s="49"/>
      <x:c r="AO147" s="49"/>
      <x:c r="AP147" s="49"/>
      <x:c r="AQ147" s="49"/>
      <x:c r="AR147" s="49"/>
      <x:c r="AS147" s="49"/>
      <x:c r="AT147" s="49"/>
      <x:c r="AU147" s="49"/>
      <x:c r="AV147" s="49"/>
      <x:c r="AW147" s="49"/>
      <x:c r="AX147" s="49"/>
      <x:c r="AY147" s="49"/>
      <x:c r="AZ147" s="49"/>
    </x:row>
    <x:row r="148">
      <x:c r="A148" s="49"/>
      <x:c r="B148" s="49"/>
      <x:c r="C148" s="49"/>
      <x:c r="D148" s="49"/>
      <x:c r="E148" s="49"/>
      <x:c r="F148" s="49"/>
      <x:c r="G148" s="49"/>
      <x:c r="H148" s="49"/>
      <x:c r="I148" s="49"/>
      <x:c r="J148" s="49"/>
      <x:c r="K148" s="49"/>
      <x:c r="L148" s="49"/>
      <x:c r="M148" s="49"/>
      <x:c r="N148" s="49"/>
      <x:c r="O148" s="49"/>
      <x:c r="P148" s="49"/>
      <x:c r="Q148" s="49"/>
      <x:c r="R148" s="49"/>
      <x:c r="S148" s="49"/>
      <x:c r="T148" s="49"/>
      <x:c r="U148" s="49"/>
      <x:c r="V148" s="49"/>
      <x:c r="W148" s="49"/>
      <x:c r="X148" s="49"/>
      <x:c r="Y148" s="49"/>
      <x:c r="Z148" s="49"/>
      <x:c r="AA148" s="49"/>
      <x:c r="AB148" s="49"/>
      <x:c r="AC148" s="49"/>
      <x:c r="AD148" s="49"/>
      <x:c r="AE148" s="49"/>
      <x:c r="AF148" s="49"/>
      <x:c r="AG148" s="49"/>
      <x:c r="AH148" s="49"/>
      <x:c r="AI148" s="49"/>
      <x:c r="AJ148" s="49"/>
      <x:c r="AK148" s="49"/>
      <x:c r="AL148" s="49"/>
      <x:c r="AM148" s="49"/>
      <x:c r="AN148" s="49"/>
      <x:c r="AO148" s="49"/>
      <x:c r="AP148" s="49"/>
      <x:c r="AQ148" s="49"/>
      <x:c r="AR148" s="49"/>
      <x:c r="AS148" s="49"/>
      <x:c r="AT148" s="49"/>
      <x:c r="AU148" s="49"/>
      <x:c r="AV148" s="49"/>
      <x:c r="AW148" s="49"/>
      <x:c r="AX148" s="49"/>
      <x:c r="AY148" s="49"/>
      <x:c r="AZ148" s="49"/>
    </x:row>
    <x:row r="149">
      <x:c r="A149" s="49"/>
      <x:c r="B149" s="49"/>
      <x:c r="C149" s="49"/>
      <x:c r="D149" s="49"/>
      <x:c r="E149" s="49"/>
      <x:c r="F149" s="49"/>
      <x:c r="G149" s="49"/>
      <x:c r="H149" s="49"/>
      <x:c r="I149" s="49"/>
      <x:c r="J149" s="49"/>
      <x:c r="K149" s="49"/>
      <x:c r="L149" s="49"/>
      <x:c r="M149" s="49"/>
      <x:c r="N149" s="49"/>
      <x:c r="O149" s="49"/>
      <x:c r="P149" s="49"/>
      <x:c r="Q149" s="49"/>
      <x:c r="R149" s="49"/>
      <x:c r="S149" s="49"/>
      <x:c r="T149" s="49"/>
      <x:c r="U149" s="49"/>
      <x:c r="V149" s="49"/>
      <x:c r="W149" s="49"/>
      <x:c r="X149" s="49"/>
      <x:c r="Y149" s="49"/>
      <x:c r="Z149" s="49"/>
      <x:c r="AA149" s="49"/>
      <x:c r="AB149" s="49"/>
      <x:c r="AC149" s="49"/>
      <x:c r="AD149" s="49"/>
      <x:c r="AE149" s="49"/>
      <x:c r="AF149" s="49"/>
      <x:c r="AG149" s="49"/>
      <x:c r="AH149" s="49"/>
      <x:c r="AI149" s="49"/>
      <x:c r="AJ149" s="49"/>
      <x:c r="AK149" s="49"/>
      <x:c r="AL149" s="49"/>
      <x:c r="AM149" s="49"/>
      <x:c r="AN149" s="49"/>
      <x:c r="AO149" s="49"/>
      <x:c r="AP149" s="49"/>
      <x:c r="AQ149" s="49"/>
      <x:c r="AR149" s="49"/>
      <x:c r="AS149" s="49"/>
      <x:c r="AT149" s="49"/>
      <x:c r="AU149" s="49"/>
      <x:c r="AV149" s="49"/>
      <x:c r="AW149" s="49"/>
      <x:c r="AX149" s="49"/>
      <x:c r="AY149" s="49"/>
      <x:c r="AZ149" s="49"/>
    </x:row>
    <x:row r="150">
      <x:c r="A150" s="49"/>
      <x:c r="B150" s="49"/>
      <x:c r="C150" s="49"/>
      <x:c r="D150" s="49"/>
      <x:c r="E150" s="49"/>
      <x:c r="F150" s="49"/>
      <x:c r="G150" s="49"/>
      <x:c r="H150" s="49"/>
      <x:c r="I150" s="49"/>
      <x:c r="J150" s="49"/>
      <x:c r="K150" s="49"/>
      <x:c r="L150" s="49"/>
      <x:c r="M150" s="49"/>
      <x:c r="N150" s="49"/>
      <x:c r="O150" s="49"/>
      <x:c r="P150" s="49"/>
      <x:c r="Q150" s="49"/>
      <x:c r="R150" s="49"/>
      <x:c r="S150" s="49"/>
      <x:c r="T150" s="49"/>
      <x:c r="U150" s="49"/>
      <x:c r="V150" s="49"/>
      <x:c r="W150" s="49"/>
      <x:c r="X150" s="49"/>
      <x:c r="Y150" s="49"/>
      <x:c r="Z150" s="49"/>
      <x:c r="AA150" s="49"/>
      <x:c r="AB150" s="49"/>
      <x:c r="AC150" s="49"/>
      <x:c r="AD150" s="49"/>
      <x:c r="AE150" s="49"/>
      <x:c r="AF150" s="49"/>
      <x:c r="AG150" s="49"/>
      <x:c r="AH150" s="49"/>
      <x:c r="AI150" s="49"/>
      <x:c r="AJ150" s="49"/>
      <x:c r="AK150" s="49"/>
      <x:c r="AL150" s="49"/>
      <x:c r="AM150" s="49"/>
      <x:c r="AN150" s="49"/>
      <x:c r="AO150" s="49"/>
      <x:c r="AP150" s="49"/>
      <x:c r="AQ150" s="49"/>
      <x:c r="AR150" s="49"/>
      <x:c r="AS150" s="49"/>
      <x:c r="AT150" s="49"/>
      <x:c r="AU150" s="49"/>
      <x:c r="AV150" s="49"/>
      <x:c r="AW150" s="49"/>
      <x:c r="AX150" s="49"/>
      <x:c r="AY150" s="49"/>
      <x:c r="AZ150" s="49"/>
    </x:row>
    <x:row r="151">
      <x:c r="A151" s="49"/>
      <x:c r="B151" s="49"/>
      <x:c r="C151" s="49"/>
      <x:c r="D151" s="49"/>
      <x:c r="E151" s="49"/>
      <x:c r="F151" s="49"/>
      <x:c r="G151" s="49"/>
      <x:c r="H151" s="49"/>
      <x:c r="I151" s="49"/>
      <x:c r="J151" s="49"/>
      <x:c r="K151" s="49"/>
      <x:c r="L151" s="49"/>
      <x:c r="M151" s="49"/>
      <x:c r="N151" s="49"/>
      <x:c r="O151" s="49"/>
      <x:c r="P151" s="49"/>
      <x:c r="Q151" s="49"/>
      <x:c r="R151" s="49"/>
      <x:c r="S151" s="49"/>
      <x:c r="T151" s="49"/>
      <x:c r="U151" s="49"/>
      <x:c r="V151" s="49"/>
      <x:c r="W151" s="49"/>
      <x:c r="X151" s="49"/>
      <x:c r="Y151" s="49"/>
      <x:c r="Z151" s="49"/>
      <x:c r="AA151" s="49"/>
      <x:c r="AB151" s="49"/>
      <x:c r="AC151" s="49"/>
      <x:c r="AD151" s="49"/>
      <x:c r="AE151" s="49"/>
      <x:c r="AF151" s="49"/>
      <x:c r="AG151" s="49"/>
      <x:c r="AH151" s="49"/>
      <x:c r="AI151" s="49"/>
      <x:c r="AJ151" s="49"/>
      <x:c r="AK151" s="49"/>
      <x:c r="AL151" s="49"/>
      <x:c r="AM151" s="49"/>
      <x:c r="AN151" s="49"/>
      <x:c r="AO151" s="49"/>
      <x:c r="AP151" s="49"/>
      <x:c r="AQ151" s="49"/>
      <x:c r="AR151" s="49"/>
      <x:c r="AS151" s="49"/>
      <x:c r="AT151" s="49"/>
      <x:c r="AU151" s="49"/>
      <x:c r="AV151" s="49"/>
      <x:c r="AW151" s="49"/>
      <x:c r="AX151" s="49"/>
      <x:c r="AY151" s="49"/>
      <x:c r="AZ151" s="49"/>
    </x:row>
    <x:row r="152">
      <x:c r="A152" s="49"/>
      <x:c r="B152" s="49"/>
      <x:c r="C152" s="49"/>
      <x:c r="D152" s="49"/>
      <x:c r="E152" s="49"/>
      <x:c r="F152" s="49"/>
      <x:c r="G152" s="49"/>
      <x:c r="H152" s="49"/>
      <x:c r="I152" s="49"/>
      <x:c r="J152" s="49"/>
      <x:c r="K152" s="49"/>
      <x:c r="L152" s="49"/>
      <x:c r="M152" s="49"/>
      <x:c r="N152" s="49"/>
      <x:c r="O152" s="49"/>
      <x:c r="P152" s="49"/>
      <x:c r="Q152" s="49"/>
      <x:c r="R152" s="49"/>
      <x:c r="S152" s="49"/>
      <x:c r="T152" s="49"/>
      <x:c r="U152" s="49"/>
      <x:c r="V152" s="49"/>
      <x:c r="W152" s="49"/>
      <x:c r="X152" s="49"/>
      <x:c r="Y152" s="49"/>
      <x:c r="Z152" s="49"/>
      <x:c r="AA152" s="49"/>
      <x:c r="AB152" s="49"/>
      <x:c r="AC152" s="49"/>
      <x:c r="AD152" s="49"/>
      <x:c r="AE152" s="49"/>
      <x:c r="AF152" s="49"/>
      <x:c r="AG152" s="49"/>
      <x:c r="AH152" s="49"/>
      <x:c r="AI152" s="49"/>
      <x:c r="AJ152" s="49"/>
      <x:c r="AK152" s="49"/>
      <x:c r="AL152" s="49"/>
      <x:c r="AM152" s="49"/>
      <x:c r="AN152" s="49"/>
      <x:c r="AO152" s="49"/>
      <x:c r="AP152" s="49"/>
      <x:c r="AQ152" s="49"/>
      <x:c r="AR152" s="49"/>
      <x:c r="AS152" s="49"/>
      <x:c r="AT152" s="49"/>
      <x:c r="AU152" s="49"/>
      <x:c r="AV152" s="49"/>
      <x:c r="AW152" s="49"/>
      <x:c r="AX152" s="49"/>
      <x:c r="AY152" s="49"/>
      <x:c r="AZ152" s="49"/>
    </x:row>
    <x:row r="153">
      <x:c r="A153" s="49"/>
      <x:c r="B153" s="49"/>
      <x:c r="C153" s="49"/>
      <x:c r="D153" s="49"/>
      <x:c r="E153" s="49"/>
      <x:c r="F153" s="49"/>
      <x:c r="G153" s="49"/>
      <x:c r="H153" s="49"/>
      <x:c r="I153" s="49"/>
      <x:c r="J153" s="49"/>
      <x:c r="K153" s="49"/>
      <x:c r="L153" s="49"/>
      <x:c r="M153" s="49"/>
      <x:c r="N153" s="49"/>
      <x:c r="O153" s="49"/>
      <x:c r="P153" s="49"/>
      <x:c r="Q153" s="49"/>
      <x:c r="R153" s="49"/>
      <x:c r="S153" s="49"/>
      <x:c r="T153" s="49"/>
      <x:c r="U153" s="49"/>
      <x:c r="V153" s="49"/>
      <x:c r="W153" s="49"/>
      <x:c r="X153" s="49"/>
      <x:c r="Y153" s="49"/>
      <x:c r="Z153" s="49"/>
      <x:c r="AA153" s="49"/>
      <x:c r="AB153" s="49"/>
      <x:c r="AC153" s="49"/>
      <x:c r="AD153" s="49"/>
      <x:c r="AE153" s="49"/>
      <x:c r="AF153" s="49"/>
      <x:c r="AG153" s="49"/>
      <x:c r="AH153" s="49"/>
      <x:c r="AI153" s="49"/>
      <x:c r="AJ153" s="49"/>
      <x:c r="AK153" s="49"/>
      <x:c r="AL153" s="49"/>
      <x:c r="AM153" s="49"/>
      <x:c r="AN153" s="49"/>
      <x:c r="AO153" s="49"/>
      <x:c r="AP153" s="49"/>
      <x:c r="AQ153" s="49"/>
      <x:c r="AR153" s="49"/>
      <x:c r="AS153" s="49"/>
      <x:c r="AT153" s="49"/>
      <x:c r="AU153" s="49"/>
      <x:c r="AV153" s="49"/>
      <x:c r="AW153" s="49"/>
      <x:c r="AX153" s="49"/>
      <x:c r="AY153" s="49"/>
      <x:c r="AZ153" s="49"/>
    </x:row>
    <x:row r="154">
      <x:c r="A154" s="49"/>
      <x:c r="B154" s="49"/>
      <x:c r="C154" s="49"/>
      <x:c r="D154" s="49"/>
      <x:c r="E154" s="49"/>
      <x:c r="F154" s="49"/>
      <x:c r="G154" s="49"/>
      <x:c r="H154" s="49"/>
      <x:c r="I154" s="49"/>
      <x:c r="J154" s="49"/>
      <x:c r="K154" s="49"/>
      <x:c r="L154" s="49"/>
      <x:c r="M154" s="49"/>
      <x:c r="N154" s="49"/>
      <x:c r="O154" s="49"/>
      <x:c r="P154" s="49"/>
      <x:c r="Q154" s="49"/>
      <x:c r="R154" s="49"/>
      <x:c r="S154" s="49"/>
      <x:c r="T154" s="49"/>
      <x:c r="U154" s="49"/>
      <x:c r="V154" s="49"/>
      <x:c r="W154" s="49"/>
      <x:c r="X154" s="49"/>
      <x:c r="Y154" s="49"/>
      <x:c r="Z154" s="49"/>
      <x:c r="AA154" s="49"/>
      <x:c r="AB154" s="49"/>
      <x:c r="AC154" s="49"/>
      <x:c r="AD154" s="49"/>
      <x:c r="AE154" s="49"/>
      <x:c r="AF154" s="49"/>
      <x:c r="AG154" s="49"/>
      <x:c r="AH154" s="49"/>
      <x:c r="AI154" s="49"/>
      <x:c r="AJ154" s="49"/>
      <x:c r="AK154" s="49"/>
      <x:c r="AL154" s="49"/>
      <x:c r="AM154" s="49"/>
      <x:c r="AN154" s="49"/>
      <x:c r="AO154" s="49"/>
      <x:c r="AP154" s="49"/>
      <x:c r="AQ154" s="49"/>
      <x:c r="AR154" s="49"/>
      <x:c r="AS154" s="49"/>
      <x:c r="AT154" s="49"/>
      <x:c r="AU154" s="49"/>
      <x:c r="AV154" s="49"/>
      <x:c r="AW154" s="49"/>
      <x:c r="AX154" s="49"/>
      <x:c r="AY154" s="49"/>
      <x:c r="AZ154" s="49"/>
    </x:row>
    <x:row r="155">
      <x:c r="A155" s="49"/>
      <x:c r="B155" s="49"/>
      <x:c r="C155" s="49"/>
      <x:c r="D155" s="49"/>
      <x:c r="E155" s="49"/>
      <x:c r="F155" s="49"/>
      <x:c r="G155" s="49"/>
      <x:c r="H155" s="49"/>
      <x:c r="I155" s="49"/>
      <x:c r="J155" s="49"/>
      <x:c r="K155" s="49"/>
      <x:c r="L155" s="49"/>
      <x:c r="M155" s="49"/>
      <x:c r="N155" s="49"/>
      <x:c r="O155" s="49"/>
      <x:c r="P155" s="49"/>
      <x:c r="Q155" s="49"/>
      <x:c r="R155" s="49"/>
      <x:c r="S155" s="49"/>
      <x:c r="T155" s="49"/>
      <x:c r="U155" s="49"/>
      <x:c r="V155" s="49"/>
      <x:c r="W155" s="49"/>
      <x:c r="X155" s="49"/>
      <x:c r="Y155" s="49"/>
      <x:c r="Z155" s="49"/>
      <x:c r="AA155" s="49"/>
      <x:c r="AB155" s="49"/>
      <x:c r="AC155" s="49"/>
      <x:c r="AD155" s="49"/>
      <x:c r="AE155" s="49"/>
      <x:c r="AF155" s="49"/>
      <x:c r="AG155" s="49"/>
      <x:c r="AH155" s="49"/>
      <x:c r="AI155" s="49"/>
      <x:c r="AJ155" s="49"/>
      <x:c r="AK155" s="49"/>
      <x:c r="AL155" s="49"/>
      <x:c r="AM155" s="49"/>
      <x:c r="AN155" s="49"/>
      <x:c r="AO155" s="49"/>
      <x:c r="AP155" s="49"/>
      <x:c r="AQ155" s="49"/>
      <x:c r="AR155" s="49"/>
      <x:c r="AS155" s="49"/>
      <x:c r="AT155" s="49"/>
      <x:c r="AU155" s="49"/>
      <x:c r="AV155" s="49"/>
      <x:c r="AW155" s="49"/>
      <x:c r="AX155" s="49"/>
      <x:c r="AY155" s="49"/>
      <x:c r="AZ155" s="49"/>
    </x:row>
    <x:row r="156">
      <x:c r="A156" s="49"/>
      <x:c r="B156" s="49"/>
      <x:c r="C156" s="49"/>
      <x:c r="D156" s="49"/>
      <x:c r="E156" s="49"/>
      <x:c r="F156" s="49"/>
      <x:c r="G156" s="49"/>
      <x:c r="H156" s="49"/>
      <x:c r="I156" s="49"/>
      <x:c r="J156" s="49"/>
      <x:c r="K156" s="49"/>
      <x:c r="L156" s="49"/>
      <x:c r="M156" s="49"/>
      <x:c r="N156" s="49"/>
      <x:c r="O156" s="49"/>
      <x:c r="P156" s="49"/>
      <x:c r="Q156" s="49"/>
      <x:c r="R156" s="49"/>
      <x:c r="S156" s="49"/>
      <x:c r="T156" s="49"/>
      <x:c r="U156" s="49"/>
      <x:c r="V156" s="49"/>
      <x:c r="W156" s="49"/>
      <x:c r="X156" s="49"/>
      <x:c r="Y156" s="49"/>
      <x:c r="Z156" s="49"/>
      <x:c r="AA156" s="49"/>
      <x:c r="AB156" s="49"/>
      <x:c r="AC156" s="49"/>
      <x:c r="AD156" s="49"/>
      <x:c r="AE156" s="49"/>
      <x:c r="AF156" s="49"/>
      <x:c r="AG156" s="49"/>
      <x:c r="AH156" s="49"/>
      <x:c r="AI156" s="49"/>
      <x:c r="AJ156" s="49"/>
      <x:c r="AK156" s="49"/>
      <x:c r="AL156" s="49"/>
      <x:c r="AM156" s="49"/>
      <x:c r="AN156" s="49"/>
      <x:c r="AO156" s="49"/>
      <x:c r="AP156" s="49"/>
      <x:c r="AQ156" s="49"/>
      <x:c r="AR156" s="49"/>
      <x:c r="AS156" s="49"/>
      <x:c r="AT156" s="49"/>
      <x:c r="AU156" s="49"/>
      <x:c r="AV156" s="49"/>
      <x:c r="AW156" s="49"/>
      <x:c r="AX156" s="49"/>
      <x:c r="AY156" s="49"/>
      <x:c r="AZ156" s="49"/>
    </x:row>
    <x:row r="157">
      <x:c r="A157" s="49"/>
      <x:c r="B157" s="49"/>
      <x:c r="C157" s="49"/>
      <x:c r="D157" s="49"/>
      <x:c r="E157" s="49"/>
      <x:c r="F157" s="49"/>
      <x:c r="G157" s="49"/>
      <x:c r="H157" s="49"/>
      <x:c r="I157" s="49"/>
      <x:c r="J157" s="49"/>
      <x:c r="K157" s="49"/>
      <x:c r="L157" s="49"/>
      <x:c r="M157" s="49"/>
      <x:c r="N157" s="49"/>
      <x:c r="O157" s="49"/>
      <x:c r="P157" s="49"/>
      <x:c r="Q157" s="49"/>
      <x:c r="R157" s="49"/>
      <x:c r="S157" s="49"/>
      <x:c r="T157" s="49"/>
      <x:c r="U157" s="49"/>
      <x:c r="V157" s="49"/>
      <x:c r="W157" s="49"/>
      <x:c r="X157" s="49"/>
      <x:c r="Y157" s="49"/>
      <x:c r="Z157" s="49"/>
      <x:c r="AA157" s="49"/>
      <x:c r="AB157" s="49"/>
      <x:c r="AC157" s="49"/>
      <x:c r="AD157" s="49"/>
      <x:c r="AE157" s="49"/>
      <x:c r="AF157" s="49"/>
      <x:c r="AG157" s="49"/>
      <x:c r="AH157" s="49"/>
      <x:c r="AI157" s="49"/>
      <x:c r="AJ157" s="49"/>
      <x:c r="AK157" s="49"/>
      <x:c r="AL157" s="49"/>
      <x:c r="AM157" s="49"/>
      <x:c r="AN157" s="49"/>
      <x:c r="AO157" s="49"/>
      <x:c r="AP157" s="49"/>
      <x:c r="AQ157" s="49"/>
      <x:c r="AR157" s="49"/>
      <x:c r="AS157" s="49"/>
      <x:c r="AT157" s="49"/>
      <x:c r="AU157" s="49"/>
      <x:c r="AV157" s="49"/>
      <x:c r="AW157" s="49"/>
      <x:c r="AX157" s="49"/>
      <x:c r="AY157" s="49"/>
      <x:c r="AZ157" s="49"/>
    </x:row>
    <x:row r="158">
      <x:c r="A158" s="49"/>
      <x:c r="B158" s="49"/>
      <x:c r="C158" s="49"/>
      <x:c r="D158" s="49"/>
      <x:c r="E158" s="49"/>
      <x:c r="F158" s="49"/>
      <x:c r="G158" s="49"/>
      <x:c r="H158" s="49"/>
      <x:c r="I158" s="49"/>
      <x:c r="J158" s="49"/>
      <x:c r="K158" s="49"/>
      <x:c r="L158" s="49"/>
      <x:c r="M158" s="49"/>
      <x:c r="N158" s="49"/>
      <x:c r="O158" s="49"/>
      <x:c r="P158" s="49"/>
      <x:c r="Q158" s="49"/>
      <x:c r="R158" s="49"/>
      <x:c r="S158" s="49"/>
      <x:c r="T158" s="49"/>
      <x:c r="U158" s="49"/>
      <x:c r="V158" s="49"/>
      <x:c r="W158" s="49"/>
      <x:c r="X158" s="49"/>
      <x:c r="Y158" s="49"/>
      <x:c r="Z158" s="49"/>
      <x:c r="AA158" s="49"/>
      <x:c r="AB158" s="49"/>
      <x:c r="AC158" s="49"/>
      <x:c r="AD158" s="49"/>
      <x:c r="AE158" s="49"/>
      <x:c r="AF158" s="49"/>
      <x:c r="AG158" s="49"/>
      <x:c r="AH158" s="49"/>
      <x:c r="AI158" s="49"/>
      <x:c r="AJ158" s="49"/>
      <x:c r="AK158" s="49"/>
      <x:c r="AL158" s="49"/>
      <x:c r="AM158" s="49"/>
      <x:c r="AN158" s="49"/>
      <x:c r="AO158" s="49"/>
      <x:c r="AP158" s="49"/>
      <x:c r="AQ158" s="49"/>
      <x:c r="AR158" s="49"/>
      <x:c r="AS158" s="49"/>
      <x:c r="AT158" s="49"/>
      <x:c r="AU158" s="49"/>
      <x:c r="AV158" s="49"/>
      <x:c r="AW158" s="49"/>
      <x:c r="AX158" s="49"/>
      <x:c r="AY158" s="49"/>
      <x:c r="AZ158" s="49"/>
    </x:row>
    <x:row r="159">
      <x:c r="A159" s="49"/>
      <x:c r="B159" s="49"/>
      <x:c r="C159" s="49"/>
      <x:c r="D159" s="49"/>
      <x:c r="E159" s="49"/>
      <x:c r="F159" s="49"/>
      <x:c r="G159" s="49"/>
      <x:c r="H159" s="49"/>
      <x:c r="I159" s="49"/>
      <x:c r="J159" s="49"/>
      <x:c r="K159" s="49"/>
      <x:c r="L159" s="49"/>
      <x:c r="M159" s="49"/>
      <x:c r="N159" s="49"/>
      <x:c r="O159" s="49"/>
      <x:c r="P159" s="49"/>
      <x:c r="Q159" s="49"/>
      <x:c r="R159" s="49"/>
      <x:c r="S159" s="49"/>
      <x:c r="T159" s="49"/>
      <x:c r="U159" s="49"/>
      <x:c r="V159" s="49"/>
      <x:c r="W159" s="49"/>
      <x:c r="X159" s="49"/>
      <x:c r="Y159" s="49"/>
      <x:c r="Z159" s="49"/>
      <x:c r="AA159" s="49"/>
      <x:c r="AB159" s="49"/>
      <x:c r="AC159" s="49"/>
      <x:c r="AD159" s="49"/>
      <x:c r="AE159" s="49"/>
      <x:c r="AF159" s="49"/>
      <x:c r="AG159" s="49"/>
      <x:c r="AH159" s="49"/>
      <x:c r="AI159" s="49"/>
      <x:c r="AJ159" s="49"/>
      <x:c r="AK159" s="49"/>
      <x:c r="AL159" s="49"/>
      <x:c r="AM159" s="49"/>
      <x:c r="AN159" s="49"/>
      <x:c r="AO159" s="49"/>
      <x:c r="AP159" s="49"/>
      <x:c r="AQ159" s="49"/>
      <x:c r="AR159" s="49"/>
      <x:c r="AS159" s="49"/>
      <x:c r="AT159" s="49"/>
      <x:c r="AU159" s="49"/>
      <x:c r="AV159" s="49"/>
      <x:c r="AW159" s="49"/>
      <x:c r="AX159" s="49"/>
      <x:c r="AY159" s="49"/>
      <x:c r="AZ159" s="49"/>
    </x:row>
    <x:row r="160">
      <x:c r="A160" s="49"/>
      <x:c r="B160" s="49"/>
      <x:c r="C160" s="49"/>
      <x:c r="D160" s="49"/>
      <x:c r="E160" s="49"/>
      <x:c r="F160" s="49"/>
      <x:c r="G160" s="49"/>
      <x:c r="H160" s="49"/>
      <x:c r="I160" s="49"/>
      <x:c r="J160" s="49"/>
      <x:c r="K160" s="49"/>
      <x:c r="L160" s="49"/>
      <x:c r="M160" s="49"/>
      <x:c r="N160" s="49"/>
      <x:c r="O160" s="49"/>
      <x:c r="P160" s="49"/>
      <x:c r="Q160" s="49"/>
      <x:c r="R160" s="49"/>
      <x:c r="S160" s="49"/>
      <x:c r="T160" s="49"/>
      <x:c r="U160" s="49"/>
      <x:c r="V160" s="49"/>
      <x:c r="W160" s="49"/>
      <x:c r="X160" s="49"/>
      <x:c r="Y160" s="49"/>
      <x:c r="Z160" s="49"/>
      <x:c r="AA160" s="49"/>
      <x:c r="AB160" s="49"/>
      <x:c r="AC160" s="49"/>
      <x:c r="AD160" s="49"/>
      <x:c r="AE160" s="49"/>
      <x:c r="AF160" s="49"/>
      <x:c r="AG160" s="49"/>
      <x:c r="AH160" s="49"/>
      <x:c r="AI160" s="49"/>
      <x:c r="AJ160" s="49"/>
      <x:c r="AK160" s="49"/>
      <x:c r="AL160" s="49"/>
      <x:c r="AM160" s="49"/>
      <x:c r="AN160" s="49"/>
      <x:c r="AO160" s="49"/>
      <x:c r="AP160" s="49"/>
      <x:c r="AQ160" s="49"/>
      <x:c r="AR160" s="49"/>
      <x:c r="AS160" s="49"/>
      <x:c r="AT160" s="49"/>
      <x:c r="AU160" s="49"/>
      <x:c r="AV160" s="49"/>
      <x:c r="AW160" s="49"/>
      <x:c r="AX160" s="49"/>
      <x:c r="AY160" s="49"/>
      <x:c r="AZ160" s="49"/>
    </x:row>
    <x:row r="161">
      <x:c r="A161" s="49"/>
      <x:c r="B161" s="49"/>
      <x:c r="C161" s="49"/>
      <x:c r="D161" s="49"/>
      <x:c r="E161" s="49"/>
      <x:c r="F161" s="49"/>
      <x:c r="G161" s="49"/>
      <x:c r="H161" s="49"/>
      <x:c r="I161" s="49"/>
      <x:c r="J161" s="49"/>
      <x:c r="K161" s="49"/>
      <x:c r="L161" s="49"/>
      <x:c r="M161" s="49"/>
      <x:c r="N161" s="49"/>
      <x:c r="O161" s="49"/>
      <x:c r="P161" s="49"/>
      <x:c r="Q161" s="49"/>
      <x:c r="R161" s="49"/>
      <x:c r="S161" s="49"/>
      <x:c r="T161" s="49"/>
      <x:c r="U161" s="49"/>
      <x:c r="V161" s="49"/>
      <x:c r="W161" s="49"/>
      <x:c r="X161" s="49"/>
      <x:c r="Y161" s="49"/>
      <x:c r="Z161" s="49"/>
      <x:c r="AA161" s="49"/>
      <x:c r="AB161" s="49"/>
      <x:c r="AC161" s="49"/>
      <x:c r="AD161" s="49"/>
      <x:c r="AE161" s="49"/>
      <x:c r="AF161" s="49"/>
      <x:c r="AG161" s="49"/>
      <x:c r="AH161" s="49"/>
      <x:c r="AI161" s="49"/>
      <x:c r="AJ161" s="49"/>
      <x:c r="AK161" s="49"/>
      <x:c r="AL161" s="49"/>
      <x:c r="AM161" s="49"/>
      <x:c r="AN161" s="49"/>
      <x:c r="AO161" s="49"/>
      <x:c r="AP161" s="49"/>
      <x:c r="AQ161" s="49"/>
      <x:c r="AR161" s="49"/>
      <x:c r="AS161" s="49"/>
      <x:c r="AT161" s="49"/>
      <x:c r="AU161" s="49"/>
      <x:c r="AV161" s="49"/>
      <x:c r="AW161" s="49"/>
      <x:c r="AX161" s="49"/>
      <x:c r="AY161" s="49"/>
      <x:c r="AZ161" s="49"/>
    </x:row>
    <x:row r="162">
      <x:c r="A162" s="49"/>
      <x:c r="B162" s="49"/>
      <x:c r="C162" s="49"/>
      <x:c r="D162" s="49"/>
      <x:c r="E162" s="49"/>
      <x:c r="F162" s="49"/>
      <x:c r="G162" s="49"/>
      <x:c r="H162" s="49"/>
      <x:c r="I162" s="49"/>
      <x:c r="J162" s="49"/>
      <x:c r="K162" s="49"/>
      <x:c r="L162" s="49"/>
      <x:c r="M162" s="49"/>
      <x:c r="N162" s="49"/>
      <x:c r="O162" s="49"/>
      <x:c r="P162" s="49"/>
      <x:c r="Q162" s="49"/>
      <x:c r="R162" s="49"/>
      <x:c r="S162" s="49"/>
      <x:c r="T162" s="49"/>
      <x:c r="U162" s="49"/>
      <x:c r="V162" s="49"/>
      <x:c r="W162" s="49"/>
      <x:c r="X162" s="49"/>
      <x:c r="Y162" s="49"/>
      <x:c r="Z162" s="49"/>
      <x:c r="AA162" s="49"/>
      <x:c r="AB162" s="49"/>
      <x:c r="AC162" s="49"/>
      <x:c r="AD162" s="49"/>
      <x:c r="AE162" s="49"/>
      <x:c r="AF162" s="49"/>
      <x:c r="AG162" s="49"/>
      <x:c r="AH162" s="49"/>
      <x:c r="AI162" s="49"/>
      <x:c r="AJ162" s="49"/>
      <x:c r="AK162" s="49"/>
      <x:c r="AL162" s="49"/>
      <x:c r="AM162" s="49"/>
      <x:c r="AN162" s="49"/>
      <x:c r="AO162" s="49"/>
      <x:c r="AP162" s="49"/>
      <x:c r="AQ162" s="49"/>
      <x:c r="AR162" s="49"/>
      <x:c r="AS162" s="49"/>
      <x:c r="AT162" s="49"/>
      <x:c r="AU162" s="49"/>
      <x:c r="AV162" s="49"/>
      <x:c r="AW162" s="49"/>
      <x:c r="AX162" s="49"/>
      <x:c r="AY162" s="49"/>
      <x:c r="AZ162" s="49"/>
    </x:row>
    <x:row r="163">
      <x:c r="A163" s="49"/>
      <x:c r="B163" s="49"/>
      <x:c r="C163" s="49"/>
      <x:c r="D163" s="49"/>
      <x:c r="E163" s="49"/>
      <x:c r="F163" s="49"/>
      <x:c r="G163" s="49"/>
      <x:c r="H163" s="49"/>
      <x:c r="I163" s="49"/>
      <x:c r="J163" s="49"/>
      <x:c r="K163" s="49"/>
      <x:c r="L163" s="49"/>
      <x:c r="M163" s="49"/>
      <x:c r="N163" s="49"/>
      <x:c r="O163" s="49"/>
      <x:c r="P163" s="49"/>
      <x:c r="Q163" s="49"/>
      <x:c r="R163" s="49"/>
      <x:c r="S163" s="49"/>
      <x:c r="T163" s="49"/>
      <x:c r="U163" s="49"/>
      <x:c r="V163" s="49"/>
      <x:c r="W163" s="49"/>
      <x:c r="X163" s="49"/>
      <x:c r="Y163" s="49"/>
      <x:c r="Z163" s="49"/>
      <x:c r="AA163" s="49"/>
      <x:c r="AB163" s="49"/>
      <x:c r="AC163" s="49"/>
      <x:c r="AD163" s="49"/>
      <x:c r="AE163" s="49"/>
      <x:c r="AF163" s="49"/>
      <x:c r="AG163" s="49"/>
      <x:c r="AH163" s="49"/>
      <x:c r="AI163" s="49"/>
      <x:c r="AJ163" s="49"/>
      <x:c r="AK163" s="49"/>
      <x:c r="AL163" s="49"/>
      <x:c r="AM163" s="49"/>
      <x:c r="AN163" s="49"/>
      <x:c r="AO163" s="49"/>
      <x:c r="AP163" s="49"/>
      <x:c r="AQ163" s="49"/>
      <x:c r="AR163" s="49"/>
      <x:c r="AS163" s="49"/>
      <x:c r="AT163" s="49"/>
      <x:c r="AU163" s="49"/>
      <x:c r="AV163" s="49"/>
      <x:c r="AW163" s="49"/>
      <x:c r="AX163" s="49"/>
      <x:c r="AY163" s="49"/>
      <x:c r="AZ163" s="49"/>
    </x:row>
    <x:row r="164">
      <x:c r="A164" s="49"/>
      <x:c r="B164" s="49"/>
      <x:c r="C164" s="49"/>
      <x:c r="D164" s="49"/>
      <x:c r="E164" s="49"/>
      <x:c r="F164" s="49"/>
      <x:c r="G164" s="49"/>
      <x:c r="H164" s="49"/>
      <x:c r="I164" s="49"/>
      <x:c r="J164" s="49"/>
      <x:c r="K164" s="49"/>
      <x:c r="L164" s="49"/>
      <x:c r="M164" s="49"/>
      <x:c r="N164" s="49"/>
      <x:c r="O164" s="49"/>
      <x:c r="P164" s="49"/>
      <x:c r="Q164" s="49"/>
      <x:c r="R164" s="49"/>
      <x:c r="S164" s="49"/>
      <x:c r="T164" s="49"/>
      <x:c r="U164" s="49"/>
      <x:c r="V164" s="49"/>
      <x:c r="W164" s="49"/>
      <x:c r="X164" s="49"/>
      <x:c r="Y164" s="49"/>
      <x:c r="Z164" s="49"/>
      <x:c r="AA164" s="49"/>
      <x:c r="AB164" s="49"/>
      <x:c r="AC164" s="49"/>
      <x:c r="AD164" s="49"/>
      <x:c r="AE164" s="49"/>
      <x:c r="AF164" s="49"/>
      <x:c r="AG164" s="49"/>
      <x:c r="AH164" s="49"/>
      <x:c r="AI164" s="49"/>
      <x:c r="AJ164" s="49"/>
      <x:c r="AK164" s="49"/>
      <x:c r="AL164" s="49"/>
      <x:c r="AM164" s="49"/>
      <x:c r="AN164" s="49"/>
      <x:c r="AO164" s="49"/>
      <x:c r="AP164" s="49"/>
      <x:c r="AQ164" s="49"/>
      <x:c r="AR164" s="49"/>
      <x:c r="AS164" s="49"/>
      <x:c r="AT164" s="49"/>
      <x:c r="AU164" s="49"/>
      <x:c r="AV164" s="49"/>
      <x:c r="AW164" s="49"/>
      <x:c r="AX164" s="49"/>
      <x:c r="AY164" s="49"/>
      <x:c r="AZ164" s="49"/>
    </x:row>
    <x:row r="165">
      <x:c r="A165" s="49"/>
      <x:c r="B165" s="49"/>
      <x:c r="C165" s="49"/>
      <x:c r="D165" s="49"/>
      <x:c r="E165" s="49"/>
      <x:c r="F165" s="49"/>
      <x:c r="G165" s="49"/>
      <x:c r="H165" s="49"/>
      <x:c r="I165" s="49"/>
      <x:c r="J165" s="49"/>
      <x:c r="K165" s="49"/>
      <x:c r="L165" s="49"/>
      <x:c r="M165" s="49"/>
      <x:c r="N165" s="49"/>
      <x:c r="O165" s="49"/>
      <x:c r="P165" s="49"/>
      <x:c r="Q165" s="49"/>
      <x:c r="R165" s="49"/>
      <x:c r="S165" s="49"/>
      <x:c r="T165" s="49"/>
      <x:c r="U165" s="49"/>
      <x:c r="V165" s="49"/>
      <x:c r="W165" s="49"/>
      <x:c r="X165" s="49"/>
      <x:c r="Y165" s="49"/>
      <x:c r="Z165" s="49"/>
      <x:c r="AA165" s="49"/>
      <x:c r="AB165" s="49"/>
      <x:c r="AC165" s="49"/>
      <x:c r="AD165" s="49"/>
      <x:c r="AE165" s="49"/>
      <x:c r="AF165" s="49"/>
      <x:c r="AG165" s="49"/>
      <x:c r="AH165" s="49"/>
      <x:c r="AI165" s="49"/>
      <x:c r="AJ165" s="49"/>
      <x:c r="AK165" s="49"/>
      <x:c r="AL165" s="49"/>
      <x:c r="AM165" s="49"/>
      <x:c r="AN165" s="49"/>
      <x:c r="AO165" s="49"/>
      <x:c r="AP165" s="49"/>
      <x:c r="AQ165" s="49"/>
      <x:c r="AR165" s="49"/>
      <x:c r="AS165" s="49"/>
      <x:c r="AT165" s="49"/>
      <x:c r="AU165" s="49"/>
      <x:c r="AV165" s="49"/>
      <x:c r="AW165" s="49"/>
      <x:c r="AX165" s="49"/>
      <x:c r="AY165" s="49"/>
      <x:c r="AZ165" s="49"/>
    </x:row>
    <x:row r="166">
      <x:c r="A166" s="49"/>
      <x:c r="B166" s="49"/>
      <x:c r="C166" s="49"/>
      <x:c r="D166" s="49"/>
      <x:c r="E166" s="49"/>
      <x:c r="F166" s="49"/>
      <x:c r="G166" s="49"/>
      <x:c r="H166" s="49"/>
      <x:c r="I166" s="49"/>
      <x:c r="J166" s="49"/>
      <x:c r="K166" s="49"/>
      <x:c r="L166" s="49"/>
      <x:c r="M166" s="49"/>
      <x:c r="N166" s="49"/>
      <x:c r="O166" s="49"/>
      <x:c r="P166" s="49"/>
      <x:c r="Q166" s="49"/>
      <x:c r="R166" s="49"/>
      <x:c r="S166" s="49"/>
      <x:c r="T166" s="49"/>
      <x:c r="U166" s="49"/>
      <x:c r="V166" s="49"/>
      <x:c r="W166" s="49"/>
      <x:c r="X166" s="49"/>
      <x:c r="Y166" s="49"/>
      <x:c r="Z166" s="49"/>
      <x:c r="AA166" s="49"/>
      <x:c r="AB166" s="49"/>
      <x:c r="AC166" s="49"/>
      <x:c r="AD166" s="49"/>
      <x:c r="AE166" s="49"/>
      <x:c r="AF166" s="49"/>
      <x:c r="AG166" s="49"/>
      <x:c r="AH166" s="49"/>
      <x:c r="AI166" s="49"/>
      <x:c r="AJ166" s="49"/>
      <x:c r="AK166" s="49"/>
      <x:c r="AL166" s="49"/>
      <x:c r="AM166" s="49"/>
      <x:c r="AN166" s="49"/>
      <x:c r="AO166" s="49"/>
      <x:c r="AP166" s="49"/>
      <x:c r="AQ166" s="49"/>
      <x:c r="AR166" s="49"/>
      <x:c r="AS166" s="49"/>
      <x:c r="AT166" s="49"/>
      <x:c r="AU166" s="49"/>
      <x:c r="AV166" s="49"/>
      <x:c r="AW166" s="49"/>
      <x:c r="AX166" s="49"/>
      <x:c r="AY166" s="49"/>
      <x:c r="AZ166" s="49"/>
    </x:row>
    <x:row r="167">
      <x:c r="A167" s="49"/>
      <x:c r="B167" s="49"/>
      <x:c r="C167" s="49"/>
      <x:c r="D167" s="49"/>
      <x:c r="E167" s="49"/>
      <x:c r="F167" s="49"/>
      <x:c r="G167" s="49"/>
      <x:c r="H167" s="49"/>
      <x:c r="I167" s="49"/>
      <x:c r="J167" s="49"/>
      <x:c r="K167" s="49"/>
      <x:c r="L167" s="49"/>
      <x:c r="M167" s="49"/>
      <x:c r="N167" s="49"/>
      <x:c r="O167" s="49"/>
      <x:c r="P167" s="49"/>
      <x:c r="Q167" s="49"/>
      <x:c r="R167" s="49"/>
      <x:c r="S167" s="49"/>
      <x:c r="T167" s="49"/>
      <x:c r="U167" s="49"/>
      <x:c r="V167" s="49"/>
      <x:c r="W167" s="49"/>
      <x:c r="X167" s="49"/>
      <x:c r="Y167" s="49"/>
      <x:c r="Z167" s="49"/>
      <x:c r="AA167" s="49"/>
      <x:c r="AB167" s="49"/>
      <x:c r="AC167" s="49"/>
      <x:c r="AD167" s="49"/>
      <x:c r="AE167" s="49"/>
      <x:c r="AF167" s="49"/>
      <x:c r="AG167" s="49"/>
      <x:c r="AH167" s="49"/>
      <x:c r="AI167" s="49"/>
      <x:c r="AJ167" s="49"/>
      <x:c r="AK167" s="49"/>
      <x:c r="AL167" s="49"/>
      <x:c r="AM167" s="49"/>
      <x:c r="AN167" s="49"/>
      <x:c r="AO167" s="49"/>
      <x:c r="AP167" s="49"/>
      <x:c r="AQ167" s="49"/>
      <x:c r="AR167" s="49"/>
      <x:c r="AS167" s="49"/>
      <x:c r="AT167" s="49"/>
      <x:c r="AU167" s="49"/>
      <x:c r="AV167" s="49"/>
      <x:c r="AW167" s="49"/>
      <x:c r="AX167" s="49"/>
      <x:c r="AY167" s="49"/>
      <x:c r="AZ167" s="49"/>
    </x:row>
    <x:row r="168">
      <x:c r="A168" s="49"/>
      <x:c r="B168" s="49"/>
      <x:c r="C168" s="49"/>
      <x:c r="D168" s="49"/>
      <x:c r="E168" s="49"/>
      <x:c r="F168" s="49"/>
      <x:c r="G168" s="49"/>
      <x:c r="H168" s="49"/>
      <x:c r="I168" s="49"/>
      <x:c r="J168" s="49"/>
      <x:c r="K168" s="49"/>
      <x:c r="L168" s="49"/>
      <x:c r="M168" s="49"/>
      <x:c r="N168" s="49"/>
      <x:c r="O168" s="49"/>
      <x:c r="P168" s="49"/>
      <x:c r="Q168" s="49"/>
      <x:c r="R168" s="49"/>
      <x:c r="S168" s="49"/>
      <x:c r="T168" s="49"/>
      <x:c r="U168" s="49"/>
      <x:c r="V168" s="49"/>
      <x:c r="W168" s="49"/>
      <x:c r="X168" s="49"/>
      <x:c r="Y168" s="49"/>
      <x:c r="Z168" s="49"/>
      <x:c r="AA168" s="49"/>
      <x:c r="AB168" s="49"/>
      <x:c r="AC168" s="49"/>
      <x:c r="AD168" s="49"/>
      <x:c r="AE168" s="49"/>
      <x:c r="AF168" s="49"/>
      <x:c r="AG168" s="49"/>
      <x:c r="AH168" s="49"/>
      <x:c r="AI168" s="49"/>
      <x:c r="AJ168" s="49"/>
      <x:c r="AK168" s="49"/>
      <x:c r="AL168" s="49"/>
      <x:c r="AM168" s="49"/>
      <x:c r="AN168" s="49"/>
      <x:c r="AO168" s="49"/>
      <x:c r="AP168" s="49"/>
      <x:c r="AQ168" s="49"/>
      <x:c r="AR168" s="49"/>
      <x:c r="AS168" s="49"/>
      <x:c r="AT168" s="49"/>
      <x:c r="AU168" s="49"/>
      <x:c r="AV168" s="49"/>
      <x:c r="AW168" s="49"/>
      <x:c r="AX168" s="49"/>
      <x:c r="AY168" s="49"/>
      <x:c r="AZ168" s="49"/>
    </x:row>
    <x:row r="169">
      <x:c r="A169" s="49"/>
      <x:c r="B169" s="49"/>
      <x:c r="C169" s="49"/>
      <x:c r="D169" s="49"/>
      <x:c r="E169" s="49"/>
      <x:c r="F169" s="49"/>
      <x:c r="G169" s="49"/>
      <x:c r="H169" s="49"/>
      <x:c r="I169" s="49"/>
      <x:c r="J169" s="49"/>
      <x:c r="K169" s="49"/>
      <x:c r="L169" s="49"/>
      <x:c r="M169" s="49"/>
      <x:c r="N169" s="49"/>
      <x:c r="O169" s="49"/>
      <x:c r="P169" s="49"/>
      <x:c r="Q169" s="49"/>
      <x:c r="R169" s="49"/>
      <x:c r="S169" s="49"/>
      <x:c r="T169" s="49"/>
      <x:c r="U169" s="49"/>
      <x:c r="V169" s="49"/>
      <x:c r="W169" s="49"/>
      <x:c r="X169" s="49"/>
      <x:c r="Y169" s="49"/>
      <x:c r="Z169" s="49"/>
      <x:c r="AA169" s="49"/>
      <x:c r="AB169" s="49"/>
      <x:c r="AC169" s="49"/>
      <x:c r="AD169" s="49"/>
      <x:c r="AE169" s="49"/>
      <x:c r="AF169" s="49"/>
      <x:c r="AG169" s="49"/>
      <x:c r="AH169" s="49"/>
      <x:c r="AI169" s="49"/>
      <x:c r="AJ169" s="49"/>
      <x:c r="AK169" s="49"/>
      <x:c r="AL169" s="49"/>
      <x:c r="AM169" s="49"/>
      <x:c r="AN169" s="49"/>
      <x:c r="AO169" s="49"/>
      <x:c r="AP169" s="49"/>
      <x:c r="AQ169" s="49"/>
      <x:c r="AR169" s="49"/>
      <x:c r="AS169" s="49"/>
      <x:c r="AT169" s="49"/>
      <x:c r="AU169" s="49"/>
      <x:c r="AV169" s="49"/>
      <x:c r="AW169" s="49"/>
      <x:c r="AX169" s="49"/>
      <x:c r="AY169" s="49"/>
      <x:c r="AZ169" s="49"/>
    </x:row>
    <x:row r="170">
      <x:c r="A170" s="49"/>
      <x:c r="B170" s="49"/>
      <x:c r="C170" s="49"/>
      <x:c r="D170" s="49"/>
      <x:c r="E170" s="49"/>
      <x:c r="F170" s="49"/>
      <x:c r="G170" s="49"/>
      <x:c r="H170" s="49"/>
      <x:c r="I170" s="49"/>
      <x:c r="J170" s="49"/>
      <x:c r="K170" s="49"/>
      <x:c r="L170" s="49"/>
      <x:c r="M170" s="49"/>
      <x:c r="N170" s="49"/>
      <x:c r="O170" s="49"/>
      <x:c r="P170" s="49"/>
      <x:c r="Q170" s="49"/>
      <x:c r="R170" s="49"/>
      <x:c r="S170" s="49"/>
      <x:c r="T170" s="49"/>
      <x:c r="U170" s="49"/>
      <x:c r="V170" s="49"/>
      <x:c r="W170" s="49"/>
      <x:c r="X170" s="49"/>
      <x:c r="Y170" s="49"/>
      <x:c r="Z170" s="49"/>
      <x:c r="AA170" s="49"/>
      <x:c r="AB170" s="49"/>
      <x:c r="AC170" s="49"/>
      <x:c r="AD170" s="49"/>
      <x:c r="AE170" s="49"/>
      <x:c r="AF170" s="49"/>
      <x:c r="AG170" s="49"/>
      <x:c r="AH170" s="49"/>
      <x:c r="AI170" s="49"/>
      <x:c r="AJ170" s="49"/>
      <x:c r="AK170" s="49"/>
      <x:c r="AL170" s="49"/>
      <x:c r="AM170" s="49"/>
      <x:c r="AN170" s="49"/>
      <x:c r="AO170" s="49"/>
      <x:c r="AP170" s="49"/>
      <x:c r="AQ170" s="49"/>
      <x:c r="AR170" s="49"/>
      <x:c r="AS170" s="49"/>
      <x:c r="AT170" s="49"/>
      <x:c r="AU170" s="49"/>
      <x:c r="AV170" s="49"/>
      <x:c r="AW170" s="49"/>
      <x:c r="AX170" s="49"/>
      <x:c r="AY170" s="49"/>
      <x:c r="AZ170" s="49"/>
    </x:row>
    <x:row r="171">
      <x:c r="A171" s="49"/>
      <x:c r="B171" s="49"/>
      <x:c r="C171" s="49"/>
      <x:c r="D171" s="49"/>
      <x:c r="E171" s="49"/>
      <x:c r="F171" s="49"/>
      <x:c r="G171" s="49"/>
      <x:c r="H171" s="49"/>
      <x:c r="I171" s="49"/>
      <x:c r="J171" s="49"/>
      <x:c r="K171" s="49"/>
      <x:c r="L171" s="49"/>
      <x:c r="M171" s="49"/>
      <x:c r="N171" s="49"/>
      <x:c r="O171" s="49"/>
      <x:c r="P171" s="49"/>
      <x:c r="Q171" s="49"/>
      <x:c r="R171" s="49"/>
      <x:c r="S171" s="49"/>
      <x:c r="T171" s="49"/>
      <x:c r="U171" s="49"/>
      <x:c r="V171" s="49"/>
      <x:c r="W171" s="49"/>
      <x:c r="X171" s="49"/>
      <x:c r="Y171" s="49"/>
      <x:c r="Z171" s="49"/>
      <x:c r="AA171" s="49"/>
      <x:c r="AB171" s="49"/>
      <x:c r="AC171" s="49"/>
      <x:c r="AD171" s="49"/>
      <x:c r="AE171" s="49"/>
      <x:c r="AF171" s="49"/>
      <x:c r="AG171" s="49"/>
      <x:c r="AH171" s="49"/>
      <x:c r="AI171" s="49"/>
      <x:c r="AJ171" s="49"/>
      <x:c r="AK171" s="49"/>
      <x:c r="AL171" s="49"/>
      <x:c r="AM171" s="49"/>
      <x:c r="AN171" s="49"/>
      <x:c r="AO171" s="49"/>
      <x:c r="AP171" s="49"/>
      <x:c r="AQ171" s="49"/>
      <x:c r="AR171" s="49"/>
      <x:c r="AS171" s="49"/>
      <x:c r="AT171" s="49"/>
      <x:c r="AU171" s="49"/>
      <x:c r="AV171" s="49"/>
      <x:c r="AW171" s="49"/>
      <x:c r="AX171" s="49"/>
      <x:c r="AY171" s="49"/>
      <x:c r="AZ171" s="49"/>
    </x:row>
    <x:row r="172">
      <x:c r="A172" s="49"/>
      <x:c r="B172" s="49"/>
      <x:c r="C172" s="49"/>
      <x:c r="D172" s="49"/>
      <x:c r="E172" s="49"/>
      <x:c r="F172" s="49"/>
      <x:c r="G172" s="49"/>
      <x:c r="H172" s="49"/>
      <x:c r="I172" s="49"/>
      <x:c r="J172" s="49"/>
      <x:c r="K172" s="49"/>
      <x:c r="L172" s="49"/>
      <x:c r="M172" s="49"/>
      <x:c r="N172" s="49"/>
      <x:c r="O172" s="49"/>
      <x:c r="P172" s="49"/>
      <x:c r="Q172" s="49"/>
      <x:c r="R172" s="49"/>
      <x:c r="S172" s="49"/>
      <x:c r="T172" s="49"/>
      <x:c r="U172" s="49"/>
      <x:c r="V172" s="49"/>
      <x:c r="W172" s="49"/>
      <x:c r="X172" s="49"/>
      <x:c r="Y172" s="49"/>
      <x:c r="Z172" s="49"/>
      <x:c r="AA172" s="49"/>
      <x:c r="AB172" s="49"/>
      <x:c r="AC172" s="49"/>
      <x:c r="AD172" s="49"/>
      <x:c r="AE172" s="49"/>
      <x:c r="AF172" s="49"/>
      <x:c r="AG172" s="49"/>
      <x:c r="AH172" s="49"/>
      <x:c r="AI172" s="49"/>
      <x:c r="AJ172" s="49"/>
      <x:c r="AK172" s="49"/>
      <x:c r="AL172" s="49"/>
      <x:c r="AM172" s="49"/>
      <x:c r="AN172" s="49"/>
      <x:c r="AO172" s="49"/>
      <x:c r="AP172" s="49"/>
      <x:c r="AQ172" s="49"/>
      <x:c r="AR172" s="49"/>
      <x:c r="AS172" s="49"/>
      <x:c r="AT172" s="49"/>
      <x:c r="AU172" s="49"/>
      <x:c r="AV172" s="49"/>
      <x:c r="AW172" s="49"/>
      <x:c r="AX172" s="49"/>
      <x:c r="AY172" s="49"/>
      <x:c r="AZ172" s="49"/>
    </x:row>
    <x:row r="173">
      <x:c r="A173" s="49"/>
      <x:c r="B173" s="49"/>
      <x:c r="C173" s="49"/>
      <x:c r="D173" s="49"/>
      <x:c r="E173" s="49"/>
      <x:c r="F173" s="49"/>
      <x:c r="G173" s="49"/>
      <x:c r="H173" s="49"/>
      <x:c r="I173" s="49"/>
      <x:c r="J173" s="49"/>
      <x:c r="K173" s="49"/>
      <x:c r="L173" s="49"/>
      <x:c r="M173" s="49"/>
      <x:c r="N173" s="49"/>
      <x:c r="O173" s="49"/>
      <x:c r="P173" s="49"/>
      <x:c r="Q173" s="49"/>
      <x:c r="R173" s="49"/>
      <x:c r="S173" s="49"/>
      <x:c r="T173" s="49"/>
      <x:c r="U173" s="49"/>
      <x:c r="V173" s="49"/>
      <x:c r="W173" s="49"/>
      <x:c r="X173" s="49"/>
      <x:c r="Y173" s="49"/>
      <x:c r="Z173" s="49"/>
      <x:c r="AA173" s="49"/>
      <x:c r="AB173" s="49"/>
      <x:c r="AC173" s="49"/>
      <x:c r="AD173" s="49"/>
      <x:c r="AE173" s="49"/>
      <x:c r="AF173" s="49"/>
      <x:c r="AG173" s="49"/>
      <x:c r="AH173" s="49"/>
      <x:c r="AI173" s="49"/>
      <x:c r="AJ173" s="49"/>
      <x:c r="AK173" s="49"/>
      <x:c r="AL173" s="49"/>
      <x:c r="AM173" s="49"/>
      <x:c r="AN173" s="49"/>
      <x:c r="AO173" s="49"/>
      <x:c r="AP173" s="49"/>
      <x:c r="AQ173" s="49"/>
      <x:c r="AR173" s="49"/>
      <x:c r="AS173" s="49"/>
      <x:c r="AT173" s="49"/>
      <x:c r="AU173" s="49"/>
      <x:c r="AV173" s="49"/>
      <x:c r="AW173" s="49"/>
      <x:c r="AX173" s="49"/>
      <x:c r="AY173" s="49"/>
      <x:c r="AZ173" s="49"/>
    </x:row>
    <x:row r="174">
      <x:c r="A174" s="49"/>
      <x:c r="B174" s="49"/>
      <x:c r="C174" s="49"/>
      <x:c r="D174" s="49"/>
      <x:c r="E174" s="49"/>
      <x:c r="F174" s="49"/>
      <x:c r="G174" s="49"/>
      <x:c r="H174" s="49"/>
      <x:c r="I174" s="49"/>
      <x:c r="J174" s="49"/>
      <x:c r="K174" s="49"/>
      <x:c r="L174" s="49"/>
      <x:c r="M174" s="49"/>
      <x:c r="N174" s="49"/>
      <x:c r="O174" s="49"/>
      <x:c r="P174" s="49"/>
      <x:c r="Q174" s="49"/>
      <x:c r="R174" s="49"/>
      <x:c r="S174" s="49"/>
      <x:c r="T174" s="49"/>
      <x:c r="U174" s="49"/>
      <x:c r="V174" s="49"/>
      <x:c r="W174" s="49"/>
      <x:c r="X174" s="49"/>
      <x:c r="Y174" s="49"/>
      <x:c r="Z174" s="49"/>
      <x:c r="AA174" s="49"/>
      <x:c r="AB174" s="49"/>
      <x:c r="AC174" s="49"/>
      <x:c r="AD174" s="49"/>
      <x:c r="AE174" s="49"/>
      <x:c r="AF174" s="49"/>
      <x:c r="AG174" s="49"/>
      <x:c r="AH174" s="49"/>
      <x:c r="AI174" s="49"/>
      <x:c r="AJ174" s="49"/>
      <x:c r="AK174" s="49"/>
      <x:c r="AL174" s="49"/>
      <x:c r="AM174" s="49"/>
      <x:c r="AN174" s="49"/>
      <x:c r="AO174" s="49"/>
      <x:c r="AP174" s="49"/>
      <x:c r="AQ174" s="49"/>
      <x:c r="AR174" s="49"/>
      <x:c r="AS174" s="49"/>
      <x:c r="AT174" s="49"/>
      <x:c r="AU174" s="49"/>
      <x:c r="AV174" s="49"/>
      <x:c r="AW174" s="49"/>
      <x:c r="AX174" s="49"/>
      <x:c r="AY174" s="49"/>
      <x:c r="AZ174" s="49"/>
    </x:row>
    <x:row r="175">
      <x:c r="A175" s="49"/>
      <x:c r="B175" s="49"/>
      <x:c r="C175" s="49"/>
      <x:c r="D175" s="49"/>
      <x:c r="E175" s="49"/>
      <x:c r="F175" s="49"/>
      <x:c r="G175" s="49"/>
      <x:c r="H175" s="49"/>
      <x:c r="I175" s="49"/>
      <x:c r="J175" s="49"/>
      <x:c r="K175" s="49"/>
      <x:c r="L175" s="49"/>
      <x:c r="M175" s="49"/>
      <x:c r="N175" s="49"/>
      <x:c r="O175" s="49"/>
      <x:c r="P175" s="49"/>
      <x:c r="Q175" s="49"/>
      <x:c r="R175" s="49"/>
      <x:c r="S175" s="49"/>
      <x:c r="T175" s="49"/>
      <x:c r="U175" s="49"/>
      <x:c r="V175" s="49"/>
      <x:c r="W175" s="49"/>
      <x:c r="X175" s="49"/>
      <x:c r="Y175" s="49"/>
      <x:c r="Z175" s="49"/>
      <x:c r="AA175" s="49"/>
      <x:c r="AB175" s="49"/>
      <x:c r="AC175" s="49"/>
      <x:c r="AD175" s="49"/>
      <x:c r="AE175" s="49"/>
      <x:c r="AF175" s="49"/>
      <x:c r="AG175" s="49"/>
      <x:c r="AH175" s="49"/>
      <x:c r="AI175" s="49"/>
      <x:c r="AJ175" s="49"/>
      <x:c r="AK175" s="49"/>
      <x:c r="AL175" s="49"/>
      <x:c r="AM175" s="49"/>
      <x:c r="AN175" s="49"/>
      <x:c r="AO175" s="49"/>
      <x:c r="AP175" s="49"/>
      <x:c r="AQ175" s="49"/>
      <x:c r="AR175" s="49"/>
      <x:c r="AS175" s="49"/>
      <x:c r="AT175" s="49"/>
      <x:c r="AU175" s="49"/>
      <x:c r="AV175" s="49"/>
      <x:c r="AW175" s="49"/>
      <x:c r="AX175" s="49"/>
      <x:c r="AY175" s="49"/>
      <x:c r="AZ175" s="49"/>
    </x:row>
    <x:row r="176">
      <x:c r="A176" s="49"/>
      <x:c r="B176" s="49"/>
      <x:c r="C176" s="49"/>
      <x:c r="D176" s="49"/>
      <x:c r="E176" s="49"/>
      <x:c r="F176" s="49"/>
      <x:c r="G176" s="49"/>
      <x:c r="H176" s="49"/>
      <x:c r="I176" s="49"/>
      <x:c r="J176" s="49"/>
      <x:c r="K176" s="49"/>
      <x:c r="L176" s="49"/>
      <x:c r="M176" s="49"/>
      <x:c r="N176" s="49"/>
      <x:c r="O176" s="49"/>
      <x:c r="P176" s="49"/>
      <x:c r="Q176" s="49"/>
      <x:c r="R176" s="49"/>
      <x:c r="S176" s="49"/>
      <x:c r="T176" s="49"/>
      <x:c r="U176" s="49"/>
      <x:c r="V176" s="49"/>
      <x:c r="W176" s="49"/>
      <x:c r="X176" s="49"/>
      <x:c r="Y176" s="49"/>
      <x:c r="Z176" s="49"/>
      <x:c r="AA176" s="49"/>
      <x:c r="AB176" s="49"/>
      <x:c r="AC176" s="49"/>
      <x:c r="AD176" s="49"/>
      <x:c r="AE176" s="49"/>
      <x:c r="AF176" s="49"/>
      <x:c r="AG176" s="49"/>
      <x:c r="AH176" s="49"/>
      <x:c r="AI176" s="49"/>
      <x:c r="AJ176" s="49"/>
      <x:c r="AK176" s="49"/>
      <x:c r="AL176" s="49"/>
      <x:c r="AM176" s="49"/>
      <x:c r="AN176" s="49"/>
      <x:c r="AO176" s="49"/>
      <x:c r="AP176" s="49"/>
      <x:c r="AQ176" s="49"/>
      <x:c r="AR176" s="49"/>
      <x:c r="AS176" s="49"/>
      <x:c r="AT176" s="49"/>
      <x:c r="AU176" s="49"/>
      <x:c r="AV176" s="49"/>
      <x:c r="AW176" s="49"/>
      <x:c r="AX176" s="49"/>
      <x:c r="AY176" s="49"/>
      <x:c r="AZ176" s="49"/>
    </x:row>
    <x:row r="177">
      <x:c r="A177" s="49"/>
      <x:c r="B177" s="49"/>
      <x:c r="C177" s="49"/>
      <x:c r="D177" s="49"/>
      <x:c r="E177" s="49"/>
      <x:c r="F177" s="49"/>
      <x:c r="G177" s="49"/>
      <x:c r="H177" s="49"/>
      <x:c r="I177" s="49"/>
      <x:c r="J177" s="49"/>
      <x:c r="K177" s="49"/>
      <x:c r="L177" s="49"/>
      <x:c r="M177" s="49"/>
      <x:c r="N177" s="49"/>
      <x:c r="O177" s="49"/>
      <x:c r="P177" s="49"/>
      <x:c r="Q177" s="49"/>
      <x:c r="R177" s="49"/>
      <x:c r="S177" s="49"/>
      <x:c r="T177" s="49"/>
      <x:c r="U177" s="49"/>
      <x:c r="V177" s="49"/>
      <x:c r="W177" s="49"/>
      <x:c r="X177" s="49"/>
      <x:c r="Y177" s="49"/>
      <x:c r="Z177" s="49"/>
      <x:c r="AA177" s="49"/>
      <x:c r="AB177" s="49"/>
      <x:c r="AC177" s="49"/>
      <x:c r="AD177" s="49"/>
      <x:c r="AE177" s="49"/>
      <x:c r="AF177" s="49"/>
      <x:c r="AG177" s="49"/>
      <x:c r="AH177" s="49"/>
      <x:c r="AI177" s="49"/>
      <x:c r="AJ177" s="49"/>
      <x:c r="AK177" s="49"/>
      <x:c r="AL177" s="49"/>
      <x:c r="AM177" s="49"/>
      <x:c r="AN177" s="49"/>
      <x:c r="AO177" s="49"/>
      <x:c r="AP177" s="49"/>
      <x:c r="AQ177" s="49"/>
      <x:c r="AR177" s="49"/>
      <x:c r="AS177" s="49"/>
      <x:c r="AT177" s="49"/>
      <x:c r="AU177" s="49"/>
      <x:c r="AV177" s="49"/>
      <x:c r="AW177" s="49"/>
      <x:c r="AX177" s="49"/>
      <x:c r="AY177" s="49"/>
      <x:c r="AZ177" s="49"/>
    </x:row>
    <x:row r="178">
      <x:c r="A178" s="49"/>
      <x:c r="B178" s="49"/>
      <x:c r="C178" s="49"/>
      <x:c r="D178" s="49"/>
      <x:c r="E178" s="49"/>
      <x:c r="F178" s="49"/>
      <x:c r="G178" s="49"/>
      <x:c r="H178" s="49"/>
      <x:c r="I178" s="49"/>
      <x:c r="J178" s="49"/>
      <x:c r="K178" s="49"/>
      <x:c r="L178" s="49"/>
      <x:c r="M178" s="49"/>
      <x:c r="N178" s="49"/>
      <x:c r="O178" s="49"/>
      <x:c r="P178" s="49"/>
      <x:c r="Q178" s="49"/>
      <x:c r="R178" s="49"/>
      <x:c r="S178" s="49"/>
      <x:c r="T178" s="49"/>
      <x:c r="U178" s="49"/>
      <x:c r="V178" s="49"/>
      <x:c r="W178" s="49"/>
      <x:c r="X178" s="49"/>
      <x:c r="Y178" s="49"/>
      <x:c r="Z178" s="49"/>
      <x:c r="AA178" s="49"/>
      <x:c r="AB178" s="49"/>
      <x:c r="AC178" s="49"/>
      <x:c r="AD178" s="49"/>
      <x:c r="AE178" s="49"/>
      <x:c r="AF178" s="49"/>
      <x:c r="AG178" s="49"/>
      <x:c r="AH178" s="49"/>
      <x:c r="AI178" s="49"/>
      <x:c r="AJ178" s="49"/>
      <x:c r="AK178" s="49"/>
      <x:c r="AL178" s="49"/>
      <x:c r="AM178" s="49"/>
      <x:c r="AN178" s="49"/>
      <x:c r="AO178" s="49"/>
      <x:c r="AP178" s="49"/>
      <x:c r="AQ178" s="49"/>
      <x:c r="AR178" s="49"/>
      <x:c r="AS178" s="49"/>
      <x:c r="AT178" s="49"/>
      <x:c r="AU178" s="49"/>
      <x:c r="AV178" s="49"/>
      <x:c r="AW178" s="49"/>
      <x:c r="AX178" s="49"/>
      <x:c r="AY178" s="49"/>
      <x:c r="AZ178" s="49"/>
    </x:row>
    <x:row r="179">
      <x:c r="A179" s="49"/>
      <x:c r="B179" s="49"/>
      <x:c r="C179" s="49"/>
      <x:c r="D179" s="49"/>
      <x:c r="E179" s="49"/>
      <x:c r="F179" s="49"/>
      <x:c r="G179" s="49"/>
      <x:c r="H179" s="49"/>
      <x:c r="I179" s="49"/>
      <x:c r="J179" s="49"/>
      <x:c r="K179" s="49"/>
      <x:c r="L179" s="49"/>
      <x:c r="M179" s="49"/>
      <x:c r="N179" s="49"/>
      <x:c r="O179" s="49"/>
      <x:c r="P179" s="49"/>
      <x:c r="Q179" s="49"/>
      <x:c r="R179" s="49"/>
      <x:c r="S179" s="49"/>
      <x:c r="T179" s="49"/>
      <x:c r="U179" s="49"/>
      <x:c r="V179" s="49"/>
      <x:c r="W179" s="49"/>
      <x:c r="X179" s="49"/>
      <x:c r="Y179" s="49"/>
      <x:c r="Z179" s="49"/>
      <x:c r="AA179" s="49"/>
      <x:c r="AB179" s="49"/>
      <x:c r="AC179" s="49"/>
      <x:c r="AD179" s="49"/>
      <x:c r="AE179" s="49"/>
      <x:c r="AF179" s="49"/>
      <x:c r="AG179" s="49"/>
      <x:c r="AH179" s="49"/>
      <x:c r="AI179" s="49"/>
      <x:c r="AJ179" s="49"/>
      <x:c r="AK179" s="49"/>
      <x:c r="AL179" s="49"/>
      <x:c r="AM179" s="49"/>
      <x:c r="AN179" s="49"/>
      <x:c r="AO179" s="49"/>
      <x:c r="AP179" s="49"/>
      <x:c r="AQ179" s="49"/>
      <x:c r="AR179" s="49"/>
      <x:c r="AS179" s="49"/>
      <x:c r="AT179" s="49"/>
      <x:c r="AU179" s="49"/>
      <x:c r="AV179" s="49"/>
      <x:c r="AW179" s="49"/>
      <x:c r="AX179" s="49"/>
      <x:c r="AY179" s="49"/>
      <x:c r="AZ179" s="49"/>
    </x:row>
    <x:row r="180">
      <x:c r="A180" s="49"/>
      <x:c r="B180" s="49"/>
      <x:c r="C180" s="49"/>
      <x:c r="D180" s="49"/>
      <x:c r="E180" s="49"/>
      <x:c r="F180" s="49"/>
      <x:c r="G180" s="49"/>
      <x:c r="H180" s="49"/>
      <x:c r="I180" s="49"/>
      <x:c r="J180" s="49"/>
      <x:c r="K180" s="49"/>
      <x:c r="L180" s="49"/>
      <x:c r="M180" s="49"/>
      <x:c r="N180" s="49"/>
      <x:c r="O180" s="49"/>
      <x:c r="P180" s="49"/>
      <x:c r="Q180" s="49"/>
      <x:c r="R180" s="49"/>
      <x:c r="S180" s="49"/>
      <x:c r="T180" s="49"/>
      <x:c r="U180" s="49"/>
      <x:c r="V180" s="49"/>
      <x:c r="W180" s="49"/>
      <x:c r="X180" s="49"/>
      <x:c r="Y180" s="49"/>
      <x:c r="Z180" s="49"/>
      <x:c r="AA180" s="49"/>
      <x:c r="AB180" s="49"/>
      <x:c r="AC180" s="49"/>
      <x:c r="AD180" s="49"/>
      <x:c r="AE180" s="49"/>
      <x:c r="AF180" s="49"/>
      <x:c r="AG180" s="49"/>
      <x:c r="AH180" s="49"/>
      <x:c r="AI180" s="49"/>
      <x:c r="AJ180" s="49"/>
      <x:c r="AK180" s="49"/>
      <x:c r="AL180" s="49"/>
      <x:c r="AM180" s="49"/>
      <x:c r="AN180" s="49"/>
      <x:c r="AO180" s="49"/>
      <x:c r="AP180" s="49"/>
      <x:c r="AQ180" s="49"/>
      <x:c r="AR180" s="49"/>
      <x:c r="AS180" s="49"/>
      <x:c r="AT180" s="49"/>
      <x:c r="AU180" s="49"/>
      <x:c r="AV180" s="49"/>
      <x:c r="AW180" s="49"/>
      <x:c r="AX180" s="49"/>
      <x:c r="AY180" s="49"/>
      <x:c r="AZ180" s="49"/>
    </x:row>
    <x:row r="181">
      <x:c r="A181" s="49"/>
      <x:c r="B181" s="49"/>
      <x:c r="C181" s="49"/>
      <x:c r="D181" s="49"/>
      <x:c r="E181" s="49"/>
      <x:c r="F181" s="49"/>
      <x:c r="G181" s="49"/>
      <x:c r="H181" s="49"/>
      <x:c r="I181" s="49"/>
      <x:c r="J181" s="49"/>
      <x:c r="K181" s="49"/>
      <x:c r="L181" s="49"/>
      <x:c r="M181" s="49"/>
      <x:c r="N181" s="49"/>
      <x:c r="O181" s="49"/>
      <x:c r="P181" s="49"/>
      <x:c r="Q181" s="49"/>
      <x:c r="R181" s="49"/>
      <x:c r="S181" s="49"/>
      <x:c r="T181" s="49"/>
      <x:c r="U181" s="49"/>
      <x:c r="V181" s="49"/>
      <x:c r="W181" s="49"/>
      <x:c r="X181" s="49"/>
      <x:c r="Y181" s="49"/>
      <x:c r="Z181" s="49"/>
      <x:c r="AA181" s="49"/>
      <x:c r="AB181" s="49"/>
      <x:c r="AC181" s="49"/>
      <x:c r="AD181" s="49"/>
      <x:c r="AE181" s="49"/>
      <x:c r="AF181" s="49"/>
      <x:c r="AG181" s="49"/>
      <x:c r="AH181" s="49"/>
      <x:c r="AI181" s="49"/>
      <x:c r="AJ181" s="49"/>
      <x:c r="AK181" s="49"/>
      <x:c r="AL181" s="49"/>
      <x:c r="AM181" s="49"/>
      <x:c r="AN181" s="49"/>
      <x:c r="AO181" s="49"/>
      <x:c r="AP181" s="49"/>
      <x:c r="AQ181" s="49"/>
      <x:c r="AR181" s="49"/>
      <x:c r="AS181" s="49"/>
      <x:c r="AT181" s="49"/>
      <x:c r="AU181" s="49"/>
      <x:c r="AV181" s="49"/>
      <x:c r="AW181" s="49"/>
      <x:c r="AX181" s="49"/>
      <x:c r="AY181" s="49"/>
      <x:c r="AZ181" s="49"/>
    </x:row>
    <x:row r="182">
      <x:c r="A182" s="49"/>
      <x:c r="B182" s="49"/>
      <x:c r="C182" s="49"/>
      <x:c r="D182" s="49"/>
      <x:c r="E182" s="49"/>
      <x:c r="F182" s="49"/>
      <x:c r="G182" s="49"/>
      <x:c r="H182" s="49"/>
      <x:c r="I182" s="49"/>
      <x:c r="J182" s="49"/>
      <x:c r="K182" s="49"/>
      <x:c r="L182" s="49"/>
      <x:c r="M182" s="49"/>
      <x:c r="N182" s="49"/>
      <x:c r="O182" s="49"/>
      <x:c r="P182" s="49"/>
      <x:c r="Q182" s="49"/>
      <x:c r="R182" s="49"/>
      <x:c r="S182" s="49"/>
      <x:c r="T182" s="49"/>
      <x:c r="U182" s="49"/>
      <x:c r="V182" s="49"/>
      <x:c r="W182" s="49"/>
      <x:c r="X182" s="49"/>
      <x:c r="Y182" s="49"/>
      <x:c r="Z182" s="49"/>
      <x:c r="AA182" s="49"/>
      <x:c r="AB182" s="49"/>
      <x:c r="AC182" s="49"/>
      <x:c r="AD182" s="49"/>
      <x:c r="AE182" s="49"/>
      <x:c r="AF182" s="49"/>
      <x:c r="AG182" s="49"/>
      <x:c r="AH182" s="49"/>
      <x:c r="AI182" s="49"/>
      <x:c r="AJ182" s="49"/>
      <x:c r="AK182" s="49"/>
      <x:c r="AL182" s="49"/>
      <x:c r="AM182" s="49"/>
      <x:c r="AN182" s="49"/>
      <x:c r="AO182" s="49"/>
      <x:c r="AP182" s="49"/>
      <x:c r="AQ182" s="49"/>
      <x:c r="AR182" s="49"/>
      <x:c r="AS182" s="49"/>
      <x:c r="AT182" s="49"/>
      <x:c r="AU182" s="49"/>
      <x:c r="AV182" s="49"/>
      <x:c r="AW182" s="49"/>
      <x:c r="AX182" s="49"/>
      <x:c r="AY182" s="49"/>
      <x:c r="AZ182" s="49"/>
    </x:row>
    <x:row r="183">
      <x:c r="A183" s="49"/>
      <x:c r="B183" s="49"/>
      <x:c r="C183" s="49"/>
      <x:c r="D183" s="49"/>
      <x:c r="E183" s="49"/>
      <x:c r="F183" s="49"/>
      <x:c r="G183" s="49"/>
      <x:c r="H183" s="49"/>
      <x:c r="I183" s="49"/>
      <x:c r="J183" s="49"/>
      <x:c r="K183" s="49"/>
      <x:c r="L183" s="49"/>
      <x:c r="M183" s="49"/>
      <x:c r="N183" s="49"/>
      <x:c r="O183" s="49"/>
      <x:c r="P183" s="49"/>
      <x:c r="Q183" s="49"/>
      <x:c r="R183" s="49"/>
      <x:c r="S183" s="49"/>
      <x:c r="T183" s="49"/>
      <x:c r="U183" s="49"/>
      <x:c r="V183" s="49"/>
      <x:c r="W183" s="49"/>
      <x:c r="X183" s="49"/>
      <x:c r="Y183" s="49"/>
      <x:c r="Z183" s="49"/>
      <x:c r="AA183" s="49"/>
      <x:c r="AB183" s="49"/>
      <x:c r="AC183" s="49"/>
      <x:c r="AD183" s="49"/>
      <x:c r="AE183" s="49"/>
      <x:c r="AF183" s="49"/>
      <x:c r="AG183" s="49"/>
      <x:c r="AH183" s="49"/>
      <x:c r="AI183" s="49"/>
      <x:c r="AJ183" s="49"/>
      <x:c r="AK183" s="49"/>
      <x:c r="AL183" s="49"/>
      <x:c r="AM183" s="49"/>
      <x:c r="AN183" s="49"/>
      <x:c r="AO183" s="49"/>
      <x:c r="AP183" s="49"/>
      <x:c r="AQ183" s="49"/>
      <x:c r="AR183" s="49"/>
      <x:c r="AS183" s="49"/>
      <x:c r="AT183" s="49"/>
      <x:c r="AU183" s="49"/>
      <x:c r="AV183" s="49"/>
      <x:c r="AW183" s="49"/>
      <x:c r="AX183" s="49"/>
      <x:c r="AY183" s="49"/>
      <x:c r="AZ183" s="49"/>
    </x:row>
    <x:row r="184">
      <x:c r="A184" s="49"/>
      <x:c r="B184" s="49"/>
      <x:c r="C184" s="49"/>
      <x:c r="D184" s="49"/>
      <x:c r="E184" s="49"/>
      <x:c r="F184" s="49"/>
      <x:c r="G184" s="49"/>
      <x:c r="H184" s="49"/>
      <x:c r="I184" s="49"/>
      <x:c r="J184" s="49"/>
      <x:c r="K184" s="49"/>
      <x:c r="L184" s="49"/>
      <x:c r="M184" s="49"/>
      <x:c r="N184" s="49"/>
      <x:c r="O184" s="49"/>
      <x:c r="P184" s="49"/>
      <x:c r="Q184" s="49"/>
      <x:c r="R184" s="49"/>
      <x:c r="S184" s="49"/>
      <x:c r="T184" s="49"/>
      <x:c r="U184" s="49"/>
      <x:c r="V184" s="49"/>
      <x:c r="W184" s="49"/>
      <x:c r="X184" s="49"/>
      <x:c r="Y184" s="49"/>
      <x:c r="Z184" s="49"/>
      <x:c r="AA184" s="49"/>
      <x:c r="AB184" s="49"/>
      <x:c r="AC184" s="49"/>
      <x:c r="AD184" s="49"/>
      <x:c r="AE184" s="49"/>
      <x:c r="AF184" s="49"/>
      <x:c r="AG184" s="49"/>
      <x:c r="AH184" s="49"/>
      <x:c r="AI184" s="49"/>
      <x:c r="AJ184" s="49"/>
      <x:c r="AK184" s="49"/>
      <x:c r="AL184" s="49"/>
      <x:c r="AM184" s="49"/>
      <x:c r="AN184" s="49"/>
      <x:c r="AO184" s="49"/>
      <x:c r="AP184" s="49"/>
      <x:c r="AQ184" s="49"/>
      <x:c r="AR184" s="49"/>
      <x:c r="AS184" s="49"/>
      <x:c r="AT184" s="49"/>
      <x:c r="AU184" s="49"/>
      <x:c r="AV184" s="49"/>
      <x:c r="AW184" s="49"/>
      <x:c r="AX184" s="49"/>
      <x:c r="AY184" s="49"/>
      <x:c r="AZ184" s="49"/>
    </x:row>
    <x:row r="185">
      <x:c r="A185" s="49"/>
      <x:c r="B185" s="49"/>
      <x:c r="C185" s="49"/>
      <x:c r="D185" s="49"/>
      <x:c r="E185" s="49"/>
      <x:c r="F185" s="49"/>
      <x:c r="G185" s="49"/>
      <x:c r="H185" s="49"/>
      <x:c r="I185" s="49"/>
      <x:c r="J185" s="49"/>
      <x:c r="K185" s="49"/>
      <x:c r="L185" s="49"/>
      <x:c r="M185" s="49"/>
      <x:c r="N185" s="49"/>
      <x:c r="O185" s="49"/>
      <x:c r="P185" s="49"/>
      <x:c r="Q185" s="49"/>
      <x:c r="R185" s="49"/>
      <x:c r="S185" s="49"/>
      <x:c r="T185" s="49"/>
      <x:c r="U185" s="49"/>
      <x:c r="V185" s="49"/>
      <x:c r="W185" s="49"/>
      <x:c r="X185" s="49"/>
      <x:c r="Y185" s="49"/>
      <x:c r="Z185" s="49"/>
      <x:c r="AA185" s="49"/>
      <x:c r="AB185" s="49"/>
      <x:c r="AC185" s="49"/>
      <x:c r="AD185" s="49"/>
      <x:c r="AE185" s="49"/>
      <x:c r="AF185" s="49"/>
      <x:c r="AG185" s="49"/>
      <x:c r="AH185" s="49"/>
      <x:c r="AI185" s="49"/>
      <x:c r="AJ185" s="49"/>
      <x:c r="AK185" s="49"/>
      <x:c r="AL185" s="49"/>
      <x:c r="AM185" s="49"/>
      <x:c r="AN185" s="49"/>
      <x:c r="AO185" s="49"/>
      <x:c r="AP185" s="49"/>
      <x:c r="AQ185" s="49"/>
      <x:c r="AR185" s="49"/>
      <x:c r="AS185" s="49"/>
      <x:c r="AT185" s="49"/>
      <x:c r="AU185" s="49"/>
      <x:c r="AV185" s="49"/>
      <x:c r="AW185" s="49"/>
      <x:c r="AX185" s="49"/>
      <x:c r="AY185" s="49"/>
      <x:c r="AZ185" s="49"/>
    </x:row>
    <x:row r="186">
      <x:c r="A186" s="49"/>
      <x:c r="B186" s="49"/>
      <x:c r="C186" s="49"/>
      <x:c r="D186" s="49"/>
      <x:c r="E186" s="49"/>
      <x:c r="F186" s="49"/>
      <x:c r="G186" s="49"/>
      <x:c r="H186" s="49"/>
      <x:c r="I186" s="49"/>
      <x:c r="J186" s="49"/>
      <x:c r="K186" s="49"/>
      <x:c r="L186" s="49"/>
      <x:c r="M186" s="49"/>
      <x:c r="N186" s="49"/>
      <x:c r="O186" s="49"/>
      <x:c r="P186" s="49"/>
      <x:c r="Q186" s="49"/>
      <x:c r="R186" s="49"/>
      <x:c r="S186" s="49"/>
      <x:c r="T186" s="49"/>
      <x:c r="U186" s="49"/>
      <x:c r="V186" s="49"/>
      <x:c r="W186" s="49"/>
      <x:c r="X186" s="49"/>
      <x:c r="Y186" s="49"/>
      <x:c r="Z186" s="49"/>
      <x:c r="AA186" s="49"/>
      <x:c r="AB186" s="49"/>
      <x:c r="AC186" s="49"/>
      <x:c r="AD186" s="49"/>
      <x:c r="AE186" s="49"/>
      <x:c r="AF186" s="49"/>
      <x:c r="AG186" s="49"/>
      <x:c r="AH186" s="49"/>
      <x:c r="AI186" s="49"/>
      <x:c r="AJ186" s="49"/>
      <x:c r="AK186" s="49"/>
      <x:c r="AL186" s="49"/>
      <x:c r="AM186" s="49"/>
      <x:c r="AN186" s="49"/>
      <x:c r="AO186" s="49"/>
      <x:c r="AP186" s="49"/>
      <x:c r="AQ186" s="49"/>
      <x:c r="AR186" s="49"/>
      <x:c r="AS186" s="49"/>
      <x:c r="AT186" s="49"/>
      <x:c r="AU186" s="49"/>
      <x:c r="AV186" s="49"/>
      <x:c r="AW186" s="49"/>
      <x:c r="AX186" s="49"/>
      <x:c r="AY186" s="49"/>
      <x:c r="AZ186" s="49"/>
    </x:row>
    <x:row r="187">
      <x:c r="A187" s="49"/>
      <x:c r="B187" s="49"/>
      <x:c r="C187" s="49"/>
      <x:c r="D187" s="49"/>
      <x:c r="E187" s="49"/>
      <x:c r="F187" s="49"/>
      <x:c r="G187" s="49"/>
      <x:c r="H187" s="49"/>
      <x:c r="I187" s="49"/>
      <x:c r="J187" s="49"/>
      <x:c r="K187" s="49"/>
      <x:c r="L187" s="49"/>
      <x:c r="M187" s="49"/>
      <x:c r="N187" s="49"/>
      <x:c r="O187" s="49"/>
      <x:c r="P187" s="49"/>
      <x:c r="Q187" s="49"/>
      <x:c r="R187" s="49"/>
      <x:c r="S187" s="49"/>
      <x:c r="T187" s="49"/>
      <x:c r="U187" s="49"/>
      <x:c r="V187" s="49"/>
      <x:c r="W187" s="49"/>
      <x:c r="X187" s="49"/>
      <x:c r="Y187" s="49"/>
      <x:c r="Z187" s="49"/>
      <x:c r="AA187" s="49"/>
      <x:c r="AB187" s="49"/>
      <x:c r="AC187" s="49"/>
      <x:c r="AD187" s="49"/>
      <x:c r="AE187" s="49"/>
      <x:c r="AF187" s="49"/>
      <x:c r="AG187" s="49"/>
      <x:c r="AH187" s="49"/>
      <x:c r="AI187" s="49"/>
      <x:c r="AJ187" s="49"/>
      <x:c r="AK187" s="49"/>
      <x:c r="AL187" s="49"/>
      <x:c r="AM187" s="49"/>
      <x:c r="AN187" s="49"/>
      <x:c r="AO187" s="49"/>
      <x:c r="AP187" s="49"/>
      <x:c r="AQ187" s="49"/>
      <x:c r="AR187" s="49"/>
      <x:c r="AS187" s="49"/>
      <x:c r="AT187" s="49"/>
      <x:c r="AU187" s="49"/>
      <x:c r="AV187" s="49"/>
      <x:c r="AW187" s="49"/>
      <x:c r="AX187" s="49"/>
      <x:c r="AY187" s="49"/>
      <x:c r="AZ187" s="49"/>
    </x:row>
    <x:row r="188">
      <x:c r="A188" s="49"/>
      <x:c r="B188" s="49"/>
      <x:c r="C188" s="49"/>
      <x:c r="D188" s="49"/>
      <x:c r="E188" s="49"/>
      <x:c r="F188" s="49"/>
      <x:c r="G188" s="49"/>
      <x:c r="H188" s="49"/>
      <x:c r="I188" s="49"/>
      <x:c r="J188" s="49"/>
      <x:c r="K188" s="49"/>
      <x:c r="L188" s="49"/>
      <x:c r="M188" s="49"/>
      <x:c r="N188" s="49"/>
      <x:c r="O188" s="49"/>
      <x:c r="P188" s="49"/>
      <x:c r="Q188" s="49"/>
      <x:c r="R188" s="49"/>
      <x:c r="S188" s="49"/>
      <x:c r="T188" s="49"/>
      <x:c r="U188" s="49"/>
      <x:c r="V188" s="49"/>
      <x:c r="W188" s="49"/>
      <x:c r="X188" s="49"/>
      <x:c r="Y188" s="49"/>
      <x:c r="Z188" s="49"/>
      <x:c r="AA188" s="49"/>
      <x:c r="AB188" s="49"/>
      <x:c r="AC188" s="49"/>
      <x:c r="AD188" s="49"/>
      <x:c r="AE188" s="49"/>
      <x:c r="AF188" s="49"/>
      <x:c r="AG188" s="49"/>
      <x:c r="AH188" s="49"/>
      <x:c r="AI188" s="49"/>
      <x:c r="AJ188" s="49"/>
      <x:c r="AK188" s="49"/>
      <x:c r="AL188" s="49"/>
      <x:c r="AM188" s="49"/>
      <x:c r="AN188" s="49"/>
      <x:c r="AO188" s="49"/>
      <x:c r="AP188" s="49"/>
      <x:c r="AQ188" s="49"/>
      <x:c r="AR188" s="49"/>
      <x:c r="AS188" s="49"/>
      <x:c r="AT188" s="49"/>
      <x:c r="AU188" s="49"/>
      <x:c r="AV188" s="49"/>
      <x:c r="AW188" s="49"/>
      <x:c r="AX188" s="49"/>
      <x:c r="AY188" s="49"/>
      <x:c r="AZ188" s="49"/>
    </x:row>
    <x:row r="189">
      <x:c r="A189" s="49"/>
      <x:c r="B189" s="49"/>
      <x:c r="C189" s="49"/>
      <x:c r="D189" s="49"/>
      <x:c r="E189" s="49"/>
      <x:c r="F189" s="49"/>
      <x:c r="G189" s="49"/>
      <x:c r="H189" s="49"/>
      <x:c r="I189" s="49"/>
      <x:c r="J189" s="49"/>
      <x:c r="K189" s="49"/>
      <x:c r="L189" s="49"/>
      <x:c r="M189" s="49"/>
      <x:c r="N189" s="49"/>
      <x:c r="O189" s="49"/>
      <x:c r="P189" s="49"/>
      <x:c r="Q189" s="49"/>
      <x:c r="R189" s="49"/>
      <x:c r="S189" s="49"/>
      <x:c r="T189" s="49"/>
      <x:c r="U189" s="49"/>
      <x:c r="V189" s="49"/>
      <x:c r="W189" s="49"/>
      <x:c r="X189" s="49"/>
      <x:c r="Y189" s="49"/>
      <x:c r="Z189" s="49"/>
      <x:c r="AA189" s="49"/>
      <x:c r="AB189" s="49"/>
      <x:c r="AC189" s="49"/>
      <x:c r="AD189" s="49"/>
      <x:c r="AE189" s="49"/>
      <x:c r="AF189" s="49"/>
      <x:c r="AG189" s="49"/>
      <x:c r="AH189" s="49"/>
      <x:c r="AI189" s="49"/>
      <x:c r="AJ189" s="49"/>
      <x:c r="AK189" s="49"/>
      <x:c r="AL189" s="49"/>
      <x:c r="AM189" s="49"/>
      <x:c r="AN189" s="49"/>
      <x:c r="AO189" s="49"/>
      <x:c r="AP189" s="49"/>
      <x:c r="AQ189" s="49"/>
      <x:c r="AR189" s="49"/>
      <x:c r="AS189" s="49"/>
      <x:c r="AT189" s="49"/>
      <x:c r="AU189" s="49"/>
      <x:c r="AV189" s="49"/>
      <x:c r="AW189" s="49"/>
      <x:c r="AX189" s="49"/>
      <x:c r="AY189" s="49"/>
      <x:c r="AZ189" s="49"/>
    </x:row>
    <x:row r="190">
      <x:c r="A190" s="49"/>
      <x:c r="B190" s="49"/>
      <x:c r="C190" s="49"/>
      <x:c r="D190" s="49"/>
      <x:c r="E190" s="49"/>
      <x:c r="F190" s="49"/>
      <x:c r="G190" s="49"/>
      <x:c r="H190" s="49"/>
      <x:c r="I190" s="49"/>
      <x:c r="J190" s="49"/>
      <x:c r="K190" s="49"/>
      <x:c r="L190" s="49"/>
      <x:c r="M190" s="49"/>
      <x:c r="N190" s="49"/>
      <x:c r="O190" s="49"/>
      <x:c r="P190" s="49"/>
      <x:c r="Q190" s="49"/>
      <x:c r="R190" s="49"/>
      <x:c r="S190" s="49"/>
      <x:c r="T190" s="49"/>
      <x:c r="U190" s="49"/>
      <x:c r="V190" s="49"/>
      <x:c r="W190" s="49"/>
      <x:c r="X190" s="49"/>
      <x:c r="Y190" s="49"/>
      <x:c r="Z190" s="49"/>
      <x:c r="AA190" s="49"/>
      <x:c r="AB190" s="49"/>
      <x:c r="AC190" s="49"/>
      <x:c r="AD190" s="49"/>
      <x:c r="AE190" s="49"/>
      <x:c r="AF190" s="49"/>
      <x:c r="AG190" s="49"/>
      <x:c r="AH190" s="49"/>
      <x:c r="AI190" s="49"/>
      <x:c r="AJ190" s="49"/>
      <x:c r="AK190" s="49"/>
      <x:c r="AL190" s="49"/>
      <x:c r="AM190" s="49"/>
      <x:c r="AN190" s="49"/>
      <x:c r="AO190" s="49"/>
      <x:c r="AP190" s="49"/>
      <x:c r="AQ190" s="49"/>
      <x:c r="AR190" s="49"/>
      <x:c r="AS190" s="49"/>
      <x:c r="AT190" s="49"/>
      <x:c r="AU190" s="49"/>
      <x:c r="AV190" s="49"/>
      <x:c r="AW190" s="49"/>
      <x:c r="AX190" s="49"/>
      <x:c r="AY190" s="49"/>
      <x:c r="AZ190" s="49"/>
    </x:row>
    <x:row r="191">
      <x:c r="A191" s="49"/>
      <x:c r="B191" s="49"/>
      <x:c r="C191" s="49"/>
      <x:c r="D191" s="49"/>
      <x:c r="E191" s="49"/>
      <x:c r="F191" s="49"/>
      <x:c r="G191" s="49"/>
      <x:c r="H191" s="49"/>
      <x:c r="I191" s="49"/>
      <x:c r="J191" s="49"/>
      <x:c r="K191" s="49"/>
      <x:c r="L191" s="49"/>
      <x:c r="M191" s="49"/>
      <x:c r="N191" s="49"/>
      <x:c r="O191" s="49"/>
      <x:c r="P191" s="49"/>
      <x:c r="Q191" s="49"/>
      <x:c r="R191" s="49"/>
      <x:c r="S191" s="49"/>
      <x:c r="T191" s="49"/>
      <x:c r="U191" s="49"/>
      <x:c r="V191" s="49"/>
      <x:c r="W191" s="49"/>
      <x:c r="X191" s="49"/>
      <x:c r="Y191" s="49"/>
      <x:c r="Z191" s="49"/>
      <x:c r="AA191" s="49"/>
      <x:c r="AB191" s="49"/>
      <x:c r="AC191" s="49"/>
      <x:c r="AD191" s="49"/>
      <x:c r="AE191" s="49"/>
      <x:c r="AF191" s="49"/>
      <x:c r="AG191" s="49"/>
      <x:c r="AH191" s="49"/>
      <x:c r="AI191" s="49"/>
      <x:c r="AJ191" s="49"/>
      <x:c r="AK191" s="49"/>
      <x:c r="AL191" s="49"/>
      <x:c r="AM191" s="49"/>
      <x:c r="AN191" s="49"/>
      <x:c r="AO191" s="49"/>
      <x:c r="AP191" s="49"/>
      <x:c r="AQ191" s="49"/>
      <x:c r="AR191" s="49"/>
      <x:c r="AS191" s="49"/>
      <x:c r="AT191" s="49"/>
      <x:c r="AU191" s="49"/>
      <x:c r="AV191" s="49"/>
      <x:c r="AW191" s="49"/>
      <x:c r="AX191" s="49"/>
      <x:c r="AY191" s="49"/>
      <x:c r="AZ191" s="49"/>
    </x:row>
    <x:row r="192">
      <x:c r="A192" s="49"/>
      <x:c r="B192" s="49"/>
      <x:c r="C192" s="49"/>
      <x:c r="D192" s="49"/>
      <x:c r="E192" s="49"/>
      <x:c r="F192" s="49"/>
      <x:c r="G192" s="49"/>
      <x:c r="H192" s="49"/>
      <x:c r="I192" s="49"/>
      <x:c r="J192" s="49"/>
      <x:c r="K192" s="49"/>
      <x:c r="L192" s="49"/>
      <x:c r="M192" s="49"/>
      <x:c r="N192" s="49"/>
      <x:c r="O192" s="49"/>
      <x:c r="P192" s="49"/>
      <x:c r="Q192" s="49"/>
      <x:c r="R192" s="49"/>
      <x:c r="S192" s="49"/>
      <x:c r="T192" s="49"/>
      <x:c r="U192" s="49"/>
      <x:c r="V192" s="49"/>
      <x:c r="W192" s="49"/>
      <x:c r="X192" s="49"/>
      <x:c r="Y192" s="49"/>
      <x:c r="Z192" s="49"/>
      <x:c r="AA192" s="49"/>
      <x:c r="AB192" s="49"/>
      <x:c r="AC192" s="49"/>
      <x:c r="AD192" s="49"/>
      <x:c r="AE192" s="49"/>
      <x:c r="AF192" s="49"/>
      <x:c r="AG192" s="49"/>
      <x:c r="AH192" s="49"/>
      <x:c r="AI192" s="49"/>
      <x:c r="AJ192" s="49"/>
      <x:c r="AK192" s="49"/>
      <x:c r="AL192" s="49"/>
      <x:c r="AM192" s="49"/>
      <x:c r="AN192" s="49"/>
      <x:c r="AO192" s="49"/>
      <x:c r="AP192" s="49"/>
      <x:c r="AQ192" s="49"/>
      <x:c r="AR192" s="49"/>
      <x:c r="AS192" s="49"/>
      <x:c r="AT192" s="49"/>
      <x:c r="AU192" s="49"/>
      <x:c r="AV192" s="49"/>
      <x:c r="AW192" s="49"/>
      <x:c r="AX192" s="49"/>
      <x:c r="AY192" s="49"/>
      <x:c r="AZ192" s="49"/>
    </x:row>
    <x:row r="193">
      <x:c r="A193" s="49"/>
      <x:c r="B193" s="49"/>
      <x:c r="C193" s="49"/>
      <x:c r="D193" s="49"/>
      <x:c r="E193" s="49"/>
      <x:c r="F193" s="49"/>
      <x:c r="G193" s="49"/>
      <x:c r="H193" s="49"/>
      <x:c r="I193" s="49"/>
      <x:c r="J193" s="49"/>
      <x:c r="K193" s="49"/>
      <x:c r="L193" s="49"/>
      <x:c r="M193" s="49"/>
      <x:c r="N193" s="49"/>
      <x:c r="O193" s="49"/>
      <x:c r="P193" s="49"/>
      <x:c r="Q193" s="49"/>
      <x:c r="R193" s="49"/>
      <x:c r="S193" s="49"/>
      <x:c r="T193" s="49"/>
      <x:c r="U193" s="49"/>
      <x:c r="V193" s="49"/>
      <x:c r="W193" s="49"/>
      <x:c r="X193" s="49"/>
      <x:c r="Y193" s="49"/>
      <x:c r="Z193" s="49"/>
      <x:c r="AA193" s="49"/>
      <x:c r="AB193" s="49"/>
      <x:c r="AC193" s="49"/>
      <x:c r="AD193" s="49"/>
      <x:c r="AE193" s="49"/>
      <x:c r="AF193" s="49"/>
      <x:c r="AG193" s="49"/>
      <x:c r="AH193" s="49"/>
      <x:c r="AI193" s="49"/>
      <x:c r="AJ193" s="49"/>
      <x:c r="AK193" s="49"/>
      <x:c r="AL193" s="49"/>
      <x:c r="AM193" s="49"/>
      <x:c r="AN193" s="49"/>
      <x:c r="AO193" s="49"/>
      <x:c r="AP193" s="49"/>
      <x:c r="AQ193" s="49"/>
      <x:c r="AR193" s="49"/>
      <x:c r="AS193" s="49"/>
      <x:c r="AT193" s="49"/>
      <x:c r="AU193" s="49"/>
      <x:c r="AV193" s="49"/>
      <x:c r="AW193" s="49"/>
      <x:c r="AX193" s="49"/>
      <x:c r="AY193" s="49"/>
      <x:c r="AZ193" s="49"/>
    </x:row>
    <x:row r="194">
      <x:c r="A194" s="49"/>
      <x:c r="B194" s="49"/>
      <x:c r="C194" s="49"/>
      <x:c r="D194" s="49"/>
      <x:c r="E194" s="49"/>
      <x:c r="F194" s="49"/>
      <x:c r="G194" s="49"/>
      <x:c r="H194" s="49"/>
      <x:c r="I194" s="49"/>
      <x:c r="J194" s="49"/>
      <x:c r="K194" s="49"/>
      <x:c r="L194" s="49"/>
      <x:c r="M194" s="49"/>
      <x:c r="N194" s="49"/>
      <x:c r="O194" s="49"/>
      <x:c r="P194" s="49"/>
      <x:c r="Q194" s="49"/>
      <x:c r="R194" s="49"/>
      <x:c r="S194" s="49"/>
      <x:c r="T194" s="49"/>
      <x:c r="U194" s="49"/>
      <x:c r="V194" s="49"/>
      <x:c r="W194" s="49"/>
      <x:c r="X194" s="49"/>
      <x:c r="Y194" s="49"/>
      <x:c r="Z194" s="49"/>
      <x:c r="AA194" s="49"/>
      <x:c r="AB194" s="49"/>
      <x:c r="AC194" s="49"/>
      <x:c r="AD194" s="49"/>
      <x:c r="AE194" s="49"/>
      <x:c r="AF194" s="49"/>
      <x:c r="AG194" s="49"/>
      <x:c r="AH194" s="49"/>
      <x:c r="AI194" s="49"/>
      <x:c r="AJ194" s="49"/>
      <x:c r="AK194" s="49"/>
      <x:c r="AL194" s="49"/>
      <x:c r="AM194" s="49"/>
      <x:c r="AN194" s="49"/>
      <x:c r="AO194" s="49"/>
      <x:c r="AP194" s="49"/>
      <x:c r="AQ194" s="49"/>
      <x:c r="AR194" s="49"/>
      <x:c r="AS194" s="49"/>
      <x:c r="AT194" s="49"/>
      <x:c r="AU194" s="49"/>
      <x:c r="AV194" s="49"/>
      <x:c r="AW194" s="49"/>
      <x:c r="AX194" s="49"/>
      <x:c r="AY194" s="49"/>
      <x:c r="AZ194" s="49"/>
    </x:row>
    <x:row r="195">
      <x:c r="A195" s="49"/>
      <x:c r="B195" s="49"/>
      <x:c r="C195" s="49"/>
      <x:c r="D195" s="49"/>
      <x:c r="E195" s="49"/>
      <x:c r="F195" s="49"/>
      <x:c r="G195" s="49"/>
      <x:c r="H195" s="49"/>
      <x:c r="I195" s="49"/>
      <x:c r="J195" s="49"/>
      <x:c r="K195" s="49"/>
      <x:c r="L195" s="49"/>
      <x:c r="M195" s="49"/>
      <x:c r="N195" s="49"/>
      <x:c r="O195" s="49"/>
      <x:c r="P195" s="49"/>
      <x:c r="Q195" s="49"/>
      <x:c r="R195" s="49"/>
      <x:c r="S195" s="49"/>
      <x:c r="T195" s="49"/>
      <x:c r="U195" s="49"/>
      <x:c r="V195" s="49"/>
      <x:c r="W195" s="49"/>
      <x:c r="X195" s="49"/>
      <x:c r="Y195" s="49"/>
      <x:c r="Z195" s="49"/>
      <x:c r="AA195" s="49"/>
      <x:c r="AB195" s="49"/>
      <x:c r="AC195" s="49"/>
      <x:c r="AD195" s="49"/>
      <x:c r="AE195" s="49"/>
      <x:c r="AF195" s="49"/>
      <x:c r="AG195" s="49"/>
      <x:c r="AH195" s="49"/>
      <x:c r="AI195" s="49"/>
      <x:c r="AJ195" s="49"/>
      <x:c r="AK195" s="49"/>
      <x:c r="AL195" s="49"/>
      <x:c r="AM195" s="49"/>
      <x:c r="AN195" s="49"/>
      <x:c r="AO195" s="49"/>
      <x:c r="AP195" s="49"/>
      <x:c r="AQ195" s="49"/>
      <x:c r="AR195" s="49"/>
      <x:c r="AS195" s="49"/>
      <x:c r="AT195" s="49"/>
      <x:c r="AU195" s="49"/>
      <x:c r="AV195" s="49"/>
      <x:c r="AW195" s="49"/>
      <x:c r="AX195" s="49"/>
      <x:c r="AY195" s="49"/>
      <x:c r="AZ195" s="49"/>
    </x:row>
    <x:row r="196">
      <x:c r="A196" s="49"/>
      <x:c r="B196" s="49"/>
      <x:c r="C196" s="49"/>
      <x:c r="D196" s="49"/>
      <x:c r="E196" s="49"/>
      <x:c r="F196" s="49"/>
      <x:c r="G196" s="49"/>
      <x:c r="H196" s="49"/>
      <x:c r="I196" s="49"/>
      <x:c r="J196" s="49"/>
      <x:c r="K196" s="49"/>
      <x:c r="L196" s="49"/>
      <x:c r="M196" s="49"/>
      <x:c r="N196" s="49"/>
      <x:c r="O196" s="49"/>
      <x:c r="P196" s="49"/>
      <x:c r="Q196" s="49"/>
      <x:c r="R196" s="49"/>
      <x:c r="S196" s="49"/>
      <x:c r="T196" s="49"/>
      <x:c r="U196" s="49"/>
      <x:c r="V196" s="49"/>
      <x:c r="W196" s="49"/>
      <x:c r="X196" s="49"/>
      <x:c r="Y196" s="49"/>
      <x:c r="Z196" s="49"/>
      <x:c r="AA196" s="49"/>
      <x:c r="AB196" s="49"/>
      <x:c r="AC196" s="49"/>
      <x:c r="AD196" s="49"/>
      <x:c r="AE196" s="49"/>
      <x:c r="AF196" s="49"/>
      <x:c r="AG196" s="49"/>
      <x:c r="AH196" s="49"/>
      <x:c r="AI196" s="49"/>
      <x:c r="AJ196" s="49"/>
      <x:c r="AK196" s="49"/>
      <x:c r="AL196" s="49"/>
      <x:c r="AM196" s="49"/>
      <x:c r="AN196" s="49"/>
      <x:c r="AO196" s="49"/>
      <x:c r="AP196" s="49"/>
      <x:c r="AQ196" s="49"/>
      <x:c r="AR196" s="49"/>
      <x:c r="AS196" s="49"/>
      <x:c r="AT196" s="49"/>
      <x:c r="AU196" s="49"/>
      <x:c r="AV196" s="49"/>
      <x:c r="AW196" s="49"/>
      <x:c r="AX196" s="49"/>
      <x:c r="AY196" s="49"/>
      <x:c r="AZ196" s="49"/>
    </x:row>
    <x:row r="197">
      <x:c r="A197" s="49"/>
      <x:c r="B197" s="49"/>
      <x:c r="C197" s="49"/>
      <x:c r="D197" s="49"/>
      <x:c r="E197" s="49"/>
      <x:c r="F197" s="49"/>
      <x:c r="G197" s="49"/>
      <x:c r="H197" s="49"/>
      <x:c r="I197" s="49"/>
      <x:c r="J197" s="49"/>
      <x:c r="K197" s="49"/>
      <x:c r="L197" s="49"/>
      <x:c r="M197" s="49"/>
      <x:c r="N197" s="49"/>
      <x:c r="O197" s="49"/>
      <x:c r="P197" s="49"/>
      <x:c r="Q197" s="49"/>
      <x:c r="R197" s="49"/>
      <x:c r="S197" s="49"/>
      <x:c r="T197" s="49"/>
      <x:c r="U197" s="49"/>
      <x:c r="V197" s="49"/>
      <x:c r="W197" s="49"/>
      <x:c r="X197" s="49"/>
      <x:c r="Y197" s="49"/>
      <x:c r="Z197" s="49"/>
      <x:c r="AA197" s="49"/>
      <x:c r="AB197" s="49"/>
      <x:c r="AC197" s="49"/>
      <x:c r="AD197" s="49"/>
      <x:c r="AE197" s="49"/>
      <x:c r="AF197" s="49"/>
      <x:c r="AG197" s="49"/>
      <x:c r="AH197" s="49"/>
      <x:c r="AI197" s="49"/>
      <x:c r="AJ197" s="49"/>
      <x:c r="AK197" s="49"/>
      <x:c r="AL197" s="49"/>
      <x:c r="AM197" s="49"/>
      <x:c r="AN197" s="49"/>
      <x:c r="AO197" s="49"/>
      <x:c r="AP197" s="49"/>
      <x:c r="AQ197" s="49"/>
      <x:c r="AR197" s="49"/>
      <x:c r="AS197" s="49"/>
      <x:c r="AT197" s="49"/>
      <x:c r="AU197" s="49"/>
      <x:c r="AV197" s="49"/>
      <x:c r="AW197" s="49"/>
      <x:c r="AX197" s="49"/>
      <x:c r="AY197" s="49"/>
      <x:c r="AZ197" s="49"/>
    </x:row>
    <x:row r="198">
      <x:c r="A198" s="49"/>
      <x:c r="B198" s="49"/>
      <x:c r="C198" s="49"/>
      <x:c r="D198" s="49"/>
      <x:c r="E198" s="49"/>
      <x:c r="F198" s="49"/>
      <x:c r="G198" s="49"/>
      <x:c r="H198" s="49"/>
      <x:c r="I198" s="49"/>
      <x:c r="J198" s="49"/>
      <x:c r="K198" s="49"/>
      <x:c r="L198" s="49"/>
      <x:c r="M198" s="49"/>
      <x:c r="N198" s="49"/>
      <x:c r="O198" s="49"/>
      <x:c r="P198" s="49"/>
      <x:c r="Q198" s="49"/>
      <x:c r="R198" s="49"/>
      <x:c r="S198" s="49"/>
      <x:c r="T198" s="49"/>
      <x:c r="U198" s="49"/>
      <x:c r="V198" s="49"/>
      <x:c r="W198" s="49"/>
      <x:c r="X198" s="49"/>
      <x:c r="Y198" s="49"/>
      <x:c r="Z198" s="49"/>
      <x:c r="AA198" s="49"/>
      <x:c r="AB198" s="49"/>
      <x:c r="AC198" s="49"/>
      <x:c r="AD198" s="49"/>
      <x:c r="AE198" s="49"/>
      <x:c r="AF198" s="49"/>
      <x:c r="AG198" s="49"/>
      <x:c r="AH198" s="49"/>
      <x:c r="AI198" s="49"/>
      <x:c r="AJ198" s="49"/>
      <x:c r="AK198" s="49"/>
      <x:c r="AL198" s="49"/>
      <x:c r="AM198" s="49"/>
      <x:c r="AN198" s="49"/>
      <x:c r="AO198" s="49"/>
      <x:c r="AP198" s="49"/>
      <x:c r="AQ198" s="49"/>
      <x:c r="AR198" s="49"/>
      <x:c r="AS198" s="49"/>
      <x:c r="AT198" s="49"/>
      <x:c r="AU198" s="49"/>
      <x:c r="AV198" s="49"/>
      <x:c r="AW198" s="49"/>
      <x:c r="AX198" s="49"/>
      <x:c r="AY198" s="49"/>
      <x:c r="AZ198" s="49"/>
    </x:row>
    <x:row r="199">
      <x:c r="A199" s="49"/>
      <x:c r="B199" s="49"/>
      <x:c r="C199" s="49"/>
      <x:c r="D199" s="49"/>
      <x:c r="E199" s="49"/>
      <x:c r="F199" s="49"/>
      <x:c r="G199" s="49"/>
      <x:c r="H199" s="49"/>
      <x:c r="I199" s="49"/>
      <x:c r="J199" s="49"/>
      <x:c r="K199" s="49"/>
      <x:c r="L199" s="49"/>
      <x:c r="M199" s="49"/>
      <x:c r="N199" s="49"/>
      <x:c r="O199" s="49"/>
      <x:c r="P199" s="49"/>
      <x:c r="Q199" s="49"/>
      <x:c r="R199" s="49"/>
      <x:c r="S199" s="49"/>
      <x:c r="T199" s="49"/>
      <x:c r="U199" s="49"/>
      <x:c r="V199" s="49"/>
      <x:c r="W199" s="49"/>
      <x:c r="X199" s="49"/>
      <x:c r="Y199" s="49"/>
      <x:c r="Z199" s="49"/>
      <x:c r="AA199" s="49"/>
      <x:c r="AB199" s="49"/>
      <x:c r="AC199" s="49"/>
      <x:c r="AD199" s="49"/>
      <x:c r="AE199" s="49"/>
      <x:c r="AF199" s="49"/>
      <x:c r="AG199" s="49"/>
      <x:c r="AH199" s="49"/>
      <x:c r="AI199" s="49"/>
      <x:c r="AJ199" s="49"/>
      <x:c r="AK199" s="49"/>
      <x:c r="AL199" s="49"/>
      <x:c r="AM199" s="49"/>
      <x:c r="AN199" s="49"/>
      <x:c r="AO199" s="49"/>
      <x:c r="AP199" s="49"/>
      <x:c r="AQ199" s="49"/>
      <x:c r="AR199" s="49"/>
      <x:c r="AS199" s="49"/>
      <x:c r="AT199" s="49"/>
      <x:c r="AU199" s="49"/>
      <x:c r="AV199" s="49"/>
      <x:c r="AW199" s="49"/>
      <x:c r="AX199" s="49"/>
      <x:c r="AY199" s="49"/>
      <x:c r="AZ199" s="49"/>
    </x:row>
    <x:row r="200">
      <x:c r="A200" s="49"/>
      <x:c r="B200" s="49"/>
      <x:c r="C200" s="49"/>
      <x:c r="D200" s="49"/>
      <x:c r="E200" s="49"/>
      <x:c r="F200" s="49"/>
      <x:c r="G200" s="49"/>
      <x:c r="H200" s="49"/>
      <x:c r="I200" s="49"/>
      <x:c r="J200" s="49"/>
      <x:c r="K200" s="49"/>
      <x:c r="L200" s="49"/>
      <x:c r="M200" s="49"/>
      <x:c r="N200" s="49"/>
      <x:c r="O200" s="49"/>
      <x:c r="P200" s="49"/>
      <x:c r="Q200" s="49"/>
      <x:c r="R200" s="49"/>
      <x:c r="S200" s="49"/>
      <x:c r="T200" s="49"/>
      <x:c r="U200" s="49"/>
      <x:c r="V200" s="49"/>
      <x:c r="W200" s="49"/>
      <x:c r="X200" s="49"/>
      <x:c r="Y200" s="49"/>
      <x:c r="Z200" s="49"/>
      <x:c r="AA200" s="49"/>
      <x:c r="AB200" s="49"/>
      <x:c r="AC200" s="49"/>
      <x:c r="AD200" s="49"/>
      <x:c r="AE200" s="49"/>
      <x:c r="AF200" s="49"/>
      <x:c r="AG200" s="49"/>
      <x:c r="AH200" s="49"/>
      <x:c r="AI200" s="49"/>
      <x:c r="AJ200" s="49"/>
      <x:c r="AK200" s="49"/>
      <x:c r="AL200" s="49"/>
      <x:c r="AM200" s="49"/>
      <x:c r="AN200" s="49"/>
      <x:c r="AO200" s="49"/>
      <x:c r="AP200" s="49"/>
      <x:c r="AQ200" s="49"/>
      <x:c r="AR200" s="49"/>
      <x:c r="AS200" s="49"/>
      <x:c r="AT200" s="49"/>
      <x:c r="AU200" s="49"/>
      <x:c r="AV200" s="49"/>
      <x:c r="AW200" s="49"/>
      <x:c r="AX200" s="49"/>
      <x:c r="AY200" s="49"/>
      <x:c r="AZ200" s="49"/>
    </x:row>
  </x:sheetData>
  <x:mergeCells>
    <x:mergeCell ref="A1:M1"/>
    <x:mergeCell ref="A2:M3"/>
    <x:mergeCell ref="G12:J12"/>
    <x:mergeCell ref="G19:M2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8" hidden="0" customWidth="1"/>
    <x:col min="3" max="3" width="20" hidden="0" customWidth="1"/>
    <x:col min="4" max="4" width="16" hidden="0" customWidth="1"/>
    <x:col min="5" max="5" width="18" hidden="0" customWidth="1"/>
    <x:col min="6" max="6" width="16" hidden="0" customWidth="1"/>
    <x:col min="7" max="7" width="12" hidden="0" customWidth="1"/>
    <x:col min="8" max="8" width="14" hidden="0" customWidth="1"/>
    <x:col min="10" max="10" width="20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28" customHeight="1">
      <x:c r="A1" s="226" t="str">
        <x:v>采购决策看板</x:v>
      </x:c>
      <x:c r="B1" s="132"/>
      <x:c r="C1" s="132"/>
      <x:c r="D1" s="132"/>
      <x:c r="E1" s="132"/>
      <x:c r="F1" s="132"/>
      <x:c r="G1" s="132"/>
      <x:c r="H1" s="132"/>
      <x:c r="I1" s="132"/>
      <x:c r="J1" s="132"/>
      <x:c r="K1" s="132"/>
      <x:c r="L1" s="132"/>
      <x:c r="M1" s="132"/>
      <x:c r="N1" s="132"/>
      <x:c r="O1" s="132"/>
      <x:c r="P1" s="132"/>
      <x:c r="Q1" s="49"/>
      <x:c r="R1" s="49"/>
      <x:c r="S1" s="49"/>
      <x:c r="T1" s="49"/>
      <x:c r="U1" s="49"/>
      <x:c r="V1" s="49"/>
      <x:c r="W1" s="49"/>
      <x:c r="X1" s="49"/>
      <x:c r="Y1" s="49"/>
      <x:c r="Z1" s="49"/>
      <x:c r="AA1" s="49"/>
      <x:c r="AB1" s="49"/>
      <x:c r="AC1" s="49"/>
      <x:c r="AD1" s="49"/>
      <x:c r="AE1" s="49"/>
      <x:c r="AF1" s="49"/>
      <x:c r="AG1" s="49"/>
      <x:c r="AH1" s="49"/>
      <x:c r="AI1" s="49"/>
      <x:c r="AJ1" s="49"/>
      <x:c r="AK1" s="49"/>
      <x:c r="AL1" s="49"/>
      <x:c r="AM1" s="49"/>
      <x:c r="AN1" s="49"/>
      <x:c r="AO1" s="49"/>
      <x:c r="AP1" s="49"/>
      <x:c r="AQ1" s="49"/>
      <x:c r="AR1" s="49"/>
      <x:c r="AS1" s="49"/>
      <x:c r="AT1" s="49"/>
      <x:c r="AU1" s="49"/>
      <x:c r="AV1" s="49"/>
      <x:c r="AW1" s="49"/>
      <x:c r="AX1" s="49"/>
      <x:c r="AY1" s="49"/>
      <x:c r="AZ1" s="49"/>
    </x:row>
    <x:row r="2" ht="22" customHeight="1">
      <x:c r="A2" s="45" t="str">
        <x:v>动态 Excel 模型 + Python 压力测试参考。请在 01_Assumptions 的黄色单元格中修改情景与策略。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  <x:c r="Q2" s="49"/>
      <x:c r="R2" s="49"/>
      <x:c r="S2" s="49"/>
      <x:c r="T2" s="49"/>
      <x:c r="U2" s="49"/>
      <x:c r="V2" s="49"/>
      <x:c r="W2" s="49"/>
      <x:c r="X2" s="49"/>
      <x:c r="Y2" s="49"/>
      <x:c r="Z2" s="49"/>
      <x:c r="AA2" s="49"/>
      <x:c r="AB2" s="49"/>
      <x:c r="AC2" s="49"/>
      <x:c r="AD2" s="49"/>
      <x:c r="AE2" s="49"/>
      <x:c r="AF2" s="49"/>
      <x:c r="AG2" s="49"/>
      <x:c r="AH2" s="49"/>
      <x:c r="AI2" s="49"/>
      <x:c r="AJ2" s="49"/>
      <x:c r="AK2" s="49"/>
      <x:c r="AL2" s="49"/>
      <x:c r="AM2" s="49"/>
      <x:c r="AN2" s="49"/>
      <x:c r="AO2" s="49"/>
      <x:c r="AP2" s="49"/>
      <x:c r="AQ2" s="49"/>
      <x:c r="AR2" s="49"/>
      <x:c r="AS2" s="49"/>
      <x:c r="AT2" s="49"/>
      <x:c r="AU2" s="49"/>
      <x:c r="AV2" s="49"/>
      <x:c r="AW2" s="49"/>
      <x:c r="AX2" s="49"/>
      <x:c r="AY2" s="49"/>
      <x:c r="AZ2" s="49"/>
    </x:row>
    <x:row r="3" ht="22" customHeight="1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9"/>
      <x:c r="R3" s="49"/>
      <x:c r="S3" s="49"/>
      <x:c r="T3" s="49"/>
      <x:c r="U3" s="49"/>
      <x:c r="V3" s="49"/>
      <x:c r="W3" s="49"/>
      <x:c r="X3" s="49"/>
      <x:c r="Y3" s="49"/>
      <x:c r="Z3" s="49"/>
      <x:c r="AA3" s="49"/>
      <x:c r="AB3" s="49"/>
      <x:c r="AC3" s="49"/>
      <x:c r="AD3" s="49"/>
      <x:c r="AE3" s="49"/>
      <x:c r="AF3" s="49"/>
      <x:c r="AG3" s="49"/>
      <x:c r="AH3" s="49"/>
      <x:c r="AI3" s="49"/>
      <x:c r="AJ3" s="49"/>
      <x:c r="AK3" s="49"/>
      <x:c r="AL3" s="49"/>
      <x:c r="AM3" s="49"/>
      <x:c r="AN3" s="49"/>
      <x:c r="AO3" s="49"/>
      <x:c r="AP3" s="49"/>
      <x:c r="AQ3" s="49"/>
      <x:c r="AR3" s="49"/>
      <x:c r="AS3" s="49"/>
      <x:c r="AT3" s="49"/>
      <x:c r="AU3" s="49"/>
      <x:c r="AV3" s="49"/>
      <x:c r="AW3" s="49"/>
      <x:c r="AX3" s="49"/>
      <x:c r="AY3" s="49"/>
      <x:c r="AZ3" s="49"/>
    </x:row>
    <x:row r="4">
      <x:c r="A4" s="49"/>
      <x:c r="B4" s="49"/>
      <x:c r="C4" s="49"/>
      <x:c r="D4" s="49"/>
      <x:c r="E4" s="49"/>
      <x:c r="F4" s="49"/>
      <x:c r="G4" s="49"/>
      <x:c r="H4" s="49"/>
      <x:c r="I4" s="49"/>
      <x:c r="J4" s="49"/>
      <x:c r="K4" s="49"/>
      <x:c r="L4" s="49"/>
      <x:c r="M4" s="49"/>
      <x:c r="N4" s="49"/>
      <x:c r="O4" s="49"/>
      <x:c r="P4" s="49"/>
      <x:c r="Q4" s="49"/>
      <x:c r="R4" s="49"/>
      <x:c r="S4" s="49"/>
      <x:c r="T4" s="49"/>
      <x:c r="U4" s="49"/>
      <x:c r="V4" s="49"/>
      <x:c r="W4" s="49"/>
      <x:c r="X4" s="49"/>
      <x:c r="Y4" s="49"/>
      <x:c r="Z4" s="49"/>
      <x:c r="AA4" s="49"/>
      <x:c r="AB4" s="49"/>
      <x:c r="AC4" s="49"/>
      <x:c r="AD4" s="49"/>
      <x:c r="AE4" s="49"/>
      <x:c r="AF4" s="49"/>
      <x:c r="AG4" s="49"/>
      <x:c r="AH4" s="49"/>
      <x:c r="AI4" s="49"/>
      <x:c r="AJ4" s="49"/>
      <x:c r="AK4" s="49"/>
      <x:c r="AL4" s="49"/>
      <x:c r="AM4" s="49"/>
      <x:c r="AN4" s="49"/>
      <x:c r="AO4" s="49"/>
      <x:c r="AP4" s="49"/>
      <x:c r="AQ4" s="49"/>
      <x:c r="AR4" s="49"/>
      <x:c r="AS4" s="49"/>
      <x:c r="AT4" s="49"/>
      <x:c r="AU4" s="49"/>
      <x:c r="AV4" s="49"/>
      <x:c r="AW4" s="49"/>
      <x:c r="AX4" s="49"/>
      <x:c r="AY4" s="49"/>
      <x:c r="AZ4" s="49"/>
    </x:row>
    <x:row r="5">
      <x:c r="A5" s="133" t="str">
        <x:v>当前选定情景</x:v>
      </x:c>
      <x:c r="B5" s="133"/>
      <x:c r="C5" s="133"/>
      <x:c r="D5" s="133"/>
      <x:c r="E5" s="133"/>
      <x:c r="F5" s="133"/>
      <x:c r="G5" s="133"/>
      <x:c r="H5" s="133"/>
      <x:c r="I5" s="49"/>
      <x:c r="J5" s="144" t="str">
        <x:v>情景</x:v>
      </x:c>
      <x:c r="K5" s="144" t="str">
        <x:v>最低成本</x:v>
      </x:c>
      <x:c r="L5" s="144" t="str">
        <x:v>均衡</x:v>
      </x:c>
      <x:c r="M5" s="144" t="str">
        <x:v>韧性优先</x:v>
      </x:c>
      <x:c r="N5" s="49"/>
      <x:c r="O5" s="49"/>
      <x:c r="P5" s="49"/>
      <x:c r="Q5" s="49"/>
      <x:c r="R5" s="49"/>
      <x:c r="S5" s="49"/>
      <x:c r="T5" s="49"/>
      <x:c r="U5" s="49"/>
      <x:c r="V5" s="49"/>
      <x:c r="W5" s="49"/>
      <x:c r="X5" s="49"/>
      <x:c r="Y5" s="49"/>
      <x:c r="Z5" s="49"/>
      <x:c r="AA5" s="49"/>
      <x:c r="AB5" s="49"/>
      <x:c r="AC5" s="49"/>
      <x:c r="AD5" s="49"/>
      <x:c r="AE5" s="49"/>
      <x:c r="AF5" s="49"/>
      <x:c r="AG5" s="49"/>
      <x:c r="AH5" s="49"/>
      <x:c r="AI5" s="49"/>
      <x:c r="AJ5" s="49"/>
      <x:c r="AK5" s="49"/>
      <x:c r="AL5" s="49"/>
      <x:c r="AM5" s="49"/>
      <x:c r="AN5" s="49"/>
      <x:c r="AO5" s="49"/>
      <x:c r="AP5" s="49"/>
      <x:c r="AQ5" s="49"/>
      <x:c r="AR5" s="49"/>
      <x:c r="AS5" s="49"/>
      <x:c r="AT5" s="49"/>
      <x:c r="AU5" s="49"/>
      <x:c r="AV5" s="49"/>
      <x:c r="AW5" s="49"/>
      <x:c r="AX5" s="49"/>
      <x:c r="AY5" s="49"/>
      <x:c r="AZ5" s="49"/>
    </x:row>
    <x:row r="6">
      <x:c r="A6" s="48" t="str">
        <x:v>情景</x:v>
      </x:c>
      <x:c r="B6" s="196" t="str">
        <x:f>'01_Assumptions'!$B$6</x:f>
        <x:v>基准</x:v>
      </x:c>
      <x:c r="C6" s="224" t="str">
        <x:v>策略</x:v>
      </x:c>
      <x:c r="D6" s="196" t="str">
        <x:f>'01_Assumptions'!$B$7</x:f>
        <x:v>均衡</x:v>
      </x:c>
      <x:c r="E6" s="49"/>
      <x:c r="F6" s="49"/>
      <x:c r="G6" s="49"/>
      <x:c r="H6" s="49"/>
      <x:c r="I6" s="49"/>
      <x:c r="J6" s="49" t="str">
        <x:v>基准</x:v>
      </x:c>
      <x:c r="K6" s="216" t="n">
        <x:v>168.6323920287443</x:v>
      </x:c>
      <x:c r="L6" s="216" t="n">
        <x:v>171.5282066714528</x:v>
      </x:c>
      <x:c r="M6" s="216" t="n">
        <x:v>175.35069190903437</x:v>
      </x:c>
      <x:c r="N6" s="49"/>
      <x:c r="O6" s="49"/>
      <x:c r="P6" s="49"/>
      <x:c r="Q6" s="49"/>
      <x:c r="R6" s="49"/>
      <x:c r="S6" s="49"/>
      <x:c r="T6" s="49"/>
      <x:c r="U6" s="49"/>
      <x:c r="V6" s="49"/>
      <x:c r="W6" s="49"/>
      <x:c r="X6" s="49"/>
      <x:c r="Y6" s="49"/>
      <x:c r="Z6" s="49"/>
      <x:c r="AA6" s="49"/>
      <x:c r="AB6" s="49"/>
      <x:c r="AC6" s="49"/>
      <x:c r="AD6" s="49"/>
      <x:c r="AE6" s="49"/>
      <x:c r="AF6" s="49"/>
      <x:c r="AG6" s="49"/>
      <x:c r="AH6" s="49"/>
      <x:c r="AI6" s="49"/>
      <x:c r="AJ6" s="49"/>
      <x:c r="AK6" s="49"/>
      <x:c r="AL6" s="49"/>
      <x:c r="AM6" s="49"/>
      <x:c r="AN6" s="49"/>
      <x:c r="AO6" s="49"/>
      <x:c r="AP6" s="49"/>
      <x:c r="AQ6" s="49"/>
      <x:c r="AR6" s="49"/>
      <x:c r="AS6" s="49"/>
      <x:c r="AT6" s="49"/>
      <x:c r="AU6" s="49"/>
      <x:c r="AV6" s="49"/>
      <x:c r="AW6" s="49"/>
      <x:c r="AX6" s="49"/>
      <x:c r="AY6" s="49"/>
      <x:c r="AZ6" s="49"/>
    </x:row>
    <x:row r="7">
      <x:c r="A7" s="48" t="str">
        <x:v>年度采购成本（百万元 CNY）</x:v>
      </x:c>
      <x:c r="B7" s="198" t="n">
        <x:f>SUM('05_Material_Summary'!$I$6:$I$13)/1000000</x:f>
        <x:v>171.47210392861294</x:v>
      </x:c>
      <x:c r="C7" s="224" t="str">
        <x:v>平均物料覆盖率</x:v>
      </x:c>
      <x:c r="D7" s="197" t="n">
        <x:f>AVERAGE('05_Material_Summary'!$G$6:$G$13)</x:f>
        <x:v>1</x:v>
      </x:c>
      <x:c r="E7" s="49"/>
      <x:c r="F7" s="49"/>
      <x:c r="G7" s="49"/>
      <x:c r="H7" s="49"/>
      <x:c r="I7" s="49"/>
      <x:c r="J7" s="49" t="str">
        <x:v>需求上升</x:v>
      </x:c>
      <x:c r="K7" s="216" t="n">
        <x:v>203.429293712068</x:v>
      </x:c>
      <x:c r="L7" s="216" t="n">
        <x:v>205.39914876032927</x:v>
      </x:c>
      <x:c r="M7" s="216" t="n">
        <x:v>210.42083029084122</x:v>
      </x:c>
      <x:c r="N7" s="49"/>
      <x:c r="O7" s="49"/>
      <x:c r="P7" s="49"/>
      <x:c r="Q7" s="49"/>
      <x:c r="R7" s="49"/>
      <x:c r="S7" s="49"/>
      <x:c r="T7" s="49"/>
      <x:c r="U7" s="49"/>
      <x:c r="V7" s="49"/>
      <x:c r="W7" s="49"/>
      <x:c r="X7" s="49"/>
      <x:c r="Y7" s="49"/>
      <x:c r="Z7" s="49"/>
      <x:c r="AA7" s="49"/>
      <x:c r="AB7" s="49"/>
      <x:c r="AC7" s="49"/>
      <x:c r="AD7" s="49"/>
      <x:c r="AE7" s="49"/>
      <x:c r="AF7" s="49"/>
      <x:c r="AG7" s="49"/>
      <x:c r="AH7" s="49"/>
      <x:c r="AI7" s="49"/>
      <x:c r="AJ7" s="49"/>
      <x:c r="AK7" s="49"/>
      <x:c r="AL7" s="49"/>
      <x:c r="AM7" s="49"/>
      <x:c r="AN7" s="49"/>
      <x:c r="AO7" s="49"/>
      <x:c r="AP7" s="49"/>
      <x:c r="AQ7" s="49"/>
      <x:c r="AR7" s="49"/>
      <x:c r="AS7" s="49"/>
      <x:c r="AT7" s="49"/>
      <x:c r="AU7" s="49"/>
      <x:c r="AV7" s="49"/>
      <x:c r="AW7" s="49"/>
      <x:c r="AX7" s="49"/>
      <x:c r="AY7" s="49"/>
      <x:c r="AZ7" s="49"/>
    </x:row>
    <x:row r="8">
      <x:c r="A8" s="48" t="str">
        <x:v>缺货物料数</x:v>
      </x:c>
      <x:c r="B8" s="196" t="n">
        <x:f>COUNTIF('05_Material_Summary'!$G$6:$G$13,"&lt;0.999999")</x:f>
        <x:v>0</x:v>
      </x:c>
      <x:c r="C8" s="224" t="str">
        <x:v>成本加权供应风险</x:v>
      </x:c>
      <x:c r="D8" s="198" t="n">
        <x:f>SUMPRODUCT('05_Material_Summary'!$I$6:$I$13,'05_Material_Summary'!$K$6:$K$13)/SUM('05_Material_Summary'!$I$6:$I$13)</x:f>
        <x:v>27.674281108389536</x:v>
      </x:c>
      <x:c r="E8" s="49"/>
      <x:c r="F8" s="49"/>
      <x:c r="G8" s="49"/>
      <x:c r="H8" s="49"/>
      <x:c r="I8" s="49"/>
      <x:c r="J8" s="49" t="str">
        <x:v>成本压力</x:v>
      </x:c>
      <x:c r="K8" s="216" t="n">
        <x:v>185.49563123161877</x:v>
      </x:c>
      <x:c r="L8" s="216" t="n">
        <x:v>188.6810273385981</x:v>
      </x:c>
      <x:c r="M8" s="216" t="n">
        <x:v>192.88576109993787</x:v>
      </x:c>
      <x:c r="N8" s="49"/>
      <x:c r="O8" s="49"/>
      <x:c r="P8" s="49"/>
      <x:c r="Q8" s="49"/>
      <x:c r="R8" s="49"/>
      <x:c r="S8" s="49"/>
      <x:c r="T8" s="49"/>
      <x:c r="U8" s="49"/>
      <x:c r="V8" s="49"/>
      <x:c r="W8" s="49"/>
      <x:c r="X8" s="49"/>
      <x:c r="Y8" s="49"/>
      <x:c r="Z8" s="49"/>
      <x:c r="AA8" s="49"/>
      <x:c r="AB8" s="49"/>
      <x:c r="AC8" s="49"/>
      <x:c r="AD8" s="49"/>
      <x:c r="AE8" s="49"/>
      <x:c r="AF8" s="49"/>
      <x:c r="AG8" s="49"/>
      <x:c r="AH8" s="49"/>
      <x:c r="AI8" s="49"/>
      <x:c r="AJ8" s="49"/>
      <x:c r="AK8" s="49"/>
      <x:c r="AL8" s="49"/>
      <x:c r="AM8" s="49"/>
      <x:c r="AN8" s="49"/>
      <x:c r="AO8" s="49"/>
      <x:c r="AP8" s="49"/>
      <x:c r="AQ8" s="49"/>
      <x:c r="AR8" s="49"/>
      <x:c r="AS8" s="49"/>
      <x:c r="AT8" s="49"/>
      <x:c r="AU8" s="49"/>
      <x:c r="AV8" s="49"/>
      <x:c r="AW8" s="49"/>
      <x:c r="AX8" s="49"/>
      <x:c r="AY8" s="49"/>
      <x:c r="AZ8" s="49"/>
    </x:row>
    <x:row r="9">
      <x:c r="A9" s="48" t="str">
        <x:v>平均供应商集中度 HHI</x:v>
      </x:c>
      <x:c r="B9" s="199" t="n">
        <x:f>AVERAGE('05_Material_Summary'!$L$6:$L$13)</x:f>
        <x:v>0.6125244694899558</x:v>
      </x:c>
      <x:c r="C9" s="224" t="str">
        <x:v>需求乘数</x:v>
      </x:c>
      <x:c r="D9" s="158" t="n">
        <x:f>'01_Assumptions'!$B$8</x:f>
        <x:v>1</x:v>
      </x:c>
      <x:c r="E9" s="49"/>
      <x:c r="F9" s="49"/>
      <x:c r="G9" s="49"/>
      <x:c r="H9" s="49"/>
      <x:c r="I9" s="49"/>
      <x:c r="J9" s="49" t="str">
        <x:v>供应中断</x:v>
      </x:c>
      <x:c r="K9" s="216" t="n">
        <x:v>170.27405102185304</x:v>
      </x:c>
      <x:c r="L9" s="216" t="n">
        <x:v>171.070363346</x:v>
      </x:c>
      <x:c r="M9" s="216" t="n">
        <x:v>175.1004216776521</x:v>
      </x:c>
      <x:c r="N9" s="49"/>
      <x:c r="O9" s="49"/>
      <x:c r="P9" s="49"/>
      <x:c r="Q9" s="49"/>
      <x:c r="R9" s="49"/>
      <x:c r="S9" s="49"/>
      <x:c r="T9" s="49"/>
      <x:c r="U9" s="49"/>
      <x:c r="V9" s="49"/>
      <x:c r="W9" s="49"/>
      <x:c r="X9" s="49"/>
      <x:c r="Y9" s="49"/>
      <x:c r="Z9" s="49"/>
      <x:c r="AA9" s="49"/>
      <x:c r="AB9" s="49"/>
      <x:c r="AC9" s="49"/>
      <x:c r="AD9" s="49"/>
      <x:c r="AE9" s="49"/>
      <x:c r="AF9" s="49"/>
      <x:c r="AG9" s="49"/>
      <x:c r="AH9" s="49"/>
      <x:c r="AI9" s="49"/>
      <x:c r="AJ9" s="49"/>
      <x:c r="AK9" s="49"/>
      <x:c r="AL9" s="49"/>
      <x:c r="AM9" s="49"/>
      <x:c r="AN9" s="49"/>
      <x:c r="AO9" s="49"/>
      <x:c r="AP9" s="49"/>
      <x:c r="AQ9" s="49"/>
      <x:c r="AR9" s="49"/>
      <x:c r="AS9" s="49"/>
      <x:c r="AT9" s="49"/>
      <x:c r="AU9" s="49"/>
      <x:c r="AV9" s="49"/>
      <x:c r="AW9" s="49"/>
      <x:c r="AX9" s="49"/>
      <x:c r="AY9" s="49"/>
      <x:c r="AZ9" s="49"/>
    </x:row>
    <x:row r="10">
      <x:c r="A10" s="49"/>
      <x:c r="B10" s="49"/>
      <x:c r="C10" s="49"/>
      <x:c r="D10" s="49"/>
      <x:c r="E10" s="49"/>
      <x:c r="F10" s="49"/>
      <x:c r="G10" s="49"/>
      <x:c r="H10" s="49"/>
      <x:c r="I10" s="49"/>
      <x:c r="J10" s="49" t="str">
        <x:v>汇率冲击</x:v>
      </x:c>
      <x:c r="K10" s="216" t="n">
        <x:v>177.6549806484996</x:v>
      </x:c>
      <x:c r="L10" s="216" t="n">
        <x:v>180.09618707302337</x:v>
      </x:c>
      <x:c r="M10" s="216" t="n">
        <x:v>188.4122654516601</x:v>
      </x:c>
      <x:c r="N10" s="49"/>
      <x:c r="O10" s="49"/>
      <x:c r="P10" s="49"/>
      <x:c r="Q10" s="49"/>
      <x:c r="R10" s="49"/>
      <x:c r="S10" s="49"/>
      <x:c r="T10" s="49"/>
      <x:c r="U10" s="49"/>
      <x:c r="V10" s="49"/>
      <x:c r="W10" s="49"/>
      <x:c r="X10" s="49"/>
      <x:c r="Y10" s="49"/>
      <x:c r="Z10" s="49"/>
      <x:c r="AA10" s="49"/>
      <x:c r="AB10" s="49"/>
      <x:c r="AC10" s="49"/>
      <x:c r="AD10" s="49"/>
      <x:c r="AE10" s="49"/>
      <x:c r="AF10" s="49"/>
      <x:c r="AG10" s="49"/>
      <x:c r="AH10" s="49"/>
      <x:c r="AI10" s="49"/>
      <x:c r="AJ10" s="49"/>
      <x:c r="AK10" s="49"/>
      <x:c r="AL10" s="49"/>
      <x:c r="AM10" s="49"/>
      <x:c r="AN10" s="49"/>
      <x:c r="AO10" s="49"/>
      <x:c r="AP10" s="49"/>
      <x:c r="AQ10" s="49"/>
      <x:c r="AR10" s="49"/>
      <x:c r="AS10" s="49"/>
      <x:c r="AT10" s="49"/>
      <x:c r="AU10" s="49"/>
      <x:c r="AV10" s="49"/>
      <x:c r="AW10" s="49"/>
      <x:c r="AX10" s="49"/>
      <x:c r="AY10" s="49"/>
      <x:c r="AZ10" s="49"/>
    </x:row>
    <x:row r="11">
      <x:c r="A11" s="144" t="str">
        <x:v>物料</x:v>
      </x:c>
      <x:c r="B11" s="144" t="str">
        <x:v>调整后需求</x:v>
      </x:c>
      <x:c r="C11" s="144" t="str">
        <x:v>最终分配</x:v>
      </x:c>
      <x:c r="D11" s="144" t="str">
        <x:v>覆盖率</x:v>
      </x:c>
      <x:c r="E11" s="144" t="str">
        <x:v>总成本（百万元 CNY）</x:v>
      </x:c>
      <x:c r="F11" s="144" t="str">
        <x:v>加权风险</x:v>
      </x:c>
      <x:c r="G11" s="144" t="str">
        <x:v>HHI</x:v>
      </x:c>
      <x:c r="H11" s="144" t="str">
        <x:v>活跃供应商数</x:v>
      </x:c>
      <x:c r="I11" s="49"/>
      <x:c r="J11" s="49"/>
      <x:c r="K11" s="49"/>
      <x:c r="L11" s="49"/>
      <x:c r="M11" s="49"/>
      <x:c r="N11" s="49"/>
      <x:c r="O11" s="49"/>
      <x:c r="P11" s="49"/>
      <x:c r="Q11" s="49"/>
      <x:c r="R11" s="49"/>
      <x:c r="S11" s="49"/>
      <x:c r="T11" s="49"/>
      <x:c r="U11" s="49"/>
      <x:c r="V11" s="49"/>
      <x:c r="W11" s="49"/>
      <x:c r="X11" s="49"/>
      <x:c r="Y11" s="49"/>
      <x:c r="Z11" s="49"/>
      <x:c r="AA11" s="49"/>
      <x:c r="AB11" s="49"/>
      <x:c r="AC11" s="49"/>
      <x:c r="AD11" s="49"/>
      <x:c r="AE11" s="49"/>
      <x:c r="AF11" s="49"/>
      <x:c r="AG11" s="49"/>
      <x:c r="AH11" s="49"/>
      <x:c r="AI11" s="49"/>
      <x:c r="AJ11" s="49"/>
      <x:c r="AK11" s="49"/>
      <x:c r="AL11" s="49"/>
      <x:c r="AM11" s="49"/>
      <x:c r="AN11" s="49"/>
      <x:c r="AO11" s="49"/>
      <x:c r="AP11" s="49"/>
      <x:c r="AQ11" s="49"/>
      <x:c r="AR11" s="49"/>
      <x:c r="AS11" s="49"/>
      <x:c r="AT11" s="49"/>
      <x:c r="AU11" s="49"/>
      <x:c r="AV11" s="49"/>
      <x:c r="AW11" s="49"/>
      <x:c r="AX11" s="49"/>
      <x:c r="AY11" s="49"/>
      <x:c r="AZ11" s="49"/>
    </x:row>
    <x:row r="12">
      <x:c r="A12" s="49" t="str">
        <x:v>硅晶圆</x:v>
      </x:c>
      <x:c r="B12" s="175" t="n">
        <x:f>'05_Material_Summary'!E6</x:f>
        <x:v>43334</x:v>
      </x:c>
      <x:c r="C12" s="175" t="n">
        <x:f>'05_Material_Summary'!F6</x:f>
        <x:v>43334</x:v>
      </x:c>
      <x:c r="D12" s="214" t="n">
        <x:f>'05_Material_Summary'!G6</x:f>
        <x:v>1</x:v>
      </x:c>
      <x:c r="E12" s="216" t="n">
        <x:f>'05_Material_Summary'!I6/1000000</x:f>
        <x:v>32.5327922259625</x:v>
      </x:c>
      <x:c r="F12" s="216" t="n">
        <x:f>'05_Material_Summary'!K6</x:f>
        <x:v>34.76781485961773</x:v>
      </x:c>
      <x:c r="G12" s="217" t="n">
        <x:f>'05_Material_Summary'!L6</x:f>
        <x:v>0.625</x:v>
      </x:c>
      <x:c r="H12" s="49" t="n">
        <x:f>'05_Material_Summary'!M6</x:f>
        <x:v>2</x:v>
      </x:c>
      <x:c r="I12" s="49"/>
      <x:c r="J12" s="144" t="str">
        <x:v>策略</x:v>
      </x:c>
      <x:c r="K12" s="144" t="str">
        <x:v>任一物料缺货概率</x:v>
      </x:c>
      <x:c r="L12" s="49"/>
      <x:c r="M12" s="49"/>
      <x:c r="N12" s="49"/>
      <x:c r="O12" s="49"/>
      <x:c r="P12" s="49"/>
      <x:c r="Q12" s="49"/>
      <x:c r="R12" s="49"/>
      <x:c r="S12" s="49"/>
      <x:c r="T12" s="49"/>
      <x:c r="U12" s="49"/>
      <x:c r="V12" s="49"/>
      <x:c r="W12" s="49"/>
      <x:c r="X12" s="49"/>
      <x:c r="Y12" s="49"/>
      <x:c r="Z12" s="49"/>
      <x:c r="AA12" s="49"/>
      <x:c r="AB12" s="49"/>
      <x:c r="AC12" s="49"/>
      <x:c r="AD12" s="49"/>
      <x:c r="AE12" s="49"/>
      <x:c r="AF12" s="49"/>
      <x:c r="AG12" s="49"/>
      <x:c r="AH12" s="49"/>
      <x:c r="AI12" s="49"/>
      <x:c r="AJ12" s="49"/>
      <x:c r="AK12" s="49"/>
      <x:c r="AL12" s="49"/>
      <x:c r="AM12" s="49"/>
      <x:c r="AN12" s="49"/>
      <x:c r="AO12" s="49"/>
      <x:c r="AP12" s="49"/>
      <x:c r="AQ12" s="49"/>
      <x:c r="AR12" s="49"/>
      <x:c r="AS12" s="49"/>
      <x:c r="AT12" s="49"/>
      <x:c r="AU12" s="49"/>
      <x:c r="AV12" s="49"/>
      <x:c r="AW12" s="49"/>
      <x:c r="AX12" s="49"/>
      <x:c r="AY12" s="49"/>
      <x:c r="AZ12" s="49"/>
    </x:row>
    <x:row r="13">
      <x:c r="A13" s="49" t="str">
        <x:v>光刻胶</x:v>
      </x:c>
      <x:c r="B13" s="175" t="n">
        <x:f>'05_Material_Summary'!E7</x:f>
        <x:v>34547</x:v>
      </x:c>
      <x:c r="C13" s="175" t="n">
        <x:f>'05_Material_Summary'!F7</x:f>
        <x:v>34547</x:v>
      </x:c>
      <x:c r="D13" s="214" t="n">
        <x:f>'05_Material_Summary'!G7</x:f>
        <x:v>1</x:v>
      </x:c>
      <x:c r="E13" s="216" t="n">
        <x:f>'05_Material_Summary'!I7/1000000</x:f>
        <x:v>13.65857366133661</x:v>
      </x:c>
      <x:c r="F13" s="216" t="n">
        <x:f>'05_Material_Summary'!K7</x:f>
        <x:v>24.91703169339398</x:v>
      </x:c>
      <x:c r="G13" s="217" t="n">
        <x:f>'05_Material_Summary'!L7</x:f>
        <x:v>0.625</x:v>
      </x:c>
      <x:c r="H13" s="49" t="n">
        <x:f>'05_Material_Summary'!M7</x:f>
        <x:v>2</x:v>
      </x:c>
      <x:c r="I13" s="49"/>
      <x:c r="J13" s="49" t="str">
        <x:v>均衡</x:v>
      </x:c>
      <x:c r="K13" s="214" t="n">
        <x:v>0.5183333333333333</x:v>
      </x:c>
      <x:c r="L13" s="49"/>
      <x:c r="M13" s="49"/>
      <x:c r="N13" s="49"/>
      <x:c r="O13" s="49"/>
      <x:c r="P13" s="49"/>
      <x:c r="Q13" s="49"/>
      <x:c r="R13" s="49"/>
      <x:c r="S13" s="49"/>
      <x:c r="T13" s="49"/>
      <x:c r="U13" s="49"/>
      <x:c r="V13" s="49"/>
      <x:c r="W13" s="49"/>
      <x:c r="X13" s="49"/>
      <x:c r="Y13" s="49"/>
      <x:c r="Z13" s="49"/>
      <x:c r="AA13" s="49"/>
      <x:c r="AB13" s="49"/>
      <x:c r="AC13" s="49"/>
      <x:c r="AD13" s="49"/>
      <x:c r="AE13" s="49"/>
      <x:c r="AF13" s="49"/>
      <x:c r="AG13" s="49"/>
      <x:c r="AH13" s="49"/>
      <x:c r="AI13" s="49"/>
      <x:c r="AJ13" s="49"/>
      <x:c r="AK13" s="49"/>
      <x:c r="AL13" s="49"/>
      <x:c r="AM13" s="49"/>
      <x:c r="AN13" s="49"/>
      <x:c r="AO13" s="49"/>
      <x:c r="AP13" s="49"/>
      <x:c r="AQ13" s="49"/>
      <x:c r="AR13" s="49"/>
      <x:c r="AS13" s="49"/>
      <x:c r="AT13" s="49"/>
      <x:c r="AU13" s="49"/>
      <x:c r="AV13" s="49"/>
      <x:c r="AW13" s="49"/>
      <x:c r="AX13" s="49"/>
      <x:c r="AY13" s="49"/>
      <x:c r="AZ13" s="49"/>
    </x:row>
    <x:row r="14">
      <x:c r="A14" s="49" t="str">
        <x:v>工艺气体</x:v>
      </x:c>
      <x:c r="B14" s="175" t="n">
        <x:f>'05_Material_Summary'!E8</x:f>
        <x:v>9493</x:v>
      </x:c>
      <x:c r="C14" s="175" t="n">
        <x:f>'05_Material_Summary'!F8</x:f>
        <x:v>9493</x:v>
      </x:c>
      <x:c r="D14" s="214" t="n">
        <x:f>'05_Material_Summary'!G8</x:f>
        <x:v>1</x:v>
      </x:c>
      <x:c r="E14" s="216" t="n">
        <x:f>'05_Material_Summary'!I8/1000000</x:f>
        <x:v>5.1639494775825</x:v>
      </x:c>
      <x:c r="F14" s="216" t="n">
        <x:f>'05_Material_Summary'!K8</x:f>
        <x:v>25.314770321865485</x:v>
      </x:c>
      <x:c r="G14" s="217" t="n">
        <x:f>'05_Material_Summary'!L8</x:f>
        <x:v>0.625</x:v>
      </x:c>
      <x:c r="H14" s="49" t="n">
        <x:f>'05_Material_Summary'!M8</x:f>
        <x:v>2</x:v>
      </x:c>
      <x:c r="I14" s="49"/>
      <x:c r="J14" s="49" t="str">
        <x:v>最低成本</x:v>
      </x:c>
      <x:c r="K14" s="214" t="n">
        <x:v>0.49166666666666664</x:v>
      </x:c>
      <x:c r="L14" s="49"/>
      <x:c r="M14" s="49"/>
      <x:c r="N14" s="49"/>
      <x:c r="O14" s="49"/>
      <x:c r="P14" s="49"/>
      <x:c r="Q14" s="49"/>
      <x:c r="R14" s="49"/>
      <x:c r="S14" s="49"/>
      <x:c r="T14" s="49"/>
      <x:c r="U14" s="49"/>
      <x:c r="V14" s="49"/>
      <x:c r="W14" s="49"/>
      <x:c r="X14" s="49"/>
      <x:c r="Y14" s="49"/>
      <x:c r="Z14" s="49"/>
      <x:c r="AA14" s="49"/>
      <x:c r="AB14" s="49"/>
      <x:c r="AC14" s="49"/>
      <x:c r="AD14" s="49"/>
      <x:c r="AE14" s="49"/>
      <x:c r="AF14" s="49"/>
      <x:c r="AG14" s="49"/>
      <x:c r="AH14" s="49"/>
      <x:c r="AI14" s="49"/>
      <x:c r="AJ14" s="49"/>
      <x:c r="AK14" s="49"/>
      <x:c r="AL14" s="49"/>
      <x:c r="AM14" s="49"/>
      <x:c r="AN14" s="49"/>
      <x:c r="AO14" s="49"/>
      <x:c r="AP14" s="49"/>
      <x:c r="AQ14" s="49"/>
      <x:c r="AR14" s="49"/>
      <x:c r="AS14" s="49"/>
      <x:c r="AT14" s="49"/>
      <x:c r="AU14" s="49"/>
      <x:c r="AV14" s="49"/>
      <x:c r="AW14" s="49"/>
      <x:c r="AX14" s="49"/>
      <x:c r="AY14" s="49"/>
      <x:c r="AZ14" s="49"/>
    </x:row>
    <x:row r="15">
      <x:c r="A15" s="49" t="str">
        <x:v>CMP抛光液</x:v>
      </x:c>
      <x:c r="B15" s="175" t="n">
        <x:f>'05_Material_Summary'!E9</x:f>
        <x:v>74707</x:v>
      </x:c>
      <x:c r="C15" s="175" t="n">
        <x:f>'05_Material_Summary'!F9</x:f>
        <x:v>74707</x:v>
      </x:c>
      <x:c r="D15" s="214" t="n">
        <x:f>'05_Material_Summary'!G9</x:f>
        <x:v>1</x:v>
      </x:c>
      <x:c r="E15" s="216" t="n">
        <x:f>'05_Material_Summary'!I9/1000000</x:f>
        <x:v>8.25271116689287</x:v>
      </x:c>
      <x:c r="F15" s="216" t="n">
        <x:f>'05_Material_Summary'!K9</x:f>
        <x:v>30.667376089919337</x:v>
      </x:c>
      <x:c r="G15" s="217" t="n">
        <x:f>'05_Material_Summary'!L9</x:f>
        <x:v>0.625</x:v>
      </x:c>
      <x:c r="H15" s="49" t="n">
        <x:f>'05_Material_Summary'!M9</x:f>
        <x:v>2</x:v>
      </x:c>
      <x:c r="I15" s="49"/>
      <x:c r="J15" s="49" t="str">
        <x:v>韧性优先</x:v>
      </x:c>
      <x:c r="K15" s="214" t="n">
        <x:v>0.5</x:v>
      </x:c>
      <x:c r="L15" s="49"/>
      <x:c r="M15" s="49"/>
      <x:c r="N15" s="49"/>
      <x:c r="O15" s="49"/>
      <x:c r="P15" s="49"/>
      <x:c r="Q15" s="49"/>
      <x:c r="R15" s="49"/>
      <x:c r="S15" s="49"/>
      <x:c r="T15" s="49"/>
      <x:c r="U15" s="49"/>
      <x:c r="V15" s="49"/>
      <x:c r="W15" s="49"/>
      <x:c r="X15" s="49"/>
      <x:c r="Y15" s="49"/>
      <x:c r="Z15" s="49"/>
      <x:c r="AA15" s="49"/>
      <x:c r="AB15" s="49"/>
      <x:c r="AC15" s="49"/>
      <x:c r="AD15" s="49"/>
      <x:c r="AE15" s="49"/>
      <x:c r="AF15" s="49"/>
      <x:c r="AG15" s="49"/>
      <x:c r="AH15" s="49"/>
      <x:c r="AI15" s="49"/>
      <x:c r="AJ15" s="49"/>
      <x:c r="AK15" s="49"/>
      <x:c r="AL15" s="49"/>
      <x:c r="AM15" s="49"/>
      <x:c r="AN15" s="49"/>
      <x:c r="AO15" s="49"/>
      <x:c r="AP15" s="49"/>
      <x:c r="AQ15" s="49"/>
      <x:c r="AR15" s="49"/>
      <x:c r="AS15" s="49"/>
      <x:c r="AT15" s="49"/>
      <x:c r="AU15" s="49"/>
      <x:c r="AV15" s="49"/>
      <x:c r="AW15" s="49"/>
      <x:c r="AX15" s="49"/>
      <x:c r="AY15" s="49"/>
      <x:c r="AZ15" s="49"/>
    </x:row>
    <x:row r="16">
      <x:c r="A16" s="49" t="str">
        <x:v>PVD靶材</x:v>
      </x:c>
      <x:c r="B16" s="175" t="n">
        <x:f>'05_Material_Summary'!E10</x:f>
        <x:v>1294</x:v>
      </x:c>
      <x:c r="C16" s="175" t="n">
        <x:f>'05_Material_Summary'!F10</x:f>
        <x:v>1294</x:v>
      </x:c>
      <x:c r="D16" s="214" t="n">
        <x:f>'05_Material_Summary'!G10</x:f>
        <x:v>1</x:v>
      </x:c>
      <x:c r="E16" s="216" t="n">
        <x:f>'05_Material_Summary'!I10/1000000</x:f>
        <x:v>11.321530785912499</x:v>
      </x:c>
      <x:c r="F16" s="216" t="n">
        <x:f>'05_Material_Summary'!K10</x:f>
        <x:v>32.7497508883032</x:v>
      </x:c>
      <x:c r="G16" s="217" t="n">
        <x:f>'05_Material_Summary'!L10</x:f>
        <x:v>0.625</x:v>
      </x:c>
      <x:c r="H16" s="49" t="n">
        <x:f>'05_Material_Summary'!M10</x:f>
        <x:v>2</x:v>
      </x:c>
      <x:c r="I16" s="49"/>
      <x:c r="J16" s="49"/>
      <x:c r="K16" s="49"/>
      <x:c r="L16" s="49"/>
      <x:c r="M16" s="49"/>
      <x:c r="N16" s="49"/>
      <x:c r="O16" s="49"/>
      <x:c r="P16" s="49"/>
      <x:c r="Q16" s="49"/>
      <x:c r="R16" s="49"/>
      <x:c r="S16" s="49"/>
      <x:c r="T16" s="49"/>
      <x:c r="U16" s="49"/>
      <x:c r="V16" s="49"/>
      <x:c r="W16" s="49"/>
      <x:c r="X16" s="49"/>
      <x:c r="Y16" s="49"/>
      <x:c r="Z16" s="49"/>
      <x:c r="AA16" s="49"/>
      <x:c r="AB16" s="49"/>
      <x:c r="AC16" s="49"/>
      <x:c r="AD16" s="49"/>
      <x:c r="AE16" s="49"/>
      <x:c r="AF16" s="49"/>
      <x:c r="AG16" s="49"/>
      <x:c r="AH16" s="49"/>
      <x:c r="AI16" s="49"/>
      <x:c r="AJ16" s="49"/>
      <x:c r="AK16" s="49"/>
      <x:c r="AL16" s="49"/>
      <x:c r="AM16" s="49"/>
      <x:c r="AN16" s="49"/>
      <x:c r="AO16" s="49"/>
      <x:c r="AP16" s="49"/>
      <x:c r="AQ16" s="49"/>
      <x:c r="AR16" s="49"/>
      <x:c r="AS16" s="49"/>
      <x:c r="AT16" s="49"/>
      <x:c r="AU16" s="49"/>
      <x:c r="AV16" s="49"/>
      <x:c r="AW16" s="49"/>
      <x:c r="AX16" s="49"/>
      <x:c r="AY16" s="49"/>
      <x:c r="AZ16" s="49"/>
    </x:row>
    <x:row r="17">
      <x:c r="A17" s="49" t="str">
        <x:v>封装基板</x:v>
      </x:c>
      <x:c r="B17" s="175" t="n">
        <x:f>'05_Material_Summary'!E11</x:f>
        <x:v>2220421</x:v>
      </x:c>
      <x:c r="C17" s="175" t="n">
        <x:f>'05_Material_Summary'!F11</x:f>
        <x:v>2220421</x:v>
      </x:c>
      <x:c r="D17" s="214" t="n">
        <x:f>'05_Material_Summary'!G11</x:f>
        <x:v>1</x:v>
      </x:c>
      <x:c r="E17" s="216" t="n">
        <x:f>'05_Material_Summary'!I11/1000000</x:f>
        <x:v>90.01124858817688</x:v>
      </x:c>
      <x:c r="F17" s="216" t="n">
        <x:f>'05_Material_Summary'!K11</x:f>
        <x:v>24.917111454341494</x:v>
      </x:c>
      <x:c r="G17" s="217" t="n">
        <x:f>'05_Material_Summary'!L11</x:f>
        <x:v>0.5251957559196458</x:v>
      </x:c>
      <x:c r="H17" s="49" t="n">
        <x:f>'05_Material_Summary'!M11</x:f>
        <x:v>3</x:v>
      </x:c>
      <x:c r="I17" s="49"/>
      <x:c r="J17" s="49"/>
      <x:c r="K17" s="49"/>
      <x:c r="L17" s="49"/>
      <x:c r="M17" s="49"/>
      <x:c r="N17" s="49"/>
      <x:c r="O17" s="49"/>
      <x:c r="P17" s="49"/>
      <x:c r="Q17" s="49"/>
      <x:c r="R17" s="49"/>
      <x:c r="S17" s="49"/>
      <x:c r="T17" s="49"/>
      <x:c r="U17" s="49"/>
      <x:c r="V17" s="49"/>
      <x:c r="W17" s="49"/>
      <x:c r="X17" s="49"/>
      <x:c r="Y17" s="49"/>
      <x:c r="Z17" s="49"/>
      <x:c r="AA17" s="49"/>
      <x:c r="AB17" s="49"/>
      <x:c r="AC17" s="49"/>
      <x:c r="AD17" s="49"/>
      <x:c r="AE17" s="49"/>
      <x:c r="AF17" s="49"/>
      <x:c r="AG17" s="49"/>
      <x:c r="AH17" s="49"/>
      <x:c r="AI17" s="49"/>
      <x:c r="AJ17" s="49"/>
      <x:c r="AK17" s="49"/>
      <x:c r="AL17" s="49"/>
      <x:c r="AM17" s="49"/>
      <x:c r="AN17" s="49"/>
      <x:c r="AO17" s="49"/>
      <x:c r="AP17" s="49"/>
      <x:c r="AQ17" s="49"/>
      <x:c r="AR17" s="49"/>
      <x:c r="AS17" s="49"/>
      <x:c r="AT17" s="49"/>
      <x:c r="AU17" s="49"/>
      <x:c r="AV17" s="49"/>
      <x:c r="AW17" s="49"/>
      <x:c r="AX17" s="49"/>
      <x:c r="AY17" s="49"/>
      <x:c r="AZ17" s="49"/>
    </x:row>
    <x:row r="18">
      <x:c r="A18" s="49" t="str">
        <x:v>引线框架</x:v>
      </x:c>
      <x:c r="B18" s="175" t="n">
        <x:f>'05_Material_Summary'!E12</x:f>
        <x:v>2521</x:v>
      </x:c>
      <x:c r="C18" s="175" t="n">
        <x:f>'05_Material_Summary'!F12</x:f>
        <x:v>2521</x:v>
      </x:c>
      <x:c r="D18" s="214" t="n">
        <x:f>'05_Material_Summary'!G12</x:f>
        <x:v>1</x:v>
      </x:c>
      <x:c r="E18" s="216" t="n">
        <x:f>'05_Material_Summary'!I12/1000000</x:f>
        <x:v>0.18931752249411</x:v>
      </x:c>
      <x:c r="F18" s="216" t="n">
        <x:f>'05_Material_Summary'!K12</x:f>
        <x:v>31.763594640703694</x:v>
      </x:c>
      <x:c r="G18" s="217" t="n">
        <x:f>'05_Material_Summary'!L12</x:f>
        <x:v>0.625</x:v>
      </x:c>
      <x:c r="H18" s="49" t="n">
        <x:f>'05_Material_Summary'!M12</x:f>
        <x:v>2</x:v>
      </x:c>
      <x:c r="I18" s="49"/>
      <x:c r="J18" s="49"/>
      <x:c r="K18" s="49"/>
      <x:c r="L18" s="49"/>
      <x:c r="M18" s="49"/>
      <x:c r="N18" s="49"/>
      <x:c r="O18" s="49"/>
      <x:c r="P18" s="49"/>
      <x:c r="Q18" s="49"/>
      <x:c r="R18" s="49"/>
      <x:c r="S18" s="49"/>
      <x:c r="T18" s="49"/>
      <x:c r="U18" s="49"/>
      <x:c r="V18" s="49"/>
      <x:c r="W18" s="49"/>
      <x:c r="X18" s="49"/>
      <x:c r="Y18" s="49"/>
      <x:c r="Z18" s="49"/>
      <x:c r="AA18" s="49"/>
      <x:c r="AB18" s="49"/>
      <x:c r="AC18" s="49"/>
      <x:c r="AD18" s="49"/>
      <x:c r="AE18" s="49"/>
      <x:c r="AF18" s="49"/>
      <x:c r="AG18" s="49"/>
      <x:c r="AH18" s="49"/>
      <x:c r="AI18" s="49"/>
      <x:c r="AJ18" s="49"/>
      <x:c r="AK18" s="49"/>
      <x:c r="AL18" s="49"/>
      <x:c r="AM18" s="49"/>
      <x:c r="AN18" s="49"/>
      <x:c r="AO18" s="49"/>
      <x:c r="AP18" s="49"/>
      <x:c r="AQ18" s="49"/>
      <x:c r="AR18" s="49"/>
      <x:c r="AS18" s="49"/>
      <x:c r="AT18" s="49"/>
      <x:c r="AU18" s="49"/>
      <x:c r="AV18" s="49"/>
      <x:c r="AW18" s="49"/>
      <x:c r="AX18" s="49"/>
      <x:c r="AY18" s="49"/>
      <x:c r="AZ18" s="49"/>
    </x:row>
    <x:row r="19">
      <x:c r="A19" s="49" t="str">
        <x:v>特种化学品</x:v>
      </x:c>
      <x:c r="B19" s="175" t="n">
        <x:f>'05_Material_Summary'!E13</x:f>
        <x:v>64797</x:v>
      </x:c>
      <x:c r="C19" s="175" t="n">
        <x:f>'05_Material_Summary'!F13</x:f>
        <x:v>64797</x:v>
      </x:c>
      <x:c r="D19" s="214" t="n">
        <x:f>'05_Material_Summary'!G13</x:f>
        <x:v>1</x:v>
      </x:c>
      <x:c r="E19" s="216" t="n">
        <x:f>'05_Material_Summary'!I13/1000000</x:f>
        <x:v>10.341980500254989</x:v>
      </x:c>
      <x:c r="F19" s="216" t="n">
        <x:f>'05_Material_Summary'!K13</x:f>
        <x:v>26.157250374711126</x:v>
      </x:c>
      <x:c r="G19" s="217" t="n">
        <x:f>'05_Material_Summary'!L13</x:f>
        <x:v>0.625</x:v>
      </x:c>
      <x:c r="H19" s="49" t="n">
        <x:f>'05_Material_Summary'!M13</x:f>
        <x:v>2</x:v>
      </x:c>
      <x:c r="I19" s="49"/>
      <x:c r="J19" s="49"/>
      <x:c r="K19" s="49"/>
      <x:c r="L19" s="49"/>
      <x:c r="M19" s="49"/>
      <x:c r="N19" s="49"/>
      <x:c r="O19" s="49"/>
      <x:c r="P19" s="49"/>
      <x:c r="Q19" s="49"/>
      <x:c r="R19" s="49"/>
      <x:c r="S19" s="49"/>
      <x:c r="T19" s="49"/>
      <x:c r="U19" s="49"/>
      <x:c r="V19" s="49"/>
      <x:c r="W19" s="49"/>
      <x:c r="X19" s="49"/>
      <x:c r="Y19" s="49"/>
      <x:c r="Z19" s="49"/>
      <x:c r="AA19" s="49"/>
      <x:c r="AB19" s="49"/>
      <x:c r="AC19" s="49"/>
      <x:c r="AD19" s="49"/>
      <x:c r="AE19" s="49"/>
      <x:c r="AF19" s="49"/>
      <x:c r="AG19" s="49"/>
      <x:c r="AH19" s="49"/>
      <x:c r="AI19" s="49"/>
      <x:c r="AJ19" s="49"/>
      <x:c r="AK19" s="49"/>
      <x:c r="AL19" s="49"/>
      <x:c r="AM19" s="49"/>
      <x:c r="AN19" s="49"/>
      <x:c r="AO19" s="49"/>
      <x:c r="AP19" s="49"/>
      <x:c r="AQ19" s="49"/>
      <x:c r="AR19" s="49"/>
      <x:c r="AS19" s="49"/>
      <x:c r="AT19" s="49"/>
      <x:c r="AU19" s="49"/>
      <x:c r="AV19" s="49"/>
      <x:c r="AW19" s="49"/>
      <x:c r="AX19" s="49"/>
      <x:c r="AY19" s="49"/>
      <x:c r="AZ19" s="49"/>
    </x:row>
    <x:row r="20">
      <x:c r="A20" s="49"/>
      <x:c r="B20" s="49"/>
      <x:c r="C20" s="49"/>
      <x:c r="D20" s="49"/>
      <x:c r="E20" s="49"/>
      <x:c r="F20" s="49"/>
      <x:c r="G20" s="49"/>
      <x:c r="H20" s="49"/>
      <x:c r="I20" s="49"/>
      <x:c r="J20" s="49"/>
      <x:c r="K20" s="49"/>
      <x:c r="L20" s="49"/>
      <x:c r="M20" s="49"/>
      <x:c r="N20" s="49"/>
      <x:c r="O20" s="49"/>
      <x:c r="P20" s="49"/>
      <x:c r="Q20" s="49"/>
      <x:c r="R20" s="49"/>
      <x:c r="S20" s="49"/>
      <x:c r="T20" s="49"/>
      <x:c r="U20" s="49"/>
      <x:c r="V20" s="49"/>
      <x:c r="W20" s="49"/>
      <x:c r="X20" s="49"/>
      <x:c r="Y20" s="49"/>
      <x:c r="Z20" s="49"/>
      <x:c r="AA20" s="49"/>
      <x:c r="AB20" s="49"/>
      <x:c r="AC20" s="49"/>
      <x:c r="AD20" s="49"/>
      <x:c r="AE20" s="49"/>
      <x:c r="AF20" s="49"/>
      <x:c r="AG20" s="49"/>
      <x:c r="AH20" s="49"/>
      <x:c r="AI20" s="49"/>
      <x:c r="AJ20" s="49"/>
      <x:c r="AK20" s="49"/>
      <x:c r="AL20" s="49"/>
      <x:c r="AM20" s="49"/>
      <x:c r="AN20" s="49"/>
      <x:c r="AO20" s="49"/>
      <x:c r="AP20" s="49"/>
      <x:c r="AQ20" s="49"/>
      <x:c r="AR20" s="49"/>
      <x:c r="AS20" s="49"/>
      <x:c r="AT20" s="49"/>
      <x:c r="AU20" s="49"/>
      <x:c r="AV20" s="49"/>
      <x:c r="AW20" s="49"/>
      <x:c r="AX20" s="49"/>
      <x:c r="AY20" s="49"/>
      <x:c r="AZ20" s="49"/>
    </x:row>
    <x:row r="21">
      <x:c r="A21" s="49"/>
      <x:c r="B21" s="49"/>
      <x:c r="C21" s="49"/>
      <x:c r="D21" s="49"/>
      <x:c r="E21" s="49"/>
      <x:c r="F21" s="49"/>
      <x:c r="G21" s="49"/>
      <x:c r="H21" s="49"/>
      <x:c r="I21" s="49"/>
      <x:c r="J21" s="49"/>
      <x:c r="K21" s="49"/>
      <x:c r="L21" s="49"/>
      <x:c r="M21" s="49"/>
      <x:c r="N21" s="49"/>
      <x:c r="O21" s="49"/>
      <x:c r="P21" s="49"/>
      <x:c r="Q21" s="49"/>
      <x:c r="R21" s="49"/>
      <x:c r="S21" s="49"/>
      <x:c r="T21" s="49"/>
      <x:c r="U21" s="49"/>
      <x:c r="V21" s="49"/>
      <x:c r="W21" s="49"/>
      <x:c r="X21" s="49"/>
      <x:c r="Y21" s="49"/>
      <x:c r="Z21" s="49"/>
      <x:c r="AA21" s="49"/>
      <x:c r="AB21" s="49"/>
      <x:c r="AC21" s="49"/>
      <x:c r="AD21" s="49"/>
      <x:c r="AE21" s="49"/>
      <x:c r="AF21" s="49"/>
      <x:c r="AG21" s="49"/>
      <x:c r="AH21" s="49"/>
      <x:c r="AI21" s="49"/>
      <x:c r="AJ21" s="49"/>
      <x:c r="AK21" s="49"/>
      <x:c r="AL21" s="49"/>
      <x:c r="AM21" s="49"/>
      <x:c r="AN21" s="49"/>
      <x:c r="AO21" s="49"/>
      <x:c r="AP21" s="49"/>
      <x:c r="AQ21" s="49"/>
      <x:c r="AR21" s="49"/>
      <x:c r="AS21" s="49"/>
      <x:c r="AT21" s="49"/>
      <x:c r="AU21" s="49"/>
      <x:c r="AV21" s="49"/>
      <x:c r="AW21" s="49"/>
      <x:c r="AX21" s="49"/>
      <x:c r="AY21" s="49"/>
      <x:c r="AZ21" s="49"/>
    </x:row>
    <x:row r="22">
      <x:c r="A22" s="133" t="str">
        <x:v>EDA/IP 扩展快照</x:v>
      </x:c>
      <x:c r="B22" s="133"/>
      <x:c r="C22" s="133"/>
      <x:c r="D22" s="133"/>
      <x:c r="E22" s="133"/>
      <x:c r="F22" s="133"/>
      <x:c r="G22" s="133"/>
      <x:c r="H22" s="133"/>
      <x:c r="I22" s="49"/>
      <x:c r="J22" s="49"/>
      <x:c r="K22" s="49"/>
      <x:c r="L22" s="49"/>
      <x:c r="M22" s="49"/>
      <x:c r="N22" s="49"/>
      <x:c r="O22" s="49"/>
      <x:c r="P22" s="49"/>
      <x:c r="Q22" s="49"/>
      <x:c r="R22" s="49"/>
      <x:c r="S22" s="49"/>
      <x:c r="T22" s="49"/>
      <x:c r="U22" s="49"/>
      <x:c r="V22" s="49"/>
      <x:c r="W22" s="49"/>
      <x:c r="X22" s="49"/>
      <x:c r="Y22" s="49"/>
      <x:c r="Z22" s="49"/>
      <x:c r="AA22" s="49"/>
      <x:c r="AB22" s="49"/>
      <x:c r="AC22" s="49"/>
      <x:c r="AD22" s="49"/>
      <x:c r="AE22" s="49"/>
      <x:c r="AF22" s="49"/>
      <x:c r="AG22" s="49"/>
      <x:c r="AH22" s="49"/>
      <x:c r="AI22" s="49"/>
      <x:c r="AJ22" s="49"/>
      <x:c r="AK22" s="49"/>
      <x:c r="AL22" s="49"/>
      <x:c r="AM22" s="49"/>
      <x:c r="AN22" s="49"/>
      <x:c r="AO22" s="49"/>
      <x:c r="AP22" s="49"/>
      <x:c r="AQ22" s="49"/>
      <x:c r="AR22" s="49"/>
      <x:c r="AS22" s="49"/>
      <x:c r="AT22" s="49"/>
      <x:c r="AU22" s="49"/>
      <x:c r="AV22" s="49"/>
      <x:c r="AW22" s="49"/>
      <x:c r="AX22" s="49"/>
      <x:c r="AY22" s="49"/>
      <x:c r="AZ22" s="49"/>
    </x:row>
    <x:row r="23">
      <x:c r="A23" s="48" t="str">
        <x:v>情景</x:v>
      </x:c>
      <x:c r="B23" s="196" t="str">
        <x:f>'08_EDA_IP_Extension'!$H$13</x:f>
        <x:v>基准</x:v>
      </x:c>
      <x:c r="C23" s="224" t="str">
        <x:v>策略</x:v>
      </x:c>
      <x:c r="D23" s="196" t="str">
        <x:f>'08_EDA_IP_Extension'!$H$14</x:f>
        <x:v>当前</x:v>
      </x:c>
      <x:c r="E23" s="49"/>
      <x:c r="F23" s="49"/>
      <x:c r="G23" s="49"/>
      <x:c r="H23" s="49"/>
      <x:c r="I23" s="49"/>
      <x:c r="J23" s="49"/>
      <x:c r="K23" s="49"/>
      <x:c r="L23" s="49"/>
      <x:c r="M23" s="49"/>
      <x:c r="N23" s="49"/>
      <x:c r="O23" s="49"/>
      <x:c r="P23" s="49"/>
      <x:c r="Q23" s="49"/>
      <x:c r="R23" s="49"/>
      <x:c r="S23" s="49"/>
      <x:c r="T23" s="49"/>
      <x:c r="U23" s="49"/>
      <x:c r="V23" s="49"/>
      <x:c r="W23" s="49"/>
      <x:c r="X23" s="49"/>
      <x:c r="Y23" s="49"/>
      <x:c r="Z23" s="49"/>
      <x:c r="AA23" s="49"/>
      <x:c r="AB23" s="49"/>
      <x:c r="AC23" s="49"/>
      <x:c r="AD23" s="49"/>
      <x:c r="AE23" s="49"/>
      <x:c r="AF23" s="49"/>
      <x:c r="AG23" s="49"/>
      <x:c r="AH23" s="49"/>
      <x:c r="AI23" s="49"/>
      <x:c r="AJ23" s="49"/>
      <x:c r="AK23" s="49"/>
      <x:c r="AL23" s="49"/>
      <x:c r="AM23" s="49"/>
      <x:c r="AN23" s="49"/>
      <x:c r="AO23" s="49"/>
      <x:c r="AP23" s="49"/>
      <x:c r="AQ23" s="49"/>
      <x:c r="AR23" s="49"/>
      <x:c r="AS23" s="49"/>
      <x:c r="AT23" s="49"/>
      <x:c r="AU23" s="49"/>
      <x:c r="AV23" s="49"/>
      <x:c r="AW23" s="49"/>
      <x:c r="AX23" s="49"/>
      <x:c r="AY23" s="49"/>
      <x:c r="AZ23" s="49"/>
    </x:row>
    <x:row r="24">
      <x:c r="A24" s="48" t="str">
        <x:v>年度授权成本（百万元 CNY）</x:v>
      </x:c>
      <x:c r="B24" s="198" t="n">
        <x:f>'08_EDA_IP_Extension'!$H$15/1000000</x:f>
        <x:v>21.936</x:v>
      </x:c>
      <x:c r="C24" s="224" t="str">
        <x:v>峰值需求覆盖率</x:v>
      </x:c>
      <x:c r="D24" s="197" t="n">
        <x:f>'08_EDA_IP_Extension'!$H$16</x:f>
        <x:v>1</x:v>
      </x:c>
      <x:c r="E24" s="49"/>
      <x:c r="F24" s="49"/>
      <x:c r="G24" s="49"/>
      <x:c r="H24" s="49"/>
      <x:c r="I24" s="49"/>
      <x:c r="J24" s="49"/>
      <x:c r="K24" s="49"/>
      <x:c r="L24" s="49"/>
      <x:c r="M24" s="49"/>
      <x:c r="N24" s="49"/>
      <x:c r="O24" s="49"/>
      <x:c r="P24" s="49"/>
      <x:c r="Q24" s="49"/>
      <x:c r="R24" s="49"/>
      <x:c r="S24" s="49"/>
      <x:c r="T24" s="49"/>
      <x:c r="U24" s="49"/>
      <x:c r="V24" s="49"/>
      <x:c r="W24" s="49"/>
      <x:c r="X24" s="49"/>
      <x:c r="Y24" s="49"/>
      <x:c r="Z24" s="49"/>
      <x:c r="AA24" s="49"/>
      <x:c r="AB24" s="49"/>
      <x:c r="AC24" s="49"/>
      <x:c r="AD24" s="49"/>
      <x:c r="AE24" s="49"/>
      <x:c r="AF24" s="49"/>
      <x:c r="AG24" s="49"/>
      <x:c r="AH24" s="49"/>
      <x:c r="AI24" s="49"/>
      <x:c r="AJ24" s="49"/>
      <x:c r="AK24" s="49"/>
      <x:c r="AL24" s="49"/>
      <x:c r="AM24" s="49"/>
      <x:c r="AN24" s="49"/>
      <x:c r="AO24" s="49"/>
      <x:c r="AP24" s="49"/>
      <x:c r="AQ24" s="49"/>
      <x:c r="AR24" s="49"/>
      <x:c r="AS24" s="49"/>
      <x:c r="AT24" s="49"/>
      <x:c r="AU24" s="49"/>
      <x:c r="AV24" s="49"/>
      <x:c r="AW24" s="49"/>
      <x:c r="AX24" s="49"/>
      <x:c r="AY24" s="49"/>
      <x:c r="AZ24" s="49"/>
    </x:row>
    <x:row r="25">
      <x:c r="A25" s="48" t="str">
        <x:v>峰值缺口数量</x:v>
      </x:c>
      <x:c r="B25" s="196" t="n">
        <x:f>'08_EDA_IP_Extension'!$H$17</x:f>
        <x:v>0</x:v>
      </x:c>
      <x:c r="C25" s="224" t="str">
        <x:v>使用边界</x:v>
      </x:c>
      <x:c r="D25" s="196" t="str">
        <x:v>仅模拟数据</x:v>
      </x:c>
      <x:c r="E25" s="49"/>
      <x:c r="F25" s="49"/>
      <x:c r="G25" s="49"/>
      <x:c r="H25" s="49"/>
      <x:c r="I25" s="49"/>
      <x:c r="J25" s="49"/>
      <x:c r="K25" s="49"/>
      <x:c r="L25" s="49"/>
      <x:c r="M25" s="49"/>
      <x:c r="N25" s="49"/>
      <x:c r="O25" s="49"/>
      <x:c r="P25" s="49"/>
      <x:c r="Q25" s="49"/>
      <x:c r="R25" s="49"/>
      <x:c r="S25" s="49"/>
      <x:c r="T25" s="49"/>
      <x:c r="U25" s="49"/>
      <x:c r="V25" s="49"/>
      <x:c r="W25" s="49"/>
      <x:c r="X25" s="49"/>
      <x:c r="Y25" s="49"/>
      <x:c r="Z25" s="49"/>
      <x:c r="AA25" s="49"/>
      <x:c r="AB25" s="49"/>
      <x:c r="AC25" s="49"/>
      <x:c r="AD25" s="49"/>
      <x:c r="AE25" s="49"/>
      <x:c r="AF25" s="49"/>
      <x:c r="AG25" s="49"/>
      <x:c r="AH25" s="49"/>
      <x:c r="AI25" s="49"/>
      <x:c r="AJ25" s="49"/>
      <x:c r="AK25" s="49"/>
      <x:c r="AL25" s="49"/>
      <x:c r="AM25" s="49"/>
      <x:c r="AN25" s="49"/>
      <x:c r="AO25" s="49"/>
      <x:c r="AP25" s="49"/>
      <x:c r="AQ25" s="49"/>
      <x:c r="AR25" s="49"/>
      <x:c r="AS25" s="49"/>
      <x:c r="AT25" s="49"/>
      <x:c r="AU25" s="49"/>
      <x:c r="AV25" s="49"/>
      <x:c r="AW25" s="49"/>
      <x:c r="AX25" s="49"/>
      <x:c r="AY25" s="49"/>
      <x:c r="AZ25" s="49"/>
    </x:row>
    <x:row r="26">
      <x:c r="A26" s="49"/>
      <x:c r="B26" s="49"/>
      <x:c r="C26" s="49"/>
      <x:c r="D26" s="49"/>
      <x:c r="E26" s="49"/>
      <x:c r="F26" s="49"/>
      <x:c r="G26" s="49"/>
      <x:c r="H26" s="49"/>
      <x:c r="I26" s="49"/>
      <x:c r="J26" s="49"/>
      <x:c r="K26" s="49"/>
      <x:c r="L26" s="49"/>
      <x:c r="M26" s="49"/>
      <x:c r="N26" s="49"/>
      <x:c r="O26" s="49"/>
      <x:c r="P26" s="49"/>
      <x:c r="Q26" s="49"/>
      <x:c r="R26" s="49"/>
      <x:c r="S26" s="49"/>
      <x:c r="T26" s="49"/>
      <x:c r="U26" s="49"/>
      <x:c r="V26" s="49"/>
      <x:c r="W26" s="49"/>
      <x:c r="X26" s="49"/>
      <x:c r="Y26" s="49"/>
      <x:c r="Z26" s="49"/>
      <x:c r="AA26" s="49"/>
      <x:c r="AB26" s="49"/>
      <x:c r="AC26" s="49"/>
      <x:c r="AD26" s="49"/>
      <x:c r="AE26" s="49"/>
      <x:c r="AF26" s="49"/>
      <x:c r="AG26" s="49"/>
      <x:c r="AH26" s="49"/>
      <x:c r="AI26" s="49"/>
      <x:c r="AJ26" s="49"/>
      <x:c r="AK26" s="49"/>
      <x:c r="AL26" s="49"/>
      <x:c r="AM26" s="49"/>
      <x:c r="AN26" s="49"/>
      <x:c r="AO26" s="49"/>
      <x:c r="AP26" s="49"/>
      <x:c r="AQ26" s="49"/>
      <x:c r="AR26" s="49"/>
      <x:c r="AS26" s="49"/>
      <x:c r="AT26" s="49"/>
      <x:c r="AU26" s="49"/>
      <x:c r="AV26" s="49"/>
      <x:c r="AW26" s="49"/>
      <x:c r="AX26" s="49"/>
      <x:c r="AY26" s="49"/>
      <x:c r="AZ26" s="49"/>
    </x:row>
    <x:row r="27">
      <x:c r="A27" s="49"/>
      <x:c r="B27" s="49"/>
      <x:c r="C27" s="49"/>
      <x:c r="D27" s="49"/>
      <x:c r="E27" s="49"/>
      <x:c r="F27" s="49"/>
      <x:c r="G27" s="49"/>
      <x:c r="H27" s="49"/>
      <x:c r="I27" s="49"/>
      <x:c r="J27" s="49"/>
      <x:c r="K27" s="49"/>
      <x:c r="L27" s="49"/>
      <x:c r="M27" s="49"/>
      <x:c r="N27" s="49"/>
      <x:c r="O27" s="49"/>
      <x:c r="P27" s="49"/>
      <x:c r="Q27" s="49"/>
      <x:c r="R27" s="49"/>
      <x:c r="S27" s="49"/>
      <x:c r="T27" s="49"/>
      <x:c r="U27" s="49"/>
      <x:c r="V27" s="49"/>
      <x:c r="W27" s="49"/>
      <x:c r="X27" s="49"/>
      <x:c r="Y27" s="49"/>
      <x:c r="Z27" s="49"/>
      <x:c r="AA27" s="49"/>
      <x:c r="AB27" s="49"/>
      <x:c r="AC27" s="49"/>
      <x:c r="AD27" s="49"/>
      <x:c r="AE27" s="49"/>
      <x:c r="AF27" s="49"/>
      <x:c r="AG27" s="49"/>
      <x:c r="AH27" s="49"/>
      <x:c r="AI27" s="49"/>
      <x:c r="AJ27" s="49"/>
      <x:c r="AK27" s="49"/>
      <x:c r="AL27" s="49"/>
      <x:c r="AM27" s="49"/>
      <x:c r="AN27" s="49"/>
      <x:c r="AO27" s="49"/>
      <x:c r="AP27" s="49"/>
      <x:c r="AQ27" s="49"/>
      <x:c r="AR27" s="49"/>
      <x:c r="AS27" s="49"/>
      <x:c r="AT27" s="49"/>
      <x:c r="AU27" s="49"/>
      <x:c r="AV27" s="49"/>
      <x:c r="AW27" s="49"/>
      <x:c r="AX27" s="49"/>
      <x:c r="AY27" s="49"/>
      <x:c r="AZ27" s="49"/>
    </x:row>
    <x:row r="28">
      <x:c r="A28" s="49"/>
      <x:c r="B28" s="49"/>
      <x:c r="C28" s="49"/>
      <x:c r="D28" s="49"/>
      <x:c r="E28" s="49"/>
      <x:c r="F28" s="49"/>
      <x:c r="G28" s="49"/>
      <x:c r="H28" s="49"/>
      <x:c r="I28" s="49"/>
      <x:c r="J28" s="49"/>
      <x:c r="K28" s="49"/>
      <x:c r="L28" s="49"/>
      <x:c r="M28" s="49"/>
      <x:c r="N28" s="49"/>
      <x:c r="O28" s="49"/>
      <x:c r="P28" s="49"/>
      <x:c r="Q28" s="49"/>
      <x:c r="R28" s="49"/>
      <x:c r="S28" s="49"/>
      <x:c r="T28" s="49"/>
      <x:c r="U28" s="49"/>
      <x:c r="V28" s="49"/>
      <x:c r="W28" s="49"/>
      <x:c r="X28" s="49"/>
      <x:c r="Y28" s="49"/>
      <x:c r="Z28" s="49"/>
      <x:c r="AA28" s="49"/>
      <x:c r="AB28" s="49"/>
      <x:c r="AC28" s="49"/>
      <x:c r="AD28" s="49"/>
      <x:c r="AE28" s="49"/>
      <x:c r="AF28" s="49"/>
      <x:c r="AG28" s="49"/>
      <x:c r="AH28" s="49"/>
      <x:c r="AI28" s="49"/>
      <x:c r="AJ28" s="49"/>
      <x:c r="AK28" s="49"/>
      <x:c r="AL28" s="49"/>
      <x:c r="AM28" s="49"/>
      <x:c r="AN28" s="49"/>
      <x:c r="AO28" s="49"/>
      <x:c r="AP28" s="49"/>
      <x:c r="AQ28" s="49"/>
      <x:c r="AR28" s="49"/>
      <x:c r="AS28" s="49"/>
      <x:c r="AT28" s="49"/>
      <x:c r="AU28" s="49"/>
      <x:c r="AV28" s="49"/>
      <x:c r="AW28" s="49"/>
      <x:c r="AX28" s="49"/>
      <x:c r="AY28" s="49"/>
      <x:c r="AZ28" s="49"/>
    </x:row>
    <x:row r="29">
      <x:c r="A29" s="49"/>
      <x:c r="B29" s="49"/>
      <x:c r="C29" s="49"/>
      <x:c r="D29" s="49"/>
      <x:c r="E29" s="49"/>
      <x:c r="F29" s="49"/>
      <x:c r="G29" s="49"/>
      <x:c r="H29" s="49"/>
      <x:c r="I29" s="49"/>
      <x:c r="J29" s="49"/>
      <x:c r="K29" s="49"/>
      <x:c r="L29" s="49"/>
      <x:c r="M29" s="49"/>
      <x:c r="N29" s="49"/>
      <x:c r="O29" s="49"/>
      <x:c r="P29" s="49"/>
      <x:c r="Q29" s="49"/>
      <x:c r="R29" s="49"/>
      <x:c r="S29" s="49"/>
      <x:c r="T29" s="49"/>
      <x:c r="U29" s="49"/>
      <x:c r="V29" s="49"/>
      <x:c r="W29" s="49"/>
      <x:c r="X29" s="49"/>
      <x:c r="Y29" s="49"/>
      <x:c r="Z29" s="49"/>
      <x:c r="AA29" s="49"/>
      <x:c r="AB29" s="49"/>
      <x:c r="AC29" s="49"/>
      <x:c r="AD29" s="49"/>
      <x:c r="AE29" s="49"/>
      <x:c r="AF29" s="49"/>
      <x:c r="AG29" s="49"/>
      <x:c r="AH29" s="49"/>
      <x:c r="AI29" s="49"/>
      <x:c r="AJ29" s="49"/>
      <x:c r="AK29" s="49"/>
      <x:c r="AL29" s="49"/>
      <x:c r="AM29" s="49"/>
      <x:c r="AN29" s="49"/>
      <x:c r="AO29" s="49"/>
      <x:c r="AP29" s="49"/>
      <x:c r="AQ29" s="49"/>
      <x:c r="AR29" s="49"/>
      <x:c r="AS29" s="49"/>
      <x:c r="AT29" s="49"/>
      <x:c r="AU29" s="49"/>
      <x:c r="AV29" s="49"/>
      <x:c r="AW29" s="49"/>
      <x:c r="AX29" s="49"/>
      <x:c r="AY29" s="49"/>
      <x:c r="AZ29" s="49"/>
    </x:row>
    <x:row r="30">
      <x:c r="A30" s="49"/>
      <x:c r="B30" s="49"/>
      <x:c r="C30" s="49"/>
      <x:c r="D30" s="49"/>
      <x:c r="E30" s="49"/>
      <x:c r="F30" s="49"/>
      <x:c r="G30" s="49"/>
      <x:c r="H30" s="49"/>
      <x:c r="I30" s="49"/>
      <x:c r="J30" s="49"/>
      <x:c r="K30" s="49"/>
      <x:c r="L30" s="49"/>
      <x:c r="M30" s="49"/>
      <x:c r="N30" s="49"/>
      <x:c r="O30" s="49"/>
      <x:c r="P30" s="49"/>
      <x:c r="Q30" s="49"/>
      <x:c r="R30" s="49"/>
      <x:c r="S30" s="49"/>
      <x:c r="T30" s="49"/>
      <x:c r="U30" s="49"/>
      <x:c r="V30" s="49"/>
      <x:c r="W30" s="49"/>
      <x:c r="X30" s="49"/>
      <x:c r="Y30" s="49"/>
      <x:c r="Z30" s="49"/>
      <x:c r="AA30" s="49"/>
      <x:c r="AB30" s="49"/>
      <x:c r="AC30" s="49"/>
      <x:c r="AD30" s="49"/>
      <x:c r="AE30" s="49"/>
      <x:c r="AF30" s="49"/>
      <x:c r="AG30" s="49"/>
      <x:c r="AH30" s="49"/>
      <x:c r="AI30" s="49"/>
      <x:c r="AJ30" s="49"/>
      <x:c r="AK30" s="49"/>
      <x:c r="AL30" s="49"/>
      <x:c r="AM30" s="49"/>
      <x:c r="AN30" s="49"/>
      <x:c r="AO30" s="49"/>
      <x:c r="AP30" s="49"/>
      <x:c r="AQ30" s="49"/>
      <x:c r="AR30" s="49"/>
      <x:c r="AS30" s="49"/>
      <x:c r="AT30" s="49"/>
      <x:c r="AU30" s="49"/>
      <x:c r="AV30" s="49"/>
      <x:c r="AW30" s="49"/>
      <x:c r="AX30" s="49"/>
      <x:c r="AY30" s="49"/>
      <x:c r="AZ30" s="49"/>
    </x:row>
    <x:row r="31">
      <x:c r="A31" s="49"/>
      <x:c r="B31" s="49"/>
      <x:c r="C31" s="49"/>
      <x:c r="D31" s="49"/>
      <x:c r="E31" s="49"/>
      <x:c r="F31" s="49"/>
      <x:c r="G31" s="49"/>
      <x:c r="H31" s="49"/>
      <x:c r="I31" s="49"/>
      <x:c r="J31" s="49"/>
      <x:c r="K31" s="49"/>
      <x:c r="L31" s="49"/>
      <x:c r="M31" s="49"/>
      <x:c r="N31" s="49"/>
      <x:c r="O31" s="49"/>
      <x:c r="P31" s="49"/>
      <x:c r="Q31" s="49"/>
      <x:c r="R31" s="49"/>
      <x:c r="S31" s="49"/>
      <x:c r="T31" s="49"/>
      <x:c r="U31" s="49"/>
      <x:c r="V31" s="49"/>
      <x:c r="W31" s="49"/>
      <x:c r="X31" s="49"/>
      <x:c r="Y31" s="49"/>
      <x:c r="Z31" s="49"/>
      <x:c r="AA31" s="49"/>
      <x:c r="AB31" s="49"/>
      <x:c r="AC31" s="49"/>
      <x:c r="AD31" s="49"/>
      <x:c r="AE31" s="49"/>
      <x:c r="AF31" s="49"/>
      <x:c r="AG31" s="49"/>
      <x:c r="AH31" s="49"/>
      <x:c r="AI31" s="49"/>
      <x:c r="AJ31" s="49"/>
      <x:c r="AK31" s="49"/>
      <x:c r="AL31" s="49"/>
      <x:c r="AM31" s="49"/>
      <x:c r="AN31" s="49"/>
      <x:c r="AO31" s="49"/>
      <x:c r="AP31" s="49"/>
      <x:c r="AQ31" s="49"/>
      <x:c r="AR31" s="49"/>
      <x:c r="AS31" s="49"/>
      <x:c r="AT31" s="49"/>
      <x:c r="AU31" s="49"/>
      <x:c r="AV31" s="49"/>
      <x:c r="AW31" s="49"/>
      <x:c r="AX31" s="49"/>
      <x:c r="AY31" s="49"/>
      <x:c r="AZ31" s="49"/>
    </x:row>
    <x:row r="32">
      <x:c r="A32" s="49"/>
      <x:c r="B32" s="49"/>
      <x:c r="C32" s="49"/>
      <x:c r="D32" s="49"/>
      <x:c r="E32" s="49"/>
      <x:c r="F32" s="49"/>
      <x:c r="G32" s="49"/>
      <x:c r="H32" s="49"/>
      <x:c r="I32" s="49"/>
      <x:c r="J32" s="49"/>
      <x:c r="K32" s="49"/>
      <x:c r="L32" s="49"/>
      <x:c r="M32" s="49"/>
      <x:c r="N32" s="49"/>
      <x:c r="O32" s="49"/>
      <x:c r="P32" s="49"/>
      <x:c r="Q32" s="49"/>
      <x:c r="R32" s="49"/>
      <x:c r="S32" s="49"/>
      <x:c r="T32" s="49"/>
      <x:c r="U32" s="49"/>
      <x:c r="V32" s="49"/>
      <x:c r="W32" s="49"/>
      <x:c r="X32" s="49"/>
      <x:c r="Y32" s="49"/>
      <x:c r="Z32" s="49"/>
      <x:c r="AA32" s="49"/>
      <x:c r="AB32" s="49"/>
      <x:c r="AC32" s="49"/>
      <x:c r="AD32" s="49"/>
      <x:c r="AE32" s="49"/>
      <x:c r="AF32" s="49"/>
      <x:c r="AG32" s="49"/>
      <x:c r="AH32" s="49"/>
      <x:c r="AI32" s="49"/>
      <x:c r="AJ32" s="49"/>
      <x:c r="AK32" s="49"/>
      <x:c r="AL32" s="49"/>
      <x:c r="AM32" s="49"/>
      <x:c r="AN32" s="49"/>
      <x:c r="AO32" s="49"/>
      <x:c r="AP32" s="49"/>
      <x:c r="AQ32" s="49"/>
      <x:c r="AR32" s="49"/>
      <x:c r="AS32" s="49"/>
      <x:c r="AT32" s="49"/>
      <x:c r="AU32" s="49"/>
      <x:c r="AV32" s="49"/>
      <x:c r="AW32" s="49"/>
      <x:c r="AX32" s="49"/>
      <x:c r="AY32" s="49"/>
      <x:c r="AZ32" s="49"/>
    </x:row>
    <x:row r="33">
      <x:c r="A33" s="49"/>
      <x:c r="B33" s="49"/>
      <x:c r="C33" s="49"/>
      <x:c r="D33" s="49"/>
      <x:c r="E33" s="49"/>
      <x:c r="F33" s="49"/>
      <x:c r="G33" s="49"/>
      <x:c r="H33" s="49"/>
      <x:c r="I33" s="49"/>
      <x:c r="J33" s="49"/>
      <x:c r="K33" s="49"/>
      <x:c r="L33" s="49"/>
      <x:c r="M33" s="49"/>
      <x:c r="N33" s="49"/>
      <x:c r="O33" s="49"/>
      <x:c r="P33" s="49"/>
      <x:c r="Q33" s="49"/>
      <x:c r="R33" s="49"/>
      <x:c r="S33" s="49"/>
      <x:c r="T33" s="49"/>
      <x:c r="U33" s="49"/>
      <x:c r="V33" s="49"/>
      <x:c r="W33" s="49"/>
      <x:c r="X33" s="49"/>
      <x:c r="Y33" s="49"/>
      <x:c r="Z33" s="49"/>
      <x:c r="AA33" s="49"/>
      <x:c r="AB33" s="49"/>
      <x:c r="AC33" s="49"/>
      <x:c r="AD33" s="49"/>
      <x:c r="AE33" s="49"/>
      <x:c r="AF33" s="49"/>
      <x:c r="AG33" s="49"/>
      <x:c r="AH33" s="49"/>
      <x:c r="AI33" s="49"/>
      <x:c r="AJ33" s="49"/>
      <x:c r="AK33" s="49"/>
      <x:c r="AL33" s="49"/>
      <x:c r="AM33" s="49"/>
      <x:c r="AN33" s="49"/>
      <x:c r="AO33" s="49"/>
      <x:c r="AP33" s="49"/>
      <x:c r="AQ33" s="49"/>
      <x:c r="AR33" s="49"/>
      <x:c r="AS33" s="49"/>
      <x:c r="AT33" s="49"/>
      <x:c r="AU33" s="49"/>
      <x:c r="AV33" s="49"/>
      <x:c r="AW33" s="49"/>
      <x:c r="AX33" s="49"/>
      <x:c r="AY33" s="49"/>
      <x:c r="AZ33" s="49"/>
    </x:row>
    <x:row r="34">
      <x:c r="A34" s="49"/>
      <x:c r="B34" s="49"/>
      <x:c r="C34" s="49"/>
      <x:c r="D34" s="49"/>
      <x:c r="E34" s="49"/>
      <x:c r="F34" s="49"/>
      <x:c r="G34" s="49"/>
      <x:c r="H34" s="49"/>
      <x:c r="I34" s="49"/>
      <x:c r="J34" s="49"/>
      <x:c r="K34" s="49"/>
      <x:c r="L34" s="49"/>
      <x:c r="M34" s="49"/>
      <x:c r="N34" s="49"/>
      <x:c r="O34" s="49"/>
      <x:c r="P34" s="49"/>
      <x:c r="Q34" s="49"/>
      <x:c r="R34" s="49"/>
      <x:c r="S34" s="49"/>
      <x:c r="T34" s="49"/>
      <x:c r="U34" s="49"/>
      <x:c r="V34" s="49"/>
      <x:c r="W34" s="49"/>
      <x:c r="X34" s="49"/>
      <x:c r="Y34" s="49"/>
      <x:c r="Z34" s="49"/>
      <x:c r="AA34" s="49"/>
      <x:c r="AB34" s="49"/>
      <x:c r="AC34" s="49"/>
      <x:c r="AD34" s="49"/>
      <x:c r="AE34" s="49"/>
      <x:c r="AF34" s="49"/>
      <x:c r="AG34" s="49"/>
      <x:c r="AH34" s="49"/>
      <x:c r="AI34" s="49"/>
      <x:c r="AJ34" s="49"/>
      <x:c r="AK34" s="49"/>
      <x:c r="AL34" s="49"/>
      <x:c r="AM34" s="49"/>
      <x:c r="AN34" s="49"/>
      <x:c r="AO34" s="49"/>
      <x:c r="AP34" s="49"/>
      <x:c r="AQ34" s="49"/>
      <x:c r="AR34" s="49"/>
      <x:c r="AS34" s="49"/>
      <x:c r="AT34" s="49"/>
      <x:c r="AU34" s="49"/>
      <x:c r="AV34" s="49"/>
      <x:c r="AW34" s="49"/>
      <x:c r="AX34" s="49"/>
      <x:c r="AY34" s="49"/>
      <x:c r="AZ34" s="49"/>
    </x:row>
    <x:row r="35">
      <x:c r="A35" s="49"/>
      <x:c r="B35" s="49"/>
      <x:c r="C35" s="49"/>
      <x:c r="D35" s="49"/>
      <x:c r="E35" s="49"/>
      <x:c r="F35" s="49"/>
      <x:c r="G35" s="49"/>
      <x:c r="H35" s="49"/>
      <x:c r="I35" s="49"/>
      <x:c r="J35" s="49"/>
      <x:c r="K35" s="49"/>
      <x:c r="L35" s="49"/>
      <x:c r="M35" s="49"/>
      <x:c r="N35" s="49"/>
      <x:c r="O35" s="49"/>
      <x:c r="P35" s="49"/>
      <x:c r="Q35" s="49"/>
      <x:c r="R35" s="49"/>
      <x:c r="S35" s="49"/>
      <x:c r="T35" s="49"/>
      <x:c r="U35" s="49"/>
      <x:c r="V35" s="49"/>
      <x:c r="W35" s="49"/>
      <x:c r="X35" s="49"/>
      <x:c r="Y35" s="49"/>
      <x:c r="Z35" s="49"/>
      <x:c r="AA35" s="49"/>
      <x:c r="AB35" s="49"/>
      <x:c r="AC35" s="49"/>
      <x:c r="AD35" s="49"/>
      <x:c r="AE35" s="49"/>
      <x:c r="AF35" s="49"/>
      <x:c r="AG35" s="49"/>
      <x:c r="AH35" s="49"/>
      <x:c r="AI35" s="49"/>
      <x:c r="AJ35" s="49"/>
      <x:c r="AK35" s="49"/>
      <x:c r="AL35" s="49"/>
      <x:c r="AM35" s="49"/>
      <x:c r="AN35" s="49"/>
      <x:c r="AO35" s="49"/>
      <x:c r="AP35" s="49"/>
      <x:c r="AQ35" s="49"/>
      <x:c r="AR35" s="49"/>
      <x:c r="AS35" s="49"/>
      <x:c r="AT35" s="49"/>
      <x:c r="AU35" s="49"/>
      <x:c r="AV35" s="49"/>
      <x:c r="AW35" s="49"/>
      <x:c r="AX35" s="49"/>
      <x:c r="AY35" s="49"/>
      <x:c r="AZ35" s="49"/>
    </x:row>
    <x:row r="36">
      <x:c r="A36" s="49"/>
      <x:c r="B36" s="49"/>
      <x:c r="C36" s="49"/>
      <x:c r="D36" s="49"/>
      <x:c r="E36" s="49"/>
      <x:c r="F36" s="49"/>
      <x:c r="G36" s="49"/>
      <x:c r="H36" s="49"/>
      <x:c r="I36" s="49"/>
      <x:c r="J36" s="49"/>
      <x:c r="K36" s="49"/>
      <x:c r="L36" s="49"/>
      <x:c r="M36" s="49"/>
      <x:c r="N36" s="49"/>
      <x:c r="O36" s="49"/>
      <x:c r="P36" s="49"/>
      <x:c r="Q36" s="49"/>
      <x:c r="R36" s="49"/>
      <x:c r="S36" s="49"/>
      <x:c r="T36" s="49"/>
      <x:c r="U36" s="49"/>
      <x:c r="V36" s="49"/>
      <x:c r="W36" s="49"/>
      <x:c r="X36" s="49"/>
      <x:c r="Y36" s="49"/>
      <x:c r="Z36" s="49"/>
      <x:c r="AA36" s="49"/>
      <x:c r="AB36" s="49"/>
      <x:c r="AC36" s="49"/>
      <x:c r="AD36" s="49"/>
      <x:c r="AE36" s="49"/>
      <x:c r="AF36" s="49"/>
      <x:c r="AG36" s="49"/>
      <x:c r="AH36" s="49"/>
      <x:c r="AI36" s="49"/>
      <x:c r="AJ36" s="49"/>
      <x:c r="AK36" s="49"/>
      <x:c r="AL36" s="49"/>
      <x:c r="AM36" s="49"/>
      <x:c r="AN36" s="49"/>
      <x:c r="AO36" s="49"/>
      <x:c r="AP36" s="49"/>
      <x:c r="AQ36" s="49"/>
      <x:c r="AR36" s="49"/>
      <x:c r="AS36" s="49"/>
      <x:c r="AT36" s="49"/>
      <x:c r="AU36" s="49"/>
      <x:c r="AV36" s="49"/>
      <x:c r="AW36" s="49"/>
      <x:c r="AX36" s="49"/>
      <x:c r="AY36" s="49"/>
      <x:c r="AZ36" s="49"/>
    </x:row>
    <x:row r="37">
      <x:c r="A37" s="49"/>
      <x:c r="B37" s="49"/>
      <x:c r="C37" s="49"/>
      <x:c r="D37" s="49"/>
      <x:c r="E37" s="49"/>
      <x:c r="F37" s="49"/>
      <x:c r="G37" s="49"/>
      <x:c r="H37" s="49"/>
      <x:c r="I37" s="49"/>
      <x:c r="J37" s="49"/>
      <x:c r="K37" s="49"/>
      <x:c r="L37" s="49"/>
      <x:c r="M37" s="49"/>
      <x:c r="N37" s="49"/>
      <x:c r="O37" s="49"/>
      <x:c r="P37" s="49"/>
      <x:c r="Q37" s="49"/>
      <x:c r="R37" s="49"/>
      <x:c r="S37" s="49"/>
      <x:c r="T37" s="49"/>
      <x:c r="U37" s="49"/>
      <x:c r="V37" s="49"/>
      <x:c r="W37" s="49"/>
      <x:c r="X37" s="49"/>
      <x:c r="Y37" s="49"/>
      <x:c r="Z37" s="49"/>
      <x:c r="AA37" s="49"/>
      <x:c r="AB37" s="49"/>
      <x:c r="AC37" s="49"/>
      <x:c r="AD37" s="49"/>
      <x:c r="AE37" s="49"/>
      <x:c r="AF37" s="49"/>
      <x:c r="AG37" s="49"/>
      <x:c r="AH37" s="49"/>
      <x:c r="AI37" s="49"/>
      <x:c r="AJ37" s="49"/>
      <x:c r="AK37" s="49"/>
      <x:c r="AL37" s="49"/>
      <x:c r="AM37" s="49"/>
      <x:c r="AN37" s="49"/>
      <x:c r="AO37" s="49"/>
      <x:c r="AP37" s="49"/>
      <x:c r="AQ37" s="49"/>
      <x:c r="AR37" s="49"/>
      <x:c r="AS37" s="49"/>
      <x:c r="AT37" s="49"/>
      <x:c r="AU37" s="49"/>
      <x:c r="AV37" s="49"/>
      <x:c r="AW37" s="49"/>
      <x:c r="AX37" s="49"/>
      <x:c r="AY37" s="49"/>
      <x:c r="AZ37" s="49"/>
    </x:row>
    <x:row r="38">
      <x:c r="A38" s="49"/>
      <x:c r="B38" s="49"/>
      <x:c r="C38" s="49"/>
      <x:c r="D38" s="49"/>
      <x:c r="E38" s="49"/>
      <x:c r="F38" s="49"/>
      <x:c r="G38" s="49"/>
      <x:c r="H38" s="49"/>
      <x:c r="I38" s="49"/>
      <x:c r="J38" s="49"/>
      <x:c r="K38" s="49"/>
      <x:c r="L38" s="49"/>
      <x:c r="M38" s="49"/>
      <x:c r="N38" s="49"/>
      <x:c r="O38" s="49"/>
      <x:c r="P38" s="49"/>
      <x:c r="Q38" s="49"/>
      <x:c r="R38" s="49"/>
      <x:c r="S38" s="49"/>
      <x:c r="T38" s="49"/>
      <x:c r="U38" s="49"/>
      <x:c r="V38" s="49"/>
      <x:c r="W38" s="49"/>
      <x:c r="X38" s="49"/>
      <x:c r="Y38" s="49"/>
      <x:c r="Z38" s="49"/>
      <x:c r="AA38" s="49"/>
      <x:c r="AB38" s="49"/>
      <x:c r="AC38" s="49"/>
      <x:c r="AD38" s="49"/>
      <x:c r="AE38" s="49"/>
      <x:c r="AF38" s="49"/>
      <x:c r="AG38" s="49"/>
      <x:c r="AH38" s="49"/>
      <x:c r="AI38" s="49"/>
      <x:c r="AJ38" s="49"/>
      <x:c r="AK38" s="49"/>
      <x:c r="AL38" s="49"/>
      <x:c r="AM38" s="49"/>
      <x:c r="AN38" s="49"/>
      <x:c r="AO38" s="49"/>
      <x:c r="AP38" s="49"/>
      <x:c r="AQ38" s="49"/>
      <x:c r="AR38" s="49"/>
      <x:c r="AS38" s="49"/>
      <x:c r="AT38" s="49"/>
      <x:c r="AU38" s="49"/>
      <x:c r="AV38" s="49"/>
      <x:c r="AW38" s="49"/>
      <x:c r="AX38" s="49"/>
      <x:c r="AY38" s="49"/>
      <x:c r="AZ38" s="49"/>
    </x:row>
    <x:row r="39">
      <x:c r="A39" s="49"/>
      <x:c r="B39" s="49"/>
      <x:c r="C39" s="49"/>
      <x:c r="D39" s="49"/>
      <x:c r="E39" s="49"/>
      <x:c r="F39" s="49"/>
      <x:c r="G39" s="49"/>
      <x:c r="H39" s="49"/>
      <x:c r="I39" s="49"/>
      <x:c r="J39" s="49"/>
      <x:c r="K39" s="49"/>
      <x:c r="L39" s="49"/>
      <x:c r="M39" s="49"/>
      <x:c r="N39" s="49"/>
      <x:c r="O39" s="49"/>
      <x:c r="P39" s="49"/>
      <x:c r="Q39" s="49"/>
      <x:c r="R39" s="49"/>
      <x:c r="S39" s="49"/>
      <x:c r="T39" s="49"/>
      <x:c r="U39" s="49"/>
      <x:c r="V39" s="49"/>
      <x:c r="W39" s="49"/>
      <x:c r="X39" s="49"/>
      <x:c r="Y39" s="49"/>
      <x:c r="Z39" s="49"/>
      <x:c r="AA39" s="49"/>
      <x:c r="AB39" s="49"/>
      <x:c r="AC39" s="49"/>
      <x:c r="AD39" s="49"/>
      <x:c r="AE39" s="49"/>
      <x:c r="AF39" s="49"/>
      <x:c r="AG39" s="49"/>
      <x:c r="AH39" s="49"/>
      <x:c r="AI39" s="49"/>
      <x:c r="AJ39" s="49"/>
      <x:c r="AK39" s="49"/>
      <x:c r="AL39" s="49"/>
      <x:c r="AM39" s="49"/>
      <x:c r="AN39" s="49"/>
      <x:c r="AO39" s="49"/>
      <x:c r="AP39" s="49"/>
      <x:c r="AQ39" s="49"/>
      <x:c r="AR39" s="49"/>
      <x:c r="AS39" s="49"/>
      <x:c r="AT39" s="49"/>
      <x:c r="AU39" s="49"/>
      <x:c r="AV39" s="49"/>
      <x:c r="AW39" s="49"/>
      <x:c r="AX39" s="49"/>
      <x:c r="AY39" s="49"/>
      <x:c r="AZ39" s="49"/>
    </x:row>
    <x:row r="40">
      <x:c r="A40" s="49"/>
      <x:c r="B40" s="49"/>
      <x:c r="C40" s="49"/>
      <x:c r="D40" s="49"/>
      <x:c r="E40" s="49"/>
      <x:c r="F40" s="49"/>
      <x:c r="G40" s="49"/>
      <x:c r="H40" s="49"/>
      <x:c r="I40" s="49"/>
      <x:c r="J40" s="49"/>
      <x:c r="K40" s="49"/>
      <x:c r="L40" s="49"/>
      <x:c r="M40" s="49"/>
      <x:c r="N40" s="49"/>
      <x:c r="O40" s="49"/>
      <x:c r="P40" s="49"/>
      <x:c r="Q40" s="49"/>
      <x:c r="R40" s="49"/>
      <x:c r="S40" s="49"/>
      <x:c r="T40" s="49"/>
      <x:c r="U40" s="49"/>
      <x:c r="V40" s="49"/>
      <x:c r="W40" s="49"/>
      <x:c r="X40" s="49"/>
      <x:c r="Y40" s="49"/>
      <x:c r="Z40" s="49"/>
      <x:c r="AA40" s="49"/>
      <x:c r="AB40" s="49"/>
      <x:c r="AC40" s="49"/>
      <x:c r="AD40" s="49"/>
      <x:c r="AE40" s="49"/>
      <x:c r="AF40" s="49"/>
      <x:c r="AG40" s="49"/>
      <x:c r="AH40" s="49"/>
      <x:c r="AI40" s="49"/>
      <x:c r="AJ40" s="49"/>
      <x:c r="AK40" s="49"/>
      <x:c r="AL40" s="49"/>
      <x:c r="AM40" s="49"/>
      <x:c r="AN40" s="49"/>
      <x:c r="AO40" s="49"/>
      <x:c r="AP40" s="49"/>
      <x:c r="AQ40" s="49"/>
      <x:c r="AR40" s="49"/>
      <x:c r="AS40" s="49"/>
      <x:c r="AT40" s="49"/>
      <x:c r="AU40" s="49"/>
      <x:c r="AV40" s="49"/>
      <x:c r="AW40" s="49"/>
      <x:c r="AX40" s="49"/>
      <x:c r="AY40" s="49"/>
      <x:c r="AZ40" s="49"/>
    </x:row>
    <x:row r="41">
      <x:c r="A41" s="49"/>
      <x:c r="B41" s="49"/>
      <x:c r="C41" s="49"/>
      <x:c r="D41" s="49"/>
      <x:c r="E41" s="49"/>
      <x:c r="F41" s="49"/>
      <x:c r="G41" s="49"/>
      <x:c r="H41" s="49"/>
      <x:c r="I41" s="49"/>
      <x:c r="J41" s="49"/>
      <x:c r="K41" s="49"/>
      <x:c r="L41" s="49"/>
      <x:c r="M41" s="49"/>
      <x:c r="N41" s="49"/>
      <x:c r="O41" s="49"/>
      <x:c r="P41" s="49"/>
      <x:c r="Q41" s="49"/>
      <x:c r="R41" s="49"/>
      <x:c r="S41" s="49"/>
      <x:c r="T41" s="49"/>
      <x:c r="U41" s="49"/>
      <x:c r="V41" s="49"/>
      <x:c r="W41" s="49"/>
      <x:c r="X41" s="49"/>
      <x:c r="Y41" s="49"/>
      <x:c r="Z41" s="49"/>
      <x:c r="AA41" s="49"/>
      <x:c r="AB41" s="49"/>
      <x:c r="AC41" s="49"/>
      <x:c r="AD41" s="49"/>
      <x:c r="AE41" s="49"/>
      <x:c r="AF41" s="49"/>
      <x:c r="AG41" s="49"/>
      <x:c r="AH41" s="49"/>
      <x:c r="AI41" s="49"/>
      <x:c r="AJ41" s="49"/>
      <x:c r="AK41" s="49"/>
      <x:c r="AL41" s="49"/>
      <x:c r="AM41" s="49"/>
      <x:c r="AN41" s="49"/>
      <x:c r="AO41" s="49"/>
      <x:c r="AP41" s="49"/>
      <x:c r="AQ41" s="49"/>
      <x:c r="AR41" s="49"/>
      <x:c r="AS41" s="49"/>
      <x:c r="AT41" s="49"/>
      <x:c r="AU41" s="49"/>
      <x:c r="AV41" s="49"/>
      <x:c r="AW41" s="49"/>
      <x:c r="AX41" s="49"/>
      <x:c r="AY41" s="49"/>
      <x:c r="AZ41" s="49"/>
    </x:row>
    <x:row r="42">
      <x:c r="A42" s="49"/>
      <x:c r="B42" s="49"/>
      <x:c r="C42" s="49"/>
      <x:c r="D42" s="49"/>
      <x:c r="E42" s="49"/>
      <x:c r="F42" s="49"/>
      <x:c r="G42" s="49"/>
      <x:c r="H42" s="49"/>
      <x:c r="I42" s="49"/>
      <x:c r="J42" s="49"/>
      <x:c r="K42" s="49"/>
      <x:c r="L42" s="49"/>
      <x:c r="M42" s="49"/>
      <x:c r="N42" s="49"/>
      <x:c r="O42" s="49"/>
      <x:c r="P42" s="49"/>
      <x:c r="Q42" s="49"/>
      <x:c r="R42" s="49"/>
      <x:c r="S42" s="49"/>
      <x:c r="T42" s="49"/>
      <x:c r="U42" s="49"/>
      <x:c r="V42" s="49"/>
      <x:c r="W42" s="49"/>
      <x:c r="X42" s="49"/>
      <x:c r="Y42" s="49"/>
      <x:c r="Z42" s="49"/>
      <x:c r="AA42" s="49"/>
      <x:c r="AB42" s="49"/>
      <x:c r="AC42" s="49"/>
      <x:c r="AD42" s="49"/>
      <x:c r="AE42" s="49"/>
      <x:c r="AF42" s="49"/>
      <x:c r="AG42" s="49"/>
      <x:c r="AH42" s="49"/>
      <x:c r="AI42" s="49"/>
      <x:c r="AJ42" s="49"/>
      <x:c r="AK42" s="49"/>
      <x:c r="AL42" s="49"/>
      <x:c r="AM42" s="49"/>
      <x:c r="AN42" s="49"/>
      <x:c r="AO42" s="49"/>
      <x:c r="AP42" s="49"/>
      <x:c r="AQ42" s="49"/>
      <x:c r="AR42" s="49"/>
      <x:c r="AS42" s="49"/>
      <x:c r="AT42" s="49"/>
      <x:c r="AU42" s="49"/>
      <x:c r="AV42" s="49"/>
      <x:c r="AW42" s="49"/>
      <x:c r="AX42" s="49"/>
      <x:c r="AY42" s="49"/>
      <x:c r="AZ42" s="49"/>
    </x:row>
    <x:row r="43">
      <x:c r="A43" s="49"/>
      <x:c r="B43" s="49"/>
      <x:c r="C43" s="49"/>
      <x:c r="D43" s="49"/>
      <x:c r="E43" s="49"/>
      <x:c r="F43" s="49"/>
      <x:c r="G43" s="49"/>
      <x:c r="H43" s="49"/>
      <x:c r="I43" s="49"/>
      <x:c r="J43" s="49"/>
      <x:c r="K43" s="49"/>
      <x:c r="L43" s="49"/>
      <x:c r="M43" s="49"/>
      <x:c r="N43" s="49"/>
      <x:c r="O43" s="49"/>
      <x:c r="P43" s="49"/>
      <x:c r="Q43" s="49"/>
      <x:c r="R43" s="49"/>
      <x:c r="S43" s="49"/>
      <x:c r="T43" s="49"/>
      <x:c r="U43" s="49"/>
      <x:c r="V43" s="49"/>
      <x:c r="W43" s="49"/>
      <x:c r="X43" s="49"/>
      <x:c r="Y43" s="49"/>
      <x:c r="Z43" s="49"/>
      <x:c r="AA43" s="49"/>
      <x:c r="AB43" s="49"/>
      <x:c r="AC43" s="49"/>
      <x:c r="AD43" s="49"/>
      <x:c r="AE43" s="49"/>
      <x:c r="AF43" s="49"/>
      <x:c r="AG43" s="49"/>
      <x:c r="AH43" s="49"/>
      <x:c r="AI43" s="49"/>
      <x:c r="AJ43" s="49"/>
      <x:c r="AK43" s="49"/>
      <x:c r="AL43" s="49"/>
      <x:c r="AM43" s="49"/>
      <x:c r="AN43" s="49"/>
      <x:c r="AO43" s="49"/>
      <x:c r="AP43" s="49"/>
      <x:c r="AQ43" s="49"/>
      <x:c r="AR43" s="49"/>
      <x:c r="AS43" s="49"/>
      <x:c r="AT43" s="49"/>
      <x:c r="AU43" s="49"/>
      <x:c r="AV43" s="49"/>
      <x:c r="AW43" s="49"/>
      <x:c r="AX43" s="49"/>
      <x:c r="AY43" s="49"/>
      <x:c r="AZ43" s="49"/>
    </x:row>
    <x:row r="44">
      <x:c r="A44" s="49"/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49"/>
      <x:c r="N44" s="49"/>
      <x:c r="O44" s="49"/>
      <x:c r="P44" s="49"/>
      <x:c r="Q44" s="49"/>
      <x:c r="R44" s="49"/>
      <x:c r="S44" s="49"/>
      <x:c r="T44" s="49"/>
      <x:c r="U44" s="49"/>
      <x:c r="V44" s="49"/>
      <x:c r="W44" s="49"/>
      <x:c r="X44" s="49"/>
      <x:c r="Y44" s="49"/>
      <x:c r="Z44" s="49"/>
      <x:c r="AA44" s="49"/>
      <x:c r="AB44" s="49"/>
      <x:c r="AC44" s="49"/>
      <x:c r="AD44" s="49"/>
      <x:c r="AE44" s="49"/>
      <x:c r="AF44" s="49"/>
      <x:c r="AG44" s="49"/>
      <x:c r="AH44" s="49"/>
      <x:c r="AI44" s="49"/>
      <x:c r="AJ44" s="49"/>
      <x:c r="AK44" s="49"/>
      <x:c r="AL44" s="49"/>
      <x:c r="AM44" s="49"/>
      <x:c r="AN44" s="49"/>
      <x:c r="AO44" s="49"/>
      <x:c r="AP44" s="49"/>
      <x:c r="AQ44" s="49"/>
      <x:c r="AR44" s="49"/>
      <x:c r="AS44" s="49"/>
      <x:c r="AT44" s="49"/>
      <x:c r="AU44" s="49"/>
      <x:c r="AV44" s="49"/>
      <x:c r="AW44" s="49"/>
      <x:c r="AX44" s="49"/>
      <x:c r="AY44" s="49"/>
      <x:c r="AZ44" s="49"/>
    </x:row>
    <x:row r="45">
      <x:c r="A45" s="49"/>
      <x:c r="B45" s="49"/>
      <x:c r="C45" s="49"/>
      <x:c r="D45" s="49"/>
      <x:c r="E45" s="49"/>
      <x:c r="F45" s="49"/>
      <x:c r="G45" s="49"/>
      <x:c r="H45" s="49"/>
      <x:c r="I45" s="49"/>
      <x:c r="J45" s="49"/>
      <x:c r="K45" s="49"/>
      <x:c r="L45" s="49"/>
      <x:c r="M45" s="49"/>
      <x:c r="N45" s="49"/>
      <x:c r="O45" s="49"/>
      <x:c r="P45" s="49"/>
      <x:c r="Q45" s="49"/>
      <x:c r="R45" s="49"/>
      <x:c r="S45" s="49"/>
      <x:c r="T45" s="49"/>
      <x:c r="U45" s="49"/>
      <x:c r="V45" s="49"/>
      <x:c r="W45" s="49"/>
      <x:c r="X45" s="49"/>
      <x:c r="Y45" s="49"/>
      <x:c r="Z45" s="49"/>
      <x:c r="AA45" s="49"/>
      <x:c r="AB45" s="49"/>
      <x:c r="AC45" s="49"/>
      <x:c r="AD45" s="49"/>
      <x:c r="AE45" s="49"/>
      <x:c r="AF45" s="49"/>
      <x:c r="AG45" s="49"/>
      <x:c r="AH45" s="49"/>
      <x:c r="AI45" s="49"/>
      <x:c r="AJ45" s="49"/>
      <x:c r="AK45" s="49"/>
      <x:c r="AL45" s="49"/>
      <x:c r="AM45" s="49"/>
      <x:c r="AN45" s="49"/>
      <x:c r="AO45" s="49"/>
      <x:c r="AP45" s="49"/>
      <x:c r="AQ45" s="49"/>
      <x:c r="AR45" s="49"/>
      <x:c r="AS45" s="49"/>
      <x:c r="AT45" s="49"/>
      <x:c r="AU45" s="49"/>
      <x:c r="AV45" s="49"/>
      <x:c r="AW45" s="49"/>
      <x:c r="AX45" s="49"/>
      <x:c r="AY45" s="49"/>
      <x:c r="AZ45" s="49"/>
    </x:row>
    <x:row r="46">
      <x:c r="A46" s="49"/>
      <x:c r="B46" s="49"/>
      <x:c r="C46" s="49"/>
      <x:c r="D46" s="49"/>
      <x:c r="E46" s="49"/>
      <x:c r="F46" s="49"/>
      <x:c r="G46" s="49"/>
      <x:c r="H46" s="49"/>
      <x:c r="I46" s="49"/>
      <x:c r="J46" s="49"/>
      <x:c r="K46" s="49"/>
      <x:c r="L46" s="49"/>
      <x:c r="M46" s="49"/>
      <x:c r="N46" s="49"/>
      <x:c r="O46" s="49"/>
      <x:c r="P46" s="49"/>
      <x:c r="Q46" s="49"/>
      <x:c r="R46" s="49"/>
      <x:c r="S46" s="49"/>
      <x:c r="T46" s="49"/>
      <x:c r="U46" s="49"/>
      <x:c r="V46" s="49"/>
      <x:c r="W46" s="49"/>
      <x:c r="X46" s="49"/>
      <x:c r="Y46" s="49"/>
      <x:c r="Z46" s="49"/>
      <x:c r="AA46" s="49"/>
      <x:c r="AB46" s="49"/>
      <x:c r="AC46" s="49"/>
      <x:c r="AD46" s="49"/>
      <x:c r="AE46" s="49"/>
      <x:c r="AF46" s="49"/>
      <x:c r="AG46" s="49"/>
      <x:c r="AH46" s="49"/>
      <x:c r="AI46" s="49"/>
      <x:c r="AJ46" s="49"/>
      <x:c r="AK46" s="49"/>
      <x:c r="AL46" s="49"/>
      <x:c r="AM46" s="49"/>
      <x:c r="AN46" s="49"/>
      <x:c r="AO46" s="49"/>
      <x:c r="AP46" s="49"/>
      <x:c r="AQ46" s="49"/>
      <x:c r="AR46" s="49"/>
      <x:c r="AS46" s="49"/>
      <x:c r="AT46" s="49"/>
      <x:c r="AU46" s="49"/>
      <x:c r="AV46" s="49"/>
      <x:c r="AW46" s="49"/>
      <x:c r="AX46" s="49"/>
      <x:c r="AY46" s="49"/>
      <x:c r="AZ46" s="49"/>
    </x:row>
    <x:row r="47">
      <x:c r="A47" s="49"/>
      <x:c r="B47" s="49"/>
      <x:c r="C47" s="49"/>
      <x:c r="D47" s="49"/>
      <x:c r="E47" s="49"/>
      <x:c r="F47" s="49"/>
      <x:c r="G47" s="49"/>
      <x:c r="H47" s="49"/>
      <x:c r="I47" s="49"/>
      <x:c r="J47" s="49"/>
      <x:c r="K47" s="49"/>
      <x:c r="L47" s="49"/>
      <x:c r="M47" s="49"/>
      <x:c r="N47" s="49"/>
      <x:c r="O47" s="49"/>
      <x:c r="P47" s="49"/>
      <x:c r="Q47" s="49"/>
      <x:c r="R47" s="49"/>
      <x:c r="S47" s="49"/>
      <x:c r="T47" s="49"/>
      <x:c r="U47" s="49"/>
      <x:c r="V47" s="49"/>
      <x:c r="W47" s="49"/>
      <x:c r="X47" s="49"/>
      <x:c r="Y47" s="49"/>
      <x:c r="Z47" s="49"/>
      <x:c r="AA47" s="49"/>
      <x:c r="AB47" s="49"/>
      <x:c r="AC47" s="49"/>
      <x:c r="AD47" s="49"/>
      <x:c r="AE47" s="49"/>
      <x:c r="AF47" s="49"/>
      <x:c r="AG47" s="49"/>
      <x:c r="AH47" s="49"/>
      <x:c r="AI47" s="49"/>
      <x:c r="AJ47" s="49"/>
      <x:c r="AK47" s="49"/>
      <x:c r="AL47" s="49"/>
      <x:c r="AM47" s="49"/>
      <x:c r="AN47" s="49"/>
      <x:c r="AO47" s="49"/>
      <x:c r="AP47" s="49"/>
      <x:c r="AQ47" s="49"/>
      <x:c r="AR47" s="49"/>
      <x:c r="AS47" s="49"/>
      <x:c r="AT47" s="49"/>
      <x:c r="AU47" s="49"/>
      <x:c r="AV47" s="49"/>
      <x:c r="AW47" s="49"/>
      <x:c r="AX47" s="49"/>
      <x:c r="AY47" s="49"/>
      <x:c r="AZ47" s="49"/>
    </x:row>
    <x:row r="48">
      <x:c r="A48" s="49"/>
      <x:c r="B48" s="49"/>
      <x:c r="C48" s="49"/>
      <x:c r="D48" s="49"/>
      <x:c r="E48" s="49"/>
      <x:c r="F48" s="49"/>
      <x:c r="G48" s="49"/>
      <x:c r="H48" s="49"/>
      <x:c r="I48" s="49"/>
      <x:c r="J48" s="49"/>
      <x:c r="K48" s="49"/>
      <x:c r="L48" s="49"/>
      <x:c r="M48" s="49"/>
      <x:c r="N48" s="49"/>
      <x:c r="O48" s="49"/>
      <x:c r="P48" s="49"/>
      <x:c r="Q48" s="49"/>
      <x:c r="R48" s="49"/>
      <x:c r="S48" s="49"/>
      <x:c r="T48" s="49"/>
      <x:c r="U48" s="49"/>
      <x:c r="V48" s="49"/>
      <x:c r="W48" s="49"/>
      <x:c r="X48" s="49"/>
      <x:c r="Y48" s="49"/>
      <x:c r="Z48" s="49"/>
      <x:c r="AA48" s="49"/>
      <x:c r="AB48" s="49"/>
      <x:c r="AC48" s="49"/>
      <x:c r="AD48" s="49"/>
      <x:c r="AE48" s="49"/>
      <x:c r="AF48" s="49"/>
      <x:c r="AG48" s="49"/>
      <x:c r="AH48" s="49"/>
      <x:c r="AI48" s="49"/>
      <x:c r="AJ48" s="49"/>
      <x:c r="AK48" s="49"/>
      <x:c r="AL48" s="49"/>
      <x:c r="AM48" s="49"/>
      <x:c r="AN48" s="49"/>
      <x:c r="AO48" s="49"/>
      <x:c r="AP48" s="49"/>
      <x:c r="AQ48" s="49"/>
      <x:c r="AR48" s="49"/>
      <x:c r="AS48" s="49"/>
      <x:c r="AT48" s="49"/>
      <x:c r="AU48" s="49"/>
      <x:c r="AV48" s="49"/>
      <x:c r="AW48" s="49"/>
      <x:c r="AX48" s="49"/>
      <x:c r="AY48" s="49"/>
      <x:c r="AZ48" s="49"/>
    </x:row>
    <x:row r="49">
      <x:c r="A49" s="49"/>
      <x:c r="B49" s="49"/>
      <x:c r="C49" s="49"/>
      <x:c r="D49" s="49"/>
      <x:c r="E49" s="49"/>
      <x:c r="F49" s="49"/>
      <x:c r="G49" s="49"/>
      <x:c r="H49" s="49"/>
      <x:c r="I49" s="49"/>
      <x:c r="J49" s="49"/>
      <x:c r="K49" s="49"/>
      <x:c r="L49" s="49"/>
      <x:c r="M49" s="49"/>
      <x:c r="N49" s="49"/>
      <x:c r="O49" s="49"/>
      <x:c r="P49" s="49"/>
      <x:c r="Q49" s="49"/>
      <x:c r="R49" s="49"/>
      <x:c r="S49" s="49"/>
      <x:c r="T49" s="49"/>
      <x:c r="U49" s="49"/>
      <x:c r="V49" s="49"/>
      <x:c r="W49" s="49"/>
      <x:c r="X49" s="49"/>
      <x:c r="Y49" s="49"/>
      <x:c r="Z49" s="49"/>
      <x:c r="AA49" s="49"/>
      <x:c r="AB49" s="49"/>
      <x:c r="AC49" s="49"/>
      <x:c r="AD49" s="49"/>
      <x:c r="AE49" s="49"/>
      <x:c r="AF49" s="49"/>
      <x:c r="AG49" s="49"/>
      <x:c r="AH49" s="49"/>
      <x:c r="AI49" s="49"/>
      <x:c r="AJ49" s="49"/>
      <x:c r="AK49" s="49"/>
      <x:c r="AL49" s="49"/>
      <x:c r="AM49" s="49"/>
      <x:c r="AN49" s="49"/>
      <x:c r="AO49" s="49"/>
      <x:c r="AP49" s="49"/>
      <x:c r="AQ49" s="49"/>
      <x:c r="AR49" s="49"/>
      <x:c r="AS49" s="49"/>
      <x:c r="AT49" s="49"/>
      <x:c r="AU49" s="49"/>
      <x:c r="AV49" s="49"/>
      <x:c r="AW49" s="49"/>
      <x:c r="AX49" s="49"/>
      <x:c r="AY49" s="49"/>
      <x:c r="AZ49" s="49"/>
    </x:row>
    <x:row r="50">
      <x:c r="A50" s="49"/>
      <x:c r="B50" s="49"/>
      <x:c r="C50" s="49"/>
      <x:c r="D50" s="49"/>
      <x:c r="E50" s="49"/>
      <x:c r="F50" s="49"/>
      <x:c r="G50" s="49"/>
      <x:c r="H50" s="49"/>
      <x:c r="I50" s="49"/>
      <x:c r="J50" s="49"/>
      <x:c r="K50" s="49"/>
      <x:c r="L50" s="49"/>
      <x:c r="M50" s="49"/>
      <x:c r="N50" s="49"/>
      <x:c r="O50" s="49"/>
      <x:c r="P50" s="49"/>
      <x:c r="Q50" s="49"/>
      <x:c r="R50" s="49"/>
      <x:c r="S50" s="49"/>
      <x:c r="T50" s="49"/>
      <x:c r="U50" s="49"/>
      <x:c r="V50" s="49"/>
      <x:c r="W50" s="49"/>
      <x:c r="X50" s="49"/>
      <x:c r="Y50" s="49"/>
      <x:c r="Z50" s="49"/>
      <x:c r="AA50" s="49"/>
      <x:c r="AB50" s="49"/>
      <x:c r="AC50" s="49"/>
      <x:c r="AD50" s="49"/>
      <x:c r="AE50" s="49"/>
      <x:c r="AF50" s="49"/>
      <x:c r="AG50" s="49"/>
      <x:c r="AH50" s="49"/>
      <x:c r="AI50" s="49"/>
      <x:c r="AJ50" s="49"/>
      <x:c r="AK50" s="49"/>
      <x:c r="AL50" s="49"/>
      <x:c r="AM50" s="49"/>
      <x:c r="AN50" s="49"/>
      <x:c r="AO50" s="49"/>
      <x:c r="AP50" s="49"/>
      <x:c r="AQ50" s="49"/>
      <x:c r="AR50" s="49"/>
      <x:c r="AS50" s="49"/>
      <x:c r="AT50" s="49"/>
      <x:c r="AU50" s="49"/>
      <x:c r="AV50" s="49"/>
      <x:c r="AW50" s="49"/>
      <x:c r="AX50" s="49"/>
      <x:c r="AY50" s="49"/>
      <x:c r="AZ50" s="49"/>
    </x:row>
    <x:row r="51">
      <x:c r="A51" s="49"/>
      <x:c r="B51" s="49"/>
      <x:c r="C51" s="49"/>
      <x:c r="D51" s="49"/>
      <x:c r="E51" s="49"/>
      <x:c r="F51" s="49"/>
      <x:c r="G51" s="49"/>
      <x:c r="H51" s="49"/>
      <x:c r="I51" s="49"/>
      <x:c r="J51" s="49"/>
      <x:c r="K51" s="49"/>
      <x:c r="L51" s="49"/>
      <x:c r="M51" s="49"/>
      <x:c r="N51" s="49"/>
      <x:c r="O51" s="49"/>
      <x:c r="P51" s="49"/>
      <x:c r="Q51" s="49"/>
      <x:c r="R51" s="49"/>
      <x:c r="S51" s="49"/>
      <x:c r="T51" s="49"/>
      <x:c r="U51" s="49"/>
      <x:c r="V51" s="49"/>
      <x:c r="W51" s="49"/>
      <x:c r="X51" s="49"/>
      <x:c r="Y51" s="49"/>
      <x:c r="Z51" s="49"/>
      <x:c r="AA51" s="49"/>
      <x:c r="AB51" s="49"/>
      <x:c r="AC51" s="49"/>
      <x:c r="AD51" s="49"/>
      <x:c r="AE51" s="49"/>
      <x:c r="AF51" s="49"/>
      <x:c r="AG51" s="49"/>
      <x:c r="AH51" s="49"/>
      <x:c r="AI51" s="49"/>
      <x:c r="AJ51" s="49"/>
      <x:c r="AK51" s="49"/>
      <x:c r="AL51" s="49"/>
      <x:c r="AM51" s="49"/>
      <x:c r="AN51" s="49"/>
      <x:c r="AO51" s="49"/>
      <x:c r="AP51" s="49"/>
      <x:c r="AQ51" s="49"/>
      <x:c r="AR51" s="49"/>
      <x:c r="AS51" s="49"/>
      <x:c r="AT51" s="49"/>
      <x:c r="AU51" s="49"/>
      <x:c r="AV51" s="49"/>
      <x:c r="AW51" s="49"/>
      <x:c r="AX51" s="49"/>
      <x:c r="AY51" s="49"/>
      <x:c r="AZ51" s="49"/>
    </x:row>
    <x:row r="52">
      <x:c r="A52" s="49"/>
      <x:c r="B52" s="49"/>
      <x:c r="C52" s="49"/>
      <x:c r="D52" s="49"/>
      <x:c r="E52" s="49"/>
      <x:c r="F52" s="49"/>
      <x:c r="G52" s="49"/>
      <x:c r="H52" s="49"/>
      <x:c r="I52" s="49"/>
      <x:c r="J52" s="49"/>
      <x:c r="K52" s="49"/>
      <x:c r="L52" s="49"/>
      <x:c r="M52" s="49"/>
      <x:c r="N52" s="49"/>
      <x:c r="O52" s="49"/>
      <x:c r="P52" s="49"/>
      <x:c r="Q52" s="49"/>
      <x:c r="R52" s="49"/>
      <x:c r="S52" s="49"/>
      <x:c r="T52" s="49"/>
      <x:c r="U52" s="49"/>
      <x:c r="V52" s="49"/>
      <x:c r="W52" s="49"/>
      <x:c r="X52" s="49"/>
      <x:c r="Y52" s="49"/>
      <x:c r="Z52" s="49"/>
      <x:c r="AA52" s="49"/>
      <x:c r="AB52" s="49"/>
      <x:c r="AC52" s="49"/>
      <x:c r="AD52" s="49"/>
      <x:c r="AE52" s="49"/>
      <x:c r="AF52" s="49"/>
      <x:c r="AG52" s="49"/>
      <x:c r="AH52" s="49"/>
      <x:c r="AI52" s="49"/>
      <x:c r="AJ52" s="49"/>
      <x:c r="AK52" s="49"/>
      <x:c r="AL52" s="49"/>
      <x:c r="AM52" s="49"/>
      <x:c r="AN52" s="49"/>
      <x:c r="AO52" s="49"/>
      <x:c r="AP52" s="49"/>
      <x:c r="AQ52" s="49"/>
      <x:c r="AR52" s="49"/>
      <x:c r="AS52" s="49"/>
      <x:c r="AT52" s="49"/>
      <x:c r="AU52" s="49"/>
      <x:c r="AV52" s="49"/>
      <x:c r="AW52" s="49"/>
      <x:c r="AX52" s="49"/>
      <x:c r="AY52" s="49"/>
      <x:c r="AZ52" s="49"/>
    </x:row>
    <x:row r="53">
      <x:c r="A53" s="49"/>
      <x:c r="B53" s="49"/>
      <x:c r="C53" s="49"/>
      <x:c r="D53" s="49"/>
      <x:c r="E53" s="49"/>
      <x:c r="F53" s="49"/>
      <x:c r="G53" s="49"/>
      <x:c r="H53" s="49"/>
      <x:c r="I53" s="49"/>
      <x:c r="J53" s="49"/>
      <x:c r="K53" s="49"/>
      <x:c r="L53" s="49"/>
      <x:c r="M53" s="49"/>
      <x:c r="N53" s="49"/>
      <x:c r="O53" s="49"/>
      <x:c r="P53" s="49"/>
      <x:c r="Q53" s="49"/>
      <x:c r="R53" s="49"/>
      <x:c r="S53" s="49"/>
      <x:c r="T53" s="49"/>
      <x:c r="U53" s="49"/>
      <x:c r="V53" s="49"/>
      <x:c r="W53" s="49"/>
      <x:c r="X53" s="49"/>
      <x:c r="Y53" s="49"/>
      <x:c r="Z53" s="49"/>
      <x:c r="AA53" s="49"/>
      <x:c r="AB53" s="49"/>
      <x:c r="AC53" s="49"/>
      <x:c r="AD53" s="49"/>
      <x:c r="AE53" s="49"/>
      <x:c r="AF53" s="49"/>
      <x:c r="AG53" s="49"/>
      <x:c r="AH53" s="49"/>
      <x:c r="AI53" s="49"/>
      <x:c r="AJ53" s="49"/>
      <x:c r="AK53" s="49"/>
      <x:c r="AL53" s="49"/>
      <x:c r="AM53" s="49"/>
      <x:c r="AN53" s="49"/>
      <x:c r="AO53" s="49"/>
      <x:c r="AP53" s="49"/>
      <x:c r="AQ53" s="49"/>
      <x:c r="AR53" s="49"/>
      <x:c r="AS53" s="49"/>
      <x:c r="AT53" s="49"/>
      <x:c r="AU53" s="49"/>
      <x:c r="AV53" s="49"/>
      <x:c r="AW53" s="49"/>
      <x:c r="AX53" s="49"/>
      <x:c r="AY53" s="49"/>
      <x:c r="AZ53" s="49"/>
    </x:row>
    <x:row r="54">
      <x:c r="A54" s="49"/>
      <x:c r="B54" s="49"/>
      <x:c r="C54" s="49"/>
      <x:c r="D54" s="49"/>
      <x:c r="E54" s="49"/>
      <x:c r="F54" s="49"/>
      <x:c r="G54" s="49"/>
      <x:c r="H54" s="49"/>
      <x:c r="I54" s="49"/>
      <x:c r="J54" s="49"/>
      <x:c r="K54" s="49"/>
      <x:c r="L54" s="49"/>
      <x:c r="M54" s="49"/>
      <x:c r="N54" s="49"/>
      <x:c r="O54" s="49"/>
      <x:c r="P54" s="49"/>
      <x:c r="Q54" s="49"/>
      <x:c r="R54" s="49"/>
      <x:c r="S54" s="49"/>
      <x:c r="T54" s="49"/>
      <x:c r="U54" s="49"/>
      <x:c r="V54" s="49"/>
      <x:c r="W54" s="49"/>
      <x:c r="X54" s="49"/>
      <x:c r="Y54" s="49"/>
      <x:c r="Z54" s="49"/>
      <x:c r="AA54" s="49"/>
      <x:c r="AB54" s="49"/>
      <x:c r="AC54" s="49"/>
      <x:c r="AD54" s="49"/>
      <x:c r="AE54" s="49"/>
      <x:c r="AF54" s="49"/>
      <x:c r="AG54" s="49"/>
      <x:c r="AH54" s="49"/>
      <x:c r="AI54" s="49"/>
      <x:c r="AJ54" s="49"/>
      <x:c r="AK54" s="49"/>
      <x:c r="AL54" s="49"/>
      <x:c r="AM54" s="49"/>
      <x:c r="AN54" s="49"/>
      <x:c r="AO54" s="49"/>
      <x:c r="AP54" s="49"/>
      <x:c r="AQ54" s="49"/>
      <x:c r="AR54" s="49"/>
      <x:c r="AS54" s="49"/>
      <x:c r="AT54" s="49"/>
      <x:c r="AU54" s="49"/>
      <x:c r="AV54" s="49"/>
      <x:c r="AW54" s="49"/>
      <x:c r="AX54" s="49"/>
      <x:c r="AY54" s="49"/>
      <x:c r="AZ54" s="49"/>
    </x:row>
    <x:row r="55">
      <x:c r="A55" s="49"/>
      <x:c r="B55" s="49"/>
      <x:c r="C55" s="49"/>
      <x:c r="D55" s="49"/>
      <x:c r="E55" s="49"/>
      <x:c r="F55" s="49"/>
      <x:c r="G55" s="49"/>
      <x:c r="H55" s="49"/>
      <x:c r="I55" s="49"/>
      <x:c r="J55" s="49"/>
      <x:c r="K55" s="49"/>
      <x:c r="L55" s="49"/>
      <x:c r="M55" s="49"/>
      <x:c r="N55" s="49"/>
      <x:c r="O55" s="49"/>
      <x:c r="P55" s="49"/>
      <x:c r="Q55" s="49"/>
      <x:c r="R55" s="49"/>
      <x:c r="S55" s="49"/>
      <x:c r="T55" s="49"/>
      <x:c r="U55" s="49"/>
      <x:c r="V55" s="49"/>
      <x:c r="W55" s="49"/>
      <x:c r="X55" s="49"/>
      <x:c r="Y55" s="49"/>
      <x:c r="Z55" s="49"/>
      <x:c r="AA55" s="49"/>
      <x:c r="AB55" s="49"/>
      <x:c r="AC55" s="49"/>
      <x:c r="AD55" s="49"/>
      <x:c r="AE55" s="49"/>
      <x:c r="AF55" s="49"/>
      <x:c r="AG55" s="49"/>
      <x:c r="AH55" s="49"/>
      <x:c r="AI55" s="49"/>
      <x:c r="AJ55" s="49"/>
      <x:c r="AK55" s="49"/>
      <x:c r="AL55" s="49"/>
      <x:c r="AM55" s="49"/>
      <x:c r="AN55" s="49"/>
      <x:c r="AO55" s="49"/>
      <x:c r="AP55" s="49"/>
      <x:c r="AQ55" s="49"/>
      <x:c r="AR55" s="49"/>
      <x:c r="AS55" s="49"/>
      <x:c r="AT55" s="49"/>
      <x:c r="AU55" s="49"/>
      <x:c r="AV55" s="49"/>
      <x:c r="AW55" s="49"/>
      <x:c r="AX55" s="49"/>
      <x:c r="AY55" s="49"/>
      <x:c r="AZ55" s="49"/>
    </x:row>
    <x:row r="56">
      <x:c r="A56" s="49"/>
      <x:c r="B56" s="49"/>
      <x:c r="C56" s="49"/>
      <x:c r="D56" s="49"/>
      <x:c r="E56" s="49"/>
      <x:c r="F56" s="49"/>
      <x:c r="G56" s="49"/>
      <x:c r="H56" s="49"/>
      <x:c r="I56" s="49"/>
      <x:c r="J56" s="49"/>
      <x:c r="K56" s="49"/>
      <x:c r="L56" s="49"/>
      <x:c r="M56" s="49"/>
      <x:c r="N56" s="49"/>
      <x:c r="O56" s="49"/>
      <x:c r="P56" s="49"/>
      <x:c r="Q56" s="49"/>
      <x:c r="R56" s="49"/>
      <x:c r="S56" s="49"/>
      <x:c r="T56" s="49"/>
      <x:c r="U56" s="49"/>
      <x:c r="V56" s="49"/>
      <x:c r="W56" s="49"/>
      <x:c r="X56" s="49"/>
      <x:c r="Y56" s="49"/>
      <x:c r="Z56" s="49"/>
      <x:c r="AA56" s="49"/>
      <x:c r="AB56" s="49"/>
      <x:c r="AC56" s="49"/>
      <x:c r="AD56" s="49"/>
      <x:c r="AE56" s="49"/>
      <x:c r="AF56" s="49"/>
      <x:c r="AG56" s="49"/>
      <x:c r="AH56" s="49"/>
      <x:c r="AI56" s="49"/>
      <x:c r="AJ56" s="49"/>
      <x:c r="AK56" s="49"/>
      <x:c r="AL56" s="49"/>
      <x:c r="AM56" s="49"/>
      <x:c r="AN56" s="49"/>
      <x:c r="AO56" s="49"/>
      <x:c r="AP56" s="49"/>
      <x:c r="AQ56" s="49"/>
      <x:c r="AR56" s="49"/>
      <x:c r="AS56" s="49"/>
      <x:c r="AT56" s="49"/>
      <x:c r="AU56" s="49"/>
      <x:c r="AV56" s="49"/>
      <x:c r="AW56" s="49"/>
      <x:c r="AX56" s="49"/>
      <x:c r="AY56" s="49"/>
      <x:c r="AZ56" s="49"/>
    </x:row>
    <x:row r="57">
      <x:c r="A57" s="49"/>
      <x:c r="B57" s="49"/>
      <x:c r="C57" s="49"/>
      <x:c r="D57" s="49"/>
      <x:c r="E57" s="49"/>
      <x:c r="F57" s="49"/>
      <x:c r="G57" s="49"/>
      <x:c r="H57" s="49"/>
      <x:c r="I57" s="49"/>
      <x:c r="J57" s="49"/>
      <x:c r="K57" s="49"/>
      <x:c r="L57" s="49"/>
      <x:c r="M57" s="49"/>
      <x:c r="N57" s="49"/>
      <x:c r="O57" s="49"/>
      <x:c r="P57" s="49"/>
      <x:c r="Q57" s="49"/>
      <x:c r="R57" s="49"/>
      <x:c r="S57" s="49"/>
      <x:c r="T57" s="49"/>
      <x:c r="U57" s="49"/>
      <x:c r="V57" s="49"/>
      <x:c r="W57" s="49"/>
      <x:c r="X57" s="49"/>
      <x:c r="Y57" s="49"/>
      <x:c r="Z57" s="49"/>
      <x:c r="AA57" s="49"/>
      <x:c r="AB57" s="49"/>
      <x:c r="AC57" s="49"/>
      <x:c r="AD57" s="49"/>
      <x:c r="AE57" s="49"/>
      <x:c r="AF57" s="49"/>
      <x:c r="AG57" s="49"/>
      <x:c r="AH57" s="49"/>
      <x:c r="AI57" s="49"/>
      <x:c r="AJ57" s="49"/>
      <x:c r="AK57" s="49"/>
      <x:c r="AL57" s="49"/>
      <x:c r="AM57" s="49"/>
      <x:c r="AN57" s="49"/>
      <x:c r="AO57" s="49"/>
      <x:c r="AP57" s="49"/>
      <x:c r="AQ57" s="49"/>
      <x:c r="AR57" s="49"/>
      <x:c r="AS57" s="49"/>
      <x:c r="AT57" s="49"/>
      <x:c r="AU57" s="49"/>
      <x:c r="AV57" s="49"/>
      <x:c r="AW57" s="49"/>
      <x:c r="AX57" s="49"/>
      <x:c r="AY57" s="49"/>
      <x:c r="AZ57" s="49"/>
    </x:row>
    <x:row r="58">
      <x:c r="A58" s="49"/>
      <x:c r="B58" s="49"/>
      <x:c r="C58" s="49"/>
      <x:c r="D58" s="49"/>
      <x:c r="E58" s="49"/>
      <x:c r="F58" s="49"/>
      <x:c r="G58" s="49"/>
      <x:c r="H58" s="49"/>
      <x:c r="I58" s="49"/>
      <x:c r="J58" s="49"/>
      <x:c r="K58" s="49"/>
      <x:c r="L58" s="49"/>
      <x:c r="M58" s="49"/>
      <x:c r="N58" s="49"/>
      <x:c r="O58" s="49"/>
      <x:c r="P58" s="49"/>
      <x:c r="Q58" s="49"/>
      <x:c r="R58" s="49"/>
      <x:c r="S58" s="49"/>
      <x:c r="T58" s="49"/>
      <x:c r="U58" s="49"/>
      <x:c r="V58" s="49"/>
      <x:c r="W58" s="49"/>
      <x:c r="X58" s="49"/>
      <x:c r="Y58" s="49"/>
      <x:c r="Z58" s="49"/>
      <x:c r="AA58" s="49"/>
      <x:c r="AB58" s="49"/>
      <x:c r="AC58" s="49"/>
      <x:c r="AD58" s="49"/>
      <x:c r="AE58" s="49"/>
      <x:c r="AF58" s="49"/>
      <x:c r="AG58" s="49"/>
      <x:c r="AH58" s="49"/>
      <x:c r="AI58" s="49"/>
      <x:c r="AJ58" s="49"/>
      <x:c r="AK58" s="49"/>
      <x:c r="AL58" s="49"/>
      <x:c r="AM58" s="49"/>
      <x:c r="AN58" s="49"/>
      <x:c r="AO58" s="49"/>
      <x:c r="AP58" s="49"/>
      <x:c r="AQ58" s="49"/>
      <x:c r="AR58" s="49"/>
      <x:c r="AS58" s="49"/>
      <x:c r="AT58" s="49"/>
      <x:c r="AU58" s="49"/>
      <x:c r="AV58" s="49"/>
      <x:c r="AW58" s="49"/>
      <x:c r="AX58" s="49"/>
      <x:c r="AY58" s="49"/>
      <x:c r="AZ58" s="49"/>
    </x:row>
    <x:row r="59">
      <x:c r="A59" s="49"/>
      <x:c r="B59" s="49"/>
      <x:c r="C59" s="49"/>
      <x:c r="D59" s="49"/>
      <x:c r="E59" s="49"/>
      <x:c r="F59" s="49"/>
      <x:c r="G59" s="49"/>
      <x:c r="H59" s="49"/>
      <x:c r="I59" s="49"/>
      <x:c r="J59" s="49"/>
      <x:c r="K59" s="49"/>
      <x:c r="L59" s="49"/>
      <x:c r="M59" s="49"/>
      <x:c r="N59" s="49"/>
      <x:c r="O59" s="49"/>
      <x:c r="P59" s="49"/>
      <x:c r="Q59" s="49"/>
      <x:c r="R59" s="49"/>
      <x:c r="S59" s="49"/>
      <x:c r="T59" s="49"/>
      <x:c r="U59" s="49"/>
      <x:c r="V59" s="49"/>
      <x:c r="W59" s="49"/>
      <x:c r="X59" s="49"/>
      <x:c r="Y59" s="49"/>
      <x:c r="Z59" s="49"/>
      <x:c r="AA59" s="49"/>
      <x:c r="AB59" s="49"/>
      <x:c r="AC59" s="49"/>
      <x:c r="AD59" s="49"/>
      <x:c r="AE59" s="49"/>
      <x:c r="AF59" s="49"/>
      <x:c r="AG59" s="49"/>
      <x:c r="AH59" s="49"/>
      <x:c r="AI59" s="49"/>
      <x:c r="AJ59" s="49"/>
      <x:c r="AK59" s="49"/>
      <x:c r="AL59" s="49"/>
      <x:c r="AM59" s="49"/>
      <x:c r="AN59" s="49"/>
      <x:c r="AO59" s="49"/>
      <x:c r="AP59" s="49"/>
      <x:c r="AQ59" s="49"/>
      <x:c r="AR59" s="49"/>
      <x:c r="AS59" s="49"/>
      <x:c r="AT59" s="49"/>
      <x:c r="AU59" s="49"/>
      <x:c r="AV59" s="49"/>
      <x:c r="AW59" s="49"/>
      <x:c r="AX59" s="49"/>
      <x:c r="AY59" s="49"/>
      <x:c r="AZ59" s="49"/>
    </x:row>
    <x:row r="60">
      <x:c r="A60" s="49"/>
      <x:c r="B60" s="49"/>
      <x:c r="C60" s="49"/>
      <x:c r="D60" s="49"/>
      <x:c r="E60" s="49"/>
      <x:c r="F60" s="49"/>
      <x:c r="G60" s="49"/>
      <x:c r="H60" s="49"/>
      <x:c r="I60" s="49"/>
      <x:c r="J60" s="49"/>
      <x:c r="K60" s="49"/>
      <x:c r="L60" s="49"/>
      <x:c r="M60" s="49"/>
      <x:c r="N60" s="49"/>
      <x:c r="O60" s="49"/>
      <x:c r="P60" s="49"/>
      <x:c r="Q60" s="49"/>
      <x:c r="R60" s="49"/>
      <x:c r="S60" s="49"/>
      <x:c r="T60" s="49"/>
      <x:c r="U60" s="49"/>
      <x:c r="V60" s="49"/>
      <x:c r="W60" s="49"/>
      <x:c r="X60" s="49"/>
      <x:c r="Y60" s="49"/>
      <x:c r="Z60" s="49"/>
      <x:c r="AA60" s="49"/>
      <x:c r="AB60" s="49"/>
      <x:c r="AC60" s="49"/>
      <x:c r="AD60" s="49"/>
      <x:c r="AE60" s="49"/>
      <x:c r="AF60" s="49"/>
      <x:c r="AG60" s="49"/>
      <x:c r="AH60" s="49"/>
      <x:c r="AI60" s="49"/>
      <x:c r="AJ60" s="49"/>
      <x:c r="AK60" s="49"/>
      <x:c r="AL60" s="49"/>
      <x:c r="AM60" s="49"/>
      <x:c r="AN60" s="49"/>
      <x:c r="AO60" s="49"/>
      <x:c r="AP60" s="49"/>
      <x:c r="AQ60" s="49"/>
      <x:c r="AR60" s="49"/>
      <x:c r="AS60" s="49"/>
      <x:c r="AT60" s="49"/>
      <x:c r="AU60" s="49"/>
      <x:c r="AV60" s="49"/>
      <x:c r="AW60" s="49"/>
      <x:c r="AX60" s="49"/>
      <x:c r="AY60" s="49"/>
      <x:c r="AZ60" s="49"/>
    </x:row>
    <x:row r="61">
      <x:c r="A61" s="49"/>
      <x:c r="B61" s="49"/>
      <x:c r="C61" s="49"/>
      <x:c r="D61" s="49"/>
      <x:c r="E61" s="49"/>
      <x:c r="F61" s="49"/>
      <x:c r="G61" s="49"/>
      <x:c r="H61" s="49"/>
      <x:c r="I61" s="49"/>
      <x:c r="J61" s="49"/>
      <x:c r="K61" s="49"/>
      <x:c r="L61" s="49"/>
      <x:c r="M61" s="49"/>
      <x:c r="N61" s="49"/>
      <x:c r="O61" s="49"/>
      <x:c r="P61" s="49"/>
      <x:c r="Q61" s="49"/>
      <x:c r="R61" s="49"/>
      <x:c r="S61" s="49"/>
      <x:c r="T61" s="49"/>
      <x:c r="U61" s="49"/>
      <x:c r="V61" s="49"/>
      <x:c r="W61" s="49"/>
      <x:c r="X61" s="49"/>
      <x:c r="Y61" s="49"/>
      <x:c r="Z61" s="49"/>
      <x:c r="AA61" s="49"/>
      <x:c r="AB61" s="49"/>
      <x:c r="AC61" s="49"/>
      <x:c r="AD61" s="49"/>
      <x:c r="AE61" s="49"/>
      <x:c r="AF61" s="49"/>
      <x:c r="AG61" s="49"/>
      <x:c r="AH61" s="49"/>
      <x:c r="AI61" s="49"/>
      <x:c r="AJ61" s="49"/>
      <x:c r="AK61" s="49"/>
      <x:c r="AL61" s="49"/>
      <x:c r="AM61" s="49"/>
      <x:c r="AN61" s="49"/>
      <x:c r="AO61" s="49"/>
      <x:c r="AP61" s="49"/>
      <x:c r="AQ61" s="49"/>
      <x:c r="AR61" s="49"/>
      <x:c r="AS61" s="49"/>
      <x:c r="AT61" s="49"/>
      <x:c r="AU61" s="49"/>
      <x:c r="AV61" s="49"/>
      <x:c r="AW61" s="49"/>
      <x:c r="AX61" s="49"/>
      <x:c r="AY61" s="49"/>
      <x:c r="AZ61" s="49"/>
    </x:row>
    <x:row r="62">
      <x:c r="A62" s="49"/>
      <x:c r="B62" s="49"/>
      <x:c r="C62" s="49"/>
      <x:c r="D62" s="49"/>
      <x:c r="E62" s="49"/>
      <x:c r="F62" s="49"/>
      <x:c r="G62" s="49"/>
      <x:c r="H62" s="49"/>
      <x:c r="I62" s="49"/>
      <x:c r="J62" s="49"/>
      <x:c r="K62" s="49"/>
      <x:c r="L62" s="49"/>
      <x:c r="M62" s="49"/>
      <x:c r="N62" s="49"/>
      <x:c r="O62" s="49"/>
      <x:c r="P62" s="49"/>
      <x:c r="Q62" s="49"/>
      <x:c r="R62" s="49"/>
      <x:c r="S62" s="49"/>
      <x:c r="T62" s="49"/>
      <x:c r="U62" s="49"/>
      <x:c r="V62" s="49"/>
      <x:c r="W62" s="49"/>
      <x:c r="X62" s="49"/>
      <x:c r="Y62" s="49"/>
      <x:c r="Z62" s="49"/>
      <x:c r="AA62" s="49"/>
      <x:c r="AB62" s="49"/>
      <x:c r="AC62" s="49"/>
      <x:c r="AD62" s="49"/>
      <x:c r="AE62" s="49"/>
      <x:c r="AF62" s="49"/>
      <x:c r="AG62" s="49"/>
      <x:c r="AH62" s="49"/>
      <x:c r="AI62" s="49"/>
      <x:c r="AJ62" s="49"/>
      <x:c r="AK62" s="49"/>
      <x:c r="AL62" s="49"/>
      <x:c r="AM62" s="49"/>
      <x:c r="AN62" s="49"/>
      <x:c r="AO62" s="49"/>
      <x:c r="AP62" s="49"/>
      <x:c r="AQ62" s="49"/>
      <x:c r="AR62" s="49"/>
      <x:c r="AS62" s="49"/>
      <x:c r="AT62" s="49"/>
      <x:c r="AU62" s="49"/>
      <x:c r="AV62" s="49"/>
      <x:c r="AW62" s="49"/>
      <x:c r="AX62" s="49"/>
      <x:c r="AY62" s="49"/>
      <x:c r="AZ62" s="49"/>
    </x:row>
    <x:row r="63">
      <x:c r="A63" s="49"/>
      <x:c r="B63" s="49"/>
      <x:c r="C63" s="49"/>
      <x:c r="D63" s="49"/>
      <x:c r="E63" s="49"/>
      <x:c r="F63" s="49"/>
      <x:c r="G63" s="49"/>
      <x:c r="H63" s="49"/>
      <x:c r="I63" s="49"/>
      <x:c r="J63" s="49"/>
      <x:c r="K63" s="49"/>
      <x:c r="L63" s="49"/>
      <x:c r="M63" s="49"/>
      <x:c r="N63" s="49"/>
      <x:c r="O63" s="49"/>
      <x:c r="P63" s="49"/>
      <x:c r="Q63" s="49"/>
      <x:c r="R63" s="49"/>
      <x:c r="S63" s="49"/>
      <x:c r="T63" s="49"/>
      <x:c r="U63" s="49"/>
      <x:c r="V63" s="49"/>
      <x:c r="W63" s="49"/>
      <x:c r="X63" s="49"/>
      <x:c r="Y63" s="49"/>
      <x:c r="Z63" s="49"/>
      <x:c r="AA63" s="49"/>
      <x:c r="AB63" s="49"/>
      <x:c r="AC63" s="49"/>
      <x:c r="AD63" s="49"/>
      <x:c r="AE63" s="49"/>
      <x:c r="AF63" s="49"/>
      <x:c r="AG63" s="49"/>
      <x:c r="AH63" s="49"/>
      <x:c r="AI63" s="49"/>
      <x:c r="AJ63" s="49"/>
      <x:c r="AK63" s="49"/>
      <x:c r="AL63" s="49"/>
      <x:c r="AM63" s="49"/>
      <x:c r="AN63" s="49"/>
      <x:c r="AO63" s="49"/>
      <x:c r="AP63" s="49"/>
      <x:c r="AQ63" s="49"/>
      <x:c r="AR63" s="49"/>
      <x:c r="AS63" s="49"/>
      <x:c r="AT63" s="49"/>
      <x:c r="AU63" s="49"/>
      <x:c r="AV63" s="49"/>
      <x:c r="AW63" s="49"/>
      <x:c r="AX63" s="49"/>
      <x:c r="AY63" s="49"/>
      <x:c r="AZ63" s="49"/>
    </x:row>
    <x:row r="64">
      <x:c r="A64" s="49"/>
      <x:c r="B64" s="49"/>
      <x:c r="C64" s="49"/>
      <x:c r="D64" s="49"/>
      <x:c r="E64" s="49"/>
      <x:c r="F64" s="49"/>
      <x:c r="G64" s="49"/>
      <x:c r="H64" s="49"/>
      <x:c r="I64" s="49"/>
      <x:c r="J64" s="49"/>
      <x:c r="K64" s="49"/>
      <x:c r="L64" s="49"/>
      <x:c r="M64" s="49"/>
      <x:c r="N64" s="49"/>
      <x:c r="O64" s="49"/>
      <x:c r="P64" s="49"/>
      <x:c r="Q64" s="49"/>
      <x:c r="R64" s="49"/>
      <x:c r="S64" s="49"/>
      <x:c r="T64" s="49"/>
      <x:c r="U64" s="49"/>
      <x:c r="V64" s="49"/>
      <x:c r="W64" s="49"/>
      <x:c r="X64" s="49"/>
      <x:c r="Y64" s="49"/>
      <x:c r="Z64" s="49"/>
      <x:c r="AA64" s="49"/>
      <x:c r="AB64" s="49"/>
      <x:c r="AC64" s="49"/>
      <x:c r="AD64" s="49"/>
      <x:c r="AE64" s="49"/>
      <x:c r="AF64" s="49"/>
      <x:c r="AG64" s="49"/>
      <x:c r="AH64" s="49"/>
      <x:c r="AI64" s="49"/>
      <x:c r="AJ64" s="49"/>
      <x:c r="AK64" s="49"/>
      <x:c r="AL64" s="49"/>
      <x:c r="AM64" s="49"/>
      <x:c r="AN64" s="49"/>
      <x:c r="AO64" s="49"/>
      <x:c r="AP64" s="49"/>
      <x:c r="AQ64" s="49"/>
      <x:c r="AR64" s="49"/>
      <x:c r="AS64" s="49"/>
      <x:c r="AT64" s="49"/>
      <x:c r="AU64" s="49"/>
      <x:c r="AV64" s="49"/>
      <x:c r="AW64" s="49"/>
      <x:c r="AX64" s="49"/>
      <x:c r="AY64" s="49"/>
      <x:c r="AZ64" s="49"/>
    </x:row>
    <x:row r="65">
      <x:c r="A65" s="49"/>
      <x:c r="B65" s="49"/>
      <x:c r="C65" s="49"/>
      <x:c r="D65" s="49"/>
      <x:c r="E65" s="49"/>
      <x:c r="F65" s="49"/>
      <x:c r="G65" s="49"/>
      <x:c r="H65" s="49"/>
      <x:c r="I65" s="49"/>
      <x:c r="J65" s="49"/>
      <x:c r="K65" s="49"/>
      <x:c r="L65" s="49"/>
      <x:c r="M65" s="49"/>
      <x:c r="N65" s="49"/>
      <x:c r="O65" s="49"/>
      <x:c r="P65" s="49"/>
      <x:c r="Q65" s="49"/>
      <x:c r="R65" s="49"/>
      <x:c r="S65" s="49"/>
      <x:c r="T65" s="49"/>
      <x:c r="U65" s="49"/>
      <x:c r="V65" s="49"/>
      <x:c r="W65" s="49"/>
      <x:c r="X65" s="49"/>
      <x:c r="Y65" s="49"/>
      <x:c r="Z65" s="49"/>
      <x:c r="AA65" s="49"/>
      <x:c r="AB65" s="49"/>
      <x:c r="AC65" s="49"/>
      <x:c r="AD65" s="49"/>
      <x:c r="AE65" s="49"/>
      <x:c r="AF65" s="49"/>
      <x:c r="AG65" s="49"/>
      <x:c r="AH65" s="49"/>
      <x:c r="AI65" s="49"/>
      <x:c r="AJ65" s="49"/>
      <x:c r="AK65" s="49"/>
      <x:c r="AL65" s="49"/>
      <x:c r="AM65" s="49"/>
      <x:c r="AN65" s="49"/>
      <x:c r="AO65" s="49"/>
      <x:c r="AP65" s="49"/>
      <x:c r="AQ65" s="49"/>
      <x:c r="AR65" s="49"/>
      <x:c r="AS65" s="49"/>
      <x:c r="AT65" s="49"/>
      <x:c r="AU65" s="49"/>
      <x:c r="AV65" s="49"/>
      <x:c r="AW65" s="49"/>
      <x:c r="AX65" s="49"/>
      <x:c r="AY65" s="49"/>
      <x:c r="AZ65" s="49"/>
    </x:row>
    <x:row r="66">
      <x:c r="A66" s="49"/>
      <x:c r="B66" s="49"/>
      <x:c r="C66" s="49"/>
      <x:c r="D66" s="49"/>
      <x:c r="E66" s="49"/>
      <x:c r="F66" s="49"/>
      <x:c r="G66" s="49"/>
      <x:c r="H66" s="49"/>
      <x:c r="I66" s="49"/>
      <x:c r="J66" s="49"/>
      <x:c r="K66" s="49"/>
      <x:c r="L66" s="49"/>
      <x:c r="M66" s="49"/>
      <x:c r="N66" s="49"/>
      <x:c r="O66" s="49"/>
      <x:c r="P66" s="49"/>
      <x:c r="Q66" s="49"/>
      <x:c r="R66" s="49"/>
      <x:c r="S66" s="49"/>
      <x:c r="T66" s="49"/>
      <x:c r="U66" s="49"/>
      <x:c r="V66" s="49"/>
      <x:c r="W66" s="49"/>
      <x:c r="X66" s="49"/>
      <x:c r="Y66" s="49"/>
      <x:c r="Z66" s="49"/>
      <x:c r="AA66" s="49"/>
      <x:c r="AB66" s="49"/>
      <x:c r="AC66" s="49"/>
      <x:c r="AD66" s="49"/>
      <x:c r="AE66" s="49"/>
      <x:c r="AF66" s="49"/>
      <x:c r="AG66" s="49"/>
      <x:c r="AH66" s="49"/>
      <x:c r="AI66" s="49"/>
      <x:c r="AJ66" s="49"/>
      <x:c r="AK66" s="49"/>
      <x:c r="AL66" s="49"/>
      <x:c r="AM66" s="49"/>
      <x:c r="AN66" s="49"/>
      <x:c r="AO66" s="49"/>
      <x:c r="AP66" s="49"/>
      <x:c r="AQ66" s="49"/>
      <x:c r="AR66" s="49"/>
      <x:c r="AS66" s="49"/>
      <x:c r="AT66" s="49"/>
      <x:c r="AU66" s="49"/>
      <x:c r="AV66" s="49"/>
      <x:c r="AW66" s="49"/>
      <x:c r="AX66" s="49"/>
      <x:c r="AY66" s="49"/>
      <x:c r="AZ66" s="49"/>
    </x:row>
    <x:row r="67">
      <x:c r="A67" s="49"/>
      <x:c r="B67" s="49"/>
      <x:c r="C67" s="49"/>
      <x:c r="D67" s="49"/>
      <x:c r="E67" s="49"/>
      <x:c r="F67" s="49"/>
      <x:c r="G67" s="49"/>
      <x:c r="H67" s="49"/>
      <x:c r="I67" s="49"/>
      <x:c r="J67" s="49"/>
      <x:c r="K67" s="49"/>
      <x:c r="L67" s="49"/>
      <x:c r="M67" s="49"/>
      <x:c r="N67" s="49"/>
      <x:c r="O67" s="49"/>
      <x:c r="P67" s="49"/>
      <x:c r="Q67" s="49"/>
      <x:c r="R67" s="49"/>
      <x:c r="S67" s="49"/>
      <x:c r="T67" s="49"/>
      <x:c r="U67" s="49"/>
      <x:c r="V67" s="49"/>
      <x:c r="W67" s="49"/>
      <x:c r="X67" s="49"/>
      <x:c r="Y67" s="49"/>
      <x:c r="Z67" s="49"/>
      <x:c r="AA67" s="49"/>
      <x:c r="AB67" s="49"/>
      <x:c r="AC67" s="49"/>
      <x:c r="AD67" s="49"/>
      <x:c r="AE67" s="49"/>
      <x:c r="AF67" s="49"/>
      <x:c r="AG67" s="49"/>
      <x:c r="AH67" s="49"/>
      <x:c r="AI67" s="49"/>
      <x:c r="AJ67" s="49"/>
      <x:c r="AK67" s="49"/>
      <x:c r="AL67" s="49"/>
      <x:c r="AM67" s="49"/>
      <x:c r="AN67" s="49"/>
      <x:c r="AO67" s="49"/>
      <x:c r="AP67" s="49"/>
      <x:c r="AQ67" s="49"/>
      <x:c r="AR67" s="49"/>
      <x:c r="AS67" s="49"/>
      <x:c r="AT67" s="49"/>
      <x:c r="AU67" s="49"/>
      <x:c r="AV67" s="49"/>
      <x:c r="AW67" s="49"/>
      <x:c r="AX67" s="49"/>
      <x:c r="AY67" s="49"/>
      <x:c r="AZ67" s="49"/>
    </x:row>
    <x:row r="68">
      <x:c r="A68" s="49"/>
      <x:c r="B68" s="49"/>
      <x:c r="C68" s="49"/>
      <x:c r="D68" s="49"/>
      <x:c r="E68" s="49"/>
      <x:c r="F68" s="49"/>
      <x:c r="G68" s="49"/>
      <x:c r="H68" s="49"/>
      <x:c r="I68" s="49"/>
      <x:c r="J68" s="49"/>
      <x:c r="K68" s="49"/>
      <x:c r="L68" s="49"/>
      <x:c r="M68" s="49"/>
      <x:c r="N68" s="49"/>
      <x:c r="O68" s="49"/>
      <x:c r="P68" s="49"/>
      <x:c r="Q68" s="49"/>
      <x:c r="R68" s="49"/>
      <x:c r="S68" s="49"/>
      <x:c r="T68" s="49"/>
      <x:c r="U68" s="49"/>
      <x:c r="V68" s="49"/>
      <x:c r="W68" s="49"/>
      <x:c r="X68" s="49"/>
      <x:c r="Y68" s="49"/>
      <x:c r="Z68" s="49"/>
      <x:c r="AA68" s="49"/>
      <x:c r="AB68" s="49"/>
      <x:c r="AC68" s="49"/>
      <x:c r="AD68" s="49"/>
      <x:c r="AE68" s="49"/>
      <x:c r="AF68" s="49"/>
      <x:c r="AG68" s="49"/>
      <x:c r="AH68" s="49"/>
      <x:c r="AI68" s="49"/>
      <x:c r="AJ68" s="49"/>
      <x:c r="AK68" s="49"/>
      <x:c r="AL68" s="49"/>
      <x:c r="AM68" s="49"/>
      <x:c r="AN68" s="49"/>
      <x:c r="AO68" s="49"/>
      <x:c r="AP68" s="49"/>
      <x:c r="AQ68" s="49"/>
      <x:c r="AR68" s="49"/>
      <x:c r="AS68" s="49"/>
      <x:c r="AT68" s="49"/>
      <x:c r="AU68" s="49"/>
      <x:c r="AV68" s="49"/>
      <x:c r="AW68" s="49"/>
      <x:c r="AX68" s="49"/>
      <x:c r="AY68" s="49"/>
      <x:c r="AZ68" s="49"/>
    </x:row>
    <x:row r="69">
      <x:c r="A69" s="49"/>
      <x:c r="B69" s="49"/>
      <x:c r="C69" s="49"/>
      <x:c r="D69" s="49"/>
      <x:c r="E69" s="49"/>
      <x:c r="F69" s="49"/>
      <x:c r="G69" s="49"/>
      <x:c r="H69" s="49"/>
      <x:c r="I69" s="49"/>
      <x:c r="J69" s="49"/>
      <x:c r="K69" s="49"/>
      <x:c r="L69" s="49"/>
      <x:c r="M69" s="49"/>
      <x:c r="N69" s="49"/>
      <x:c r="O69" s="49"/>
      <x:c r="P69" s="49"/>
      <x:c r="Q69" s="49"/>
      <x:c r="R69" s="49"/>
      <x:c r="S69" s="49"/>
      <x:c r="T69" s="49"/>
      <x:c r="U69" s="49"/>
      <x:c r="V69" s="49"/>
      <x:c r="W69" s="49"/>
      <x:c r="X69" s="49"/>
      <x:c r="Y69" s="49"/>
      <x:c r="Z69" s="49"/>
      <x:c r="AA69" s="49"/>
      <x:c r="AB69" s="49"/>
      <x:c r="AC69" s="49"/>
      <x:c r="AD69" s="49"/>
      <x:c r="AE69" s="49"/>
      <x:c r="AF69" s="49"/>
      <x:c r="AG69" s="49"/>
      <x:c r="AH69" s="49"/>
      <x:c r="AI69" s="49"/>
      <x:c r="AJ69" s="49"/>
      <x:c r="AK69" s="49"/>
      <x:c r="AL69" s="49"/>
      <x:c r="AM69" s="49"/>
      <x:c r="AN69" s="49"/>
      <x:c r="AO69" s="49"/>
      <x:c r="AP69" s="49"/>
      <x:c r="AQ69" s="49"/>
      <x:c r="AR69" s="49"/>
      <x:c r="AS69" s="49"/>
      <x:c r="AT69" s="49"/>
      <x:c r="AU69" s="49"/>
      <x:c r="AV69" s="49"/>
      <x:c r="AW69" s="49"/>
      <x:c r="AX69" s="49"/>
      <x:c r="AY69" s="49"/>
      <x:c r="AZ69" s="49"/>
    </x:row>
    <x:row r="70">
      <x:c r="A70" s="49"/>
      <x:c r="B70" s="49"/>
      <x:c r="C70" s="49"/>
      <x:c r="D70" s="49"/>
      <x:c r="E70" s="49"/>
      <x:c r="F70" s="49"/>
      <x:c r="G70" s="49"/>
      <x:c r="H70" s="49"/>
      <x:c r="I70" s="49"/>
      <x:c r="J70" s="49"/>
      <x:c r="K70" s="49"/>
      <x:c r="L70" s="49"/>
      <x:c r="M70" s="49"/>
      <x:c r="N70" s="49"/>
      <x:c r="O70" s="49"/>
      <x:c r="P70" s="49"/>
      <x:c r="Q70" s="49"/>
      <x:c r="R70" s="49"/>
      <x:c r="S70" s="49"/>
      <x:c r="T70" s="49"/>
      <x:c r="U70" s="49"/>
      <x:c r="V70" s="49"/>
      <x:c r="W70" s="49"/>
      <x:c r="X70" s="49"/>
      <x:c r="Y70" s="49"/>
      <x:c r="Z70" s="49"/>
      <x:c r="AA70" s="49"/>
      <x:c r="AB70" s="49"/>
      <x:c r="AC70" s="49"/>
      <x:c r="AD70" s="49"/>
      <x:c r="AE70" s="49"/>
      <x:c r="AF70" s="49"/>
      <x:c r="AG70" s="49"/>
      <x:c r="AH70" s="49"/>
      <x:c r="AI70" s="49"/>
      <x:c r="AJ70" s="49"/>
      <x:c r="AK70" s="49"/>
      <x:c r="AL70" s="49"/>
      <x:c r="AM70" s="49"/>
      <x:c r="AN70" s="49"/>
      <x:c r="AO70" s="49"/>
      <x:c r="AP70" s="49"/>
      <x:c r="AQ70" s="49"/>
      <x:c r="AR70" s="49"/>
      <x:c r="AS70" s="49"/>
      <x:c r="AT70" s="49"/>
      <x:c r="AU70" s="49"/>
      <x:c r="AV70" s="49"/>
      <x:c r="AW70" s="49"/>
      <x:c r="AX70" s="49"/>
      <x:c r="AY70" s="49"/>
      <x:c r="AZ70" s="49"/>
    </x:row>
    <x:row r="71">
      <x:c r="A71" s="49"/>
      <x:c r="B71" s="49"/>
      <x:c r="C71" s="49"/>
      <x:c r="D71" s="49"/>
      <x:c r="E71" s="49"/>
      <x:c r="F71" s="49"/>
      <x:c r="G71" s="49"/>
      <x:c r="H71" s="49"/>
      <x:c r="I71" s="49"/>
      <x:c r="J71" s="49"/>
      <x:c r="K71" s="49"/>
      <x:c r="L71" s="49"/>
      <x:c r="M71" s="49"/>
      <x:c r="N71" s="49"/>
      <x:c r="O71" s="49"/>
      <x:c r="P71" s="49"/>
      <x:c r="Q71" s="49"/>
      <x:c r="R71" s="49"/>
      <x:c r="S71" s="49"/>
      <x:c r="T71" s="49"/>
      <x:c r="U71" s="49"/>
      <x:c r="V71" s="49"/>
      <x:c r="W71" s="49"/>
      <x:c r="X71" s="49"/>
      <x:c r="Y71" s="49"/>
      <x:c r="Z71" s="49"/>
      <x:c r="AA71" s="49"/>
      <x:c r="AB71" s="49"/>
      <x:c r="AC71" s="49"/>
      <x:c r="AD71" s="49"/>
      <x:c r="AE71" s="49"/>
      <x:c r="AF71" s="49"/>
      <x:c r="AG71" s="49"/>
      <x:c r="AH71" s="49"/>
      <x:c r="AI71" s="49"/>
      <x:c r="AJ71" s="49"/>
      <x:c r="AK71" s="49"/>
      <x:c r="AL71" s="49"/>
      <x:c r="AM71" s="49"/>
      <x:c r="AN71" s="49"/>
      <x:c r="AO71" s="49"/>
      <x:c r="AP71" s="49"/>
      <x:c r="AQ71" s="49"/>
      <x:c r="AR71" s="49"/>
      <x:c r="AS71" s="49"/>
      <x:c r="AT71" s="49"/>
      <x:c r="AU71" s="49"/>
      <x:c r="AV71" s="49"/>
      <x:c r="AW71" s="49"/>
      <x:c r="AX71" s="49"/>
      <x:c r="AY71" s="49"/>
      <x:c r="AZ71" s="49"/>
    </x:row>
    <x:row r="72">
      <x:c r="A72" s="49"/>
      <x:c r="B72" s="49"/>
      <x:c r="C72" s="49"/>
      <x:c r="D72" s="49"/>
      <x:c r="E72" s="49"/>
      <x:c r="F72" s="49"/>
      <x:c r="G72" s="49"/>
      <x:c r="H72" s="49"/>
      <x:c r="I72" s="49"/>
      <x:c r="J72" s="49"/>
      <x:c r="K72" s="49"/>
      <x:c r="L72" s="49"/>
      <x:c r="M72" s="49"/>
      <x:c r="N72" s="49"/>
      <x:c r="O72" s="49"/>
      <x:c r="P72" s="49"/>
      <x:c r="Q72" s="49"/>
      <x:c r="R72" s="49"/>
      <x:c r="S72" s="49"/>
      <x:c r="T72" s="49"/>
      <x:c r="U72" s="49"/>
      <x:c r="V72" s="49"/>
      <x:c r="W72" s="49"/>
      <x:c r="X72" s="49"/>
      <x:c r="Y72" s="49"/>
      <x:c r="Z72" s="49"/>
      <x:c r="AA72" s="49"/>
      <x:c r="AB72" s="49"/>
      <x:c r="AC72" s="49"/>
      <x:c r="AD72" s="49"/>
      <x:c r="AE72" s="49"/>
      <x:c r="AF72" s="49"/>
      <x:c r="AG72" s="49"/>
      <x:c r="AH72" s="49"/>
      <x:c r="AI72" s="49"/>
      <x:c r="AJ72" s="49"/>
      <x:c r="AK72" s="49"/>
      <x:c r="AL72" s="49"/>
      <x:c r="AM72" s="49"/>
      <x:c r="AN72" s="49"/>
      <x:c r="AO72" s="49"/>
      <x:c r="AP72" s="49"/>
      <x:c r="AQ72" s="49"/>
      <x:c r="AR72" s="49"/>
      <x:c r="AS72" s="49"/>
      <x:c r="AT72" s="49"/>
      <x:c r="AU72" s="49"/>
      <x:c r="AV72" s="49"/>
      <x:c r="AW72" s="49"/>
      <x:c r="AX72" s="49"/>
      <x:c r="AY72" s="49"/>
      <x:c r="AZ72" s="49"/>
    </x:row>
    <x:row r="73">
      <x:c r="A73" s="49"/>
      <x:c r="B73" s="49"/>
      <x:c r="C73" s="49"/>
      <x:c r="D73" s="49"/>
      <x:c r="E73" s="49"/>
      <x:c r="F73" s="49"/>
      <x:c r="G73" s="49"/>
      <x:c r="H73" s="49"/>
      <x:c r="I73" s="49"/>
      <x:c r="J73" s="49"/>
      <x:c r="K73" s="49"/>
      <x:c r="L73" s="49"/>
      <x:c r="M73" s="49"/>
      <x:c r="N73" s="49"/>
      <x:c r="O73" s="49"/>
      <x:c r="P73" s="49"/>
      <x:c r="Q73" s="49"/>
      <x:c r="R73" s="49"/>
      <x:c r="S73" s="49"/>
      <x:c r="T73" s="49"/>
      <x:c r="U73" s="49"/>
      <x:c r="V73" s="49"/>
      <x:c r="W73" s="49"/>
      <x:c r="X73" s="49"/>
      <x:c r="Y73" s="49"/>
      <x:c r="Z73" s="49"/>
      <x:c r="AA73" s="49"/>
      <x:c r="AB73" s="49"/>
      <x:c r="AC73" s="49"/>
      <x:c r="AD73" s="49"/>
      <x:c r="AE73" s="49"/>
      <x:c r="AF73" s="49"/>
      <x:c r="AG73" s="49"/>
      <x:c r="AH73" s="49"/>
      <x:c r="AI73" s="49"/>
      <x:c r="AJ73" s="49"/>
      <x:c r="AK73" s="49"/>
      <x:c r="AL73" s="49"/>
      <x:c r="AM73" s="49"/>
      <x:c r="AN73" s="49"/>
      <x:c r="AO73" s="49"/>
      <x:c r="AP73" s="49"/>
      <x:c r="AQ73" s="49"/>
      <x:c r="AR73" s="49"/>
      <x:c r="AS73" s="49"/>
      <x:c r="AT73" s="49"/>
      <x:c r="AU73" s="49"/>
      <x:c r="AV73" s="49"/>
      <x:c r="AW73" s="49"/>
      <x:c r="AX73" s="49"/>
      <x:c r="AY73" s="49"/>
      <x:c r="AZ73" s="49"/>
    </x:row>
    <x:row r="74">
      <x:c r="A74" s="49"/>
      <x:c r="B74" s="49"/>
      <x:c r="C74" s="49"/>
      <x:c r="D74" s="49"/>
      <x:c r="E74" s="49"/>
      <x:c r="F74" s="49"/>
      <x:c r="G74" s="49"/>
      <x:c r="H74" s="49"/>
      <x:c r="I74" s="49"/>
      <x:c r="J74" s="49"/>
      <x:c r="K74" s="49"/>
      <x:c r="L74" s="49"/>
      <x:c r="M74" s="49"/>
      <x:c r="N74" s="49"/>
      <x:c r="O74" s="49"/>
      <x:c r="P74" s="49"/>
      <x:c r="Q74" s="49"/>
      <x:c r="R74" s="49"/>
      <x:c r="S74" s="49"/>
      <x:c r="T74" s="49"/>
      <x:c r="U74" s="49"/>
      <x:c r="V74" s="49"/>
      <x:c r="W74" s="49"/>
      <x:c r="X74" s="49"/>
      <x:c r="Y74" s="49"/>
      <x:c r="Z74" s="49"/>
      <x:c r="AA74" s="49"/>
      <x:c r="AB74" s="49"/>
      <x:c r="AC74" s="49"/>
      <x:c r="AD74" s="49"/>
      <x:c r="AE74" s="49"/>
      <x:c r="AF74" s="49"/>
      <x:c r="AG74" s="49"/>
      <x:c r="AH74" s="49"/>
      <x:c r="AI74" s="49"/>
      <x:c r="AJ74" s="49"/>
      <x:c r="AK74" s="49"/>
      <x:c r="AL74" s="49"/>
      <x:c r="AM74" s="49"/>
      <x:c r="AN74" s="49"/>
      <x:c r="AO74" s="49"/>
      <x:c r="AP74" s="49"/>
      <x:c r="AQ74" s="49"/>
      <x:c r="AR74" s="49"/>
      <x:c r="AS74" s="49"/>
      <x:c r="AT74" s="49"/>
      <x:c r="AU74" s="49"/>
      <x:c r="AV74" s="49"/>
      <x:c r="AW74" s="49"/>
      <x:c r="AX74" s="49"/>
      <x:c r="AY74" s="49"/>
      <x:c r="AZ74" s="49"/>
    </x:row>
    <x:row r="75">
      <x:c r="A75" s="49"/>
      <x:c r="B75" s="49"/>
      <x:c r="C75" s="49"/>
      <x:c r="D75" s="49"/>
      <x:c r="E75" s="49"/>
      <x:c r="F75" s="49"/>
      <x:c r="G75" s="49"/>
      <x:c r="H75" s="49"/>
      <x:c r="I75" s="49"/>
      <x:c r="J75" s="49"/>
      <x:c r="K75" s="49"/>
      <x:c r="L75" s="49"/>
      <x:c r="M75" s="49"/>
      <x:c r="N75" s="49"/>
      <x:c r="O75" s="49"/>
      <x:c r="P75" s="49"/>
      <x:c r="Q75" s="49"/>
      <x:c r="R75" s="49"/>
      <x:c r="S75" s="49"/>
      <x:c r="T75" s="49"/>
      <x:c r="U75" s="49"/>
      <x:c r="V75" s="49"/>
      <x:c r="W75" s="49"/>
      <x:c r="X75" s="49"/>
      <x:c r="Y75" s="49"/>
      <x:c r="Z75" s="49"/>
      <x:c r="AA75" s="49"/>
      <x:c r="AB75" s="49"/>
      <x:c r="AC75" s="49"/>
      <x:c r="AD75" s="49"/>
      <x:c r="AE75" s="49"/>
      <x:c r="AF75" s="49"/>
      <x:c r="AG75" s="49"/>
      <x:c r="AH75" s="49"/>
      <x:c r="AI75" s="49"/>
      <x:c r="AJ75" s="49"/>
      <x:c r="AK75" s="49"/>
      <x:c r="AL75" s="49"/>
      <x:c r="AM75" s="49"/>
      <x:c r="AN75" s="49"/>
      <x:c r="AO75" s="49"/>
      <x:c r="AP75" s="49"/>
      <x:c r="AQ75" s="49"/>
      <x:c r="AR75" s="49"/>
      <x:c r="AS75" s="49"/>
      <x:c r="AT75" s="49"/>
      <x:c r="AU75" s="49"/>
      <x:c r="AV75" s="49"/>
      <x:c r="AW75" s="49"/>
      <x:c r="AX75" s="49"/>
      <x:c r="AY75" s="49"/>
      <x:c r="AZ75" s="49"/>
    </x:row>
    <x:row r="76">
      <x:c r="A76" s="49"/>
      <x:c r="B76" s="49"/>
      <x:c r="C76" s="49"/>
      <x:c r="D76" s="49"/>
      <x:c r="E76" s="49"/>
      <x:c r="F76" s="49"/>
      <x:c r="G76" s="49"/>
      <x:c r="H76" s="49"/>
      <x:c r="I76" s="49"/>
      <x:c r="J76" s="49"/>
      <x:c r="K76" s="49"/>
      <x:c r="L76" s="49"/>
      <x:c r="M76" s="49"/>
      <x:c r="N76" s="49"/>
      <x:c r="O76" s="49"/>
      <x:c r="P76" s="49"/>
      <x:c r="Q76" s="49"/>
      <x:c r="R76" s="49"/>
      <x:c r="S76" s="49"/>
      <x:c r="T76" s="49"/>
      <x:c r="U76" s="49"/>
      <x:c r="V76" s="49"/>
      <x:c r="W76" s="49"/>
      <x:c r="X76" s="49"/>
      <x:c r="Y76" s="49"/>
      <x:c r="Z76" s="49"/>
      <x:c r="AA76" s="49"/>
      <x:c r="AB76" s="49"/>
      <x:c r="AC76" s="49"/>
      <x:c r="AD76" s="49"/>
      <x:c r="AE76" s="49"/>
      <x:c r="AF76" s="49"/>
      <x:c r="AG76" s="49"/>
      <x:c r="AH76" s="49"/>
      <x:c r="AI76" s="49"/>
      <x:c r="AJ76" s="49"/>
      <x:c r="AK76" s="49"/>
      <x:c r="AL76" s="49"/>
      <x:c r="AM76" s="49"/>
      <x:c r="AN76" s="49"/>
      <x:c r="AO76" s="49"/>
      <x:c r="AP76" s="49"/>
      <x:c r="AQ76" s="49"/>
      <x:c r="AR76" s="49"/>
      <x:c r="AS76" s="49"/>
      <x:c r="AT76" s="49"/>
      <x:c r="AU76" s="49"/>
      <x:c r="AV76" s="49"/>
      <x:c r="AW76" s="49"/>
      <x:c r="AX76" s="49"/>
      <x:c r="AY76" s="49"/>
      <x:c r="AZ76" s="49"/>
    </x:row>
    <x:row r="77">
      <x:c r="A77" s="49"/>
      <x:c r="B77" s="49"/>
      <x:c r="C77" s="49"/>
      <x:c r="D77" s="49"/>
      <x:c r="E77" s="49"/>
      <x:c r="F77" s="49"/>
      <x:c r="G77" s="49"/>
      <x:c r="H77" s="49"/>
      <x:c r="I77" s="49"/>
      <x:c r="J77" s="49"/>
      <x:c r="K77" s="49"/>
      <x:c r="L77" s="49"/>
      <x:c r="M77" s="49"/>
      <x:c r="N77" s="49"/>
      <x:c r="O77" s="49"/>
      <x:c r="P77" s="49"/>
      <x:c r="Q77" s="49"/>
      <x:c r="R77" s="49"/>
      <x:c r="S77" s="49"/>
      <x:c r="T77" s="49"/>
      <x:c r="U77" s="49"/>
      <x:c r="V77" s="49"/>
      <x:c r="W77" s="49"/>
      <x:c r="X77" s="49"/>
      <x:c r="Y77" s="49"/>
      <x:c r="Z77" s="49"/>
      <x:c r="AA77" s="49"/>
      <x:c r="AB77" s="49"/>
      <x:c r="AC77" s="49"/>
      <x:c r="AD77" s="49"/>
      <x:c r="AE77" s="49"/>
      <x:c r="AF77" s="49"/>
      <x:c r="AG77" s="49"/>
      <x:c r="AH77" s="49"/>
      <x:c r="AI77" s="49"/>
      <x:c r="AJ77" s="49"/>
      <x:c r="AK77" s="49"/>
      <x:c r="AL77" s="49"/>
      <x:c r="AM77" s="49"/>
      <x:c r="AN77" s="49"/>
      <x:c r="AO77" s="49"/>
      <x:c r="AP77" s="49"/>
      <x:c r="AQ77" s="49"/>
      <x:c r="AR77" s="49"/>
      <x:c r="AS77" s="49"/>
      <x:c r="AT77" s="49"/>
      <x:c r="AU77" s="49"/>
      <x:c r="AV77" s="49"/>
      <x:c r="AW77" s="49"/>
      <x:c r="AX77" s="49"/>
      <x:c r="AY77" s="49"/>
      <x:c r="AZ77" s="49"/>
    </x:row>
    <x:row r="78">
      <x:c r="A78" s="49"/>
      <x:c r="B78" s="49"/>
      <x:c r="C78" s="49"/>
      <x:c r="D78" s="49"/>
      <x:c r="E78" s="49"/>
      <x:c r="F78" s="49"/>
      <x:c r="G78" s="49"/>
      <x:c r="H78" s="49"/>
      <x:c r="I78" s="49"/>
      <x:c r="J78" s="49"/>
      <x:c r="K78" s="49"/>
      <x:c r="L78" s="49"/>
      <x:c r="M78" s="49"/>
      <x:c r="N78" s="49"/>
      <x:c r="O78" s="49"/>
      <x:c r="P78" s="49"/>
      <x:c r="Q78" s="49"/>
      <x:c r="R78" s="49"/>
      <x:c r="S78" s="49"/>
      <x:c r="T78" s="49"/>
      <x:c r="U78" s="49"/>
      <x:c r="V78" s="49"/>
      <x:c r="W78" s="49"/>
      <x:c r="X78" s="49"/>
      <x:c r="Y78" s="49"/>
      <x:c r="Z78" s="49"/>
      <x:c r="AA78" s="49"/>
      <x:c r="AB78" s="49"/>
      <x:c r="AC78" s="49"/>
      <x:c r="AD78" s="49"/>
      <x:c r="AE78" s="49"/>
      <x:c r="AF78" s="49"/>
      <x:c r="AG78" s="49"/>
      <x:c r="AH78" s="49"/>
      <x:c r="AI78" s="49"/>
      <x:c r="AJ78" s="49"/>
      <x:c r="AK78" s="49"/>
      <x:c r="AL78" s="49"/>
      <x:c r="AM78" s="49"/>
      <x:c r="AN78" s="49"/>
      <x:c r="AO78" s="49"/>
      <x:c r="AP78" s="49"/>
      <x:c r="AQ78" s="49"/>
      <x:c r="AR78" s="49"/>
      <x:c r="AS78" s="49"/>
      <x:c r="AT78" s="49"/>
      <x:c r="AU78" s="49"/>
      <x:c r="AV78" s="49"/>
      <x:c r="AW78" s="49"/>
      <x:c r="AX78" s="49"/>
      <x:c r="AY78" s="49"/>
      <x:c r="AZ78" s="49"/>
    </x:row>
    <x:row r="79">
      <x:c r="A79" s="49"/>
      <x:c r="B79" s="49"/>
      <x:c r="C79" s="49"/>
      <x:c r="D79" s="49"/>
      <x:c r="E79" s="49"/>
      <x:c r="F79" s="49"/>
      <x:c r="G79" s="49"/>
      <x:c r="H79" s="49"/>
      <x:c r="I79" s="49"/>
      <x:c r="J79" s="49"/>
      <x:c r="K79" s="49"/>
      <x:c r="L79" s="49"/>
      <x:c r="M79" s="49"/>
      <x:c r="N79" s="49"/>
      <x:c r="O79" s="49"/>
      <x:c r="P79" s="49"/>
      <x:c r="Q79" s="49"/>
      <x:c r="R79" s="49"/>
      <x:c r="S79" s="49"/>
      <x:c r="T79" s="49"/>
      <x:c r="U79" s="49"/>
      <x:c r="V79" s="49"/>
      <x:c r="W79" s="49"/>
      <x:c r="X79" s="49"/>
      <x:c r="Y79" s="49"/>
      <x:c r="Z79" s="49"/>
      <x:c r="AA79" s="49"/>
      <x:c r="AB79" s="49"/>
      <x:c r="AC79" s="49"/>
      <x:c r="AD79" s="49"/>
      <x:c r="AE79" s="49"/>
      <x:c r="AF79" s="49"/>
      <x:c r="AG79" s="49"/>
      <x:c r="AH79" s="49"/>
      <x:c r="AI79" s="49"/>
      <x:c r="AJ79" s="49"/>
      <x:c r="AK79" s="49"/>
      <x:c r="AL79" s="49"/>
      <x:c r="AM79" s="49"/>
      <x:c r="AN79" s="49"/>
      <x:c r="AO79" s="49"/>
      <x:c r="AP79" s="49"/>
      <x:c r="AQ79" s="49"/>
      <x:c r="AR79" s="49"/>
      <x:c r="AS79" s="49"/>
      <x:c r="AT79" s="49"/>
      <x:c r="AU79" s="49"/>
      <x:c r="AV79" s="49"/>
      <x:c r="AW79" s="49"/>
      <x:c r="AX79" s="49"/>
      <x:c r="AY79" s="49"/>
      <x:c r="AZ79" s="49"/>
    </x:row>
    <x:row r="80">
      <x:c r="A80" s="49"/>
      <x:c r="B80" s="49"/>
      <x:c r="C80" s="49"/>
      <x:c r="D80" s="49"/>
      <x:c r="E80" s="49"/>
      <x:c r="F80" s="49"/>
      <x:c r="G80" s="49"/>
      <x:c r="H80" s="49"/>
      <x:c r="I80" s="49"/>
      <x:c r="J80" s="49"/>
      <x:c r="K80" s="49"/>
      <x:c r="L80" s="49"/>
      <x:c r="M80" s="49"/>
      <x:c r="N80" s="49"/>
      <x:c r="O80" s="49"/>
      <x:c r="P80" s="49"/>
      <x:c r="Q80" s="49"/>
      <x:c r="R80" s="49"/>
      <x:c r="S80" s="49"/>
      <x:c r="T80" s="49"/>
      <x:c r="U80" s="49"/>
      <x:c r="V80" s="49"/>
      <x:c r="W80" s="49"/>
      <x:c r="X80" s="49"/>
      <x:c r="Y80" s="49"/>
      <x:c r="Z80" s="49"/>
      <x:c r="AA80" s="49"/>
      <x:c r="AB80" s="49"/>
      <x:c r="AC80" s="49"/>
      <x:c r="AD80" s="49"/>
      <x:c r="AE80" s="49"/>
      <x:c r="AF80" s="49"/>
      <x:c r="AG80" s="49"/>
      <x:c r="AH80" s="49"/>
      <x:c r="AI80" s="49"/>
      <x:c r="AJ80" s="49"/>
      <x:c r="AK80" s="49"/>
      <x:c r="AL80" s="49"/>
      <x:c r="AM80" s="49"/>
      <x:c r="AN80" s="49"/>
      <x:c r="AO80" s="49"/>
      <x:c r="AP80" s="49"/>
      <x:c r="AQ80" s="49"/>
      <x:c r="AR80" s="49"/>
      <x:c r="AS80" s="49"/>
      <x:c r="AT80" s="49"/>
      <x:c r="AU80" s="49"/>
      <x:c r="AV80" s="49"/>
      <x:c r="AW80" s="49"/>
      <x:c r="AX80" s="49"/>
      <x:c r="AY80" s="49"/>
      <x:c r="AZ80" s="49"/>
    </x:row>
    <x:row r="81">
      <x:c r="A81" s="49"/>
      <x:c r="B81" s="49"/>
      <x:c r="C81" s="49"/>
      <x:c r="D81" s="49"/>
      <x:c r="E81" s="49"/>
      <x:c r="F81" s="49"/>
      <x:c r="G81" s="49"/>
      <x:c r="H81" s="49"/>
      <x:c r="I81" s="49"/>
      <x:c r="J81" s="49"/>
      <x:c r="K81" s="49"/>
      <x:c r="L81" s="49"/>
      <x:c r="M81" s="49"/>
      <x:c r="N81" s="49"/>
      <x:c r="O81" s="49"/>
      <x:c r="P81" s="49"/>
      <x:c r="Q81" s="49"/>
      <x:c r="R81" s="49"/>
      <x:c r="S81" s="49"/>
      <x:c r="T81" s="49"/>
      <x:c r="U81" s="49"/>
      <x:c r="V81" s="49"/>
      <x:c r="W81" s="49"/>
      <x:c r="X81" s="49"/>
      <x:c r="Y81" s="49"/>
      <x:c r="Z81" s="49"/>
      <x:c r="AA81" s="49"/>
      <x:c r="AB81" s="49"/>
      <x:c r="AC81" s="49"/>
      <x:c r="AD81" s="49"/>
      <x:c r="AE81" s="49"/>
      <x:c r="AF81" s="49"/>
      <x:c r="AG81" s="49"/>
      <x:c r="AH81" s="49"/>
      <x:c r="AI81" s="49"/>
      <x:c r="AJ81" s="49"/>
      <x:c r="AK81" s="49"/>
      <x:c r="AL81" s="49"/>
      <x:c r="AM81" s="49"/>
      <x:c r="AN81" s="49"/>
      <x:c r="AO81" s="49"/>
      <x:c r="AP81" s="49"/>
      <x:c r="AQ81" s="49"/>
      <x:c r="AR81" s="49"/>
      <x:c r="AS81" s="49"/>
      <x:c r="AT81" s="49"/>
      <x:c r="AU81" s="49"/>
      <x:c r="AV81" s="49"/>
      <x:c r="AW81" s="49"/>
      <x:c r="AX81" s="49"/>
      <x:c r="AY81" s="49"/>
      <x:c r="AZ81" s="49"/>
    </x:row>
    <x:row r="82">
      <x:c r="A82" s="49"/>
      <x:c r="B82" s="49"/>
      <x:c r="C82" s="49"/>
      <x:c r="D82" s="49"/>
      <x:c r="E82" s="49"/>
      <x:c r="F82" s="49"/>
      <x:c r="G82" s="49"/>
      <x:c r="H82" s="49"/>
      <x:c r="I82" s="49"/>
      <x:c r="J82" s="49"/>
      <x:c r="K82" s="49"/>
      <x:c r="L82" s="49"/>
      <x:c r="M82" s="49"/>
      <x:c r="N82" s="49"/>
      <x:c r="O82" s="49"/>
      <x:c r="P82" s="49"/>
      <x:c r="Q82" s="49"/>
      <x:c r="R82" s="49"/>
      <x:c r="S82" s="49"/>
      <x:c r="T82" s="49"/>
      <x:c r="U82" s="49"/>
      <x:c r="V82" s="49"/>
      <x:c r="W82" s="49"/>
      <x:c r="X82" s="49"/>
      <x:c r="Y82" s="49"/>
      <x:c r="Z82" s="49"/>
      <x:c r="AA82" s="49"/>
      <x:c r="AB82" s="49"/>
      <x:c r="AC82" s="49"/>
      <x:c r="AD82" s="49"/>
      <x:c r="AE82" s="49"/>
      <x:c r="AF82" s="49"/>
      <x:c r="AG82" s="49"/>
      <x:c r="AH82" s="49"/>
      <x:c r="AI82" s="49"/>
      <x:c r="AJ82" s="49"/>
      <x:c r="AK82" s="49"/>
      <x:c r="AL82" s="49"/>
      <x:c r="AM82" s="49"/>
      <x:c r="AN82" s="49"/>
      <x:c r="AO82" s="49"/>
      <x:c r="AP82" s="49"/>
      <x:c r="AQ82" s="49"/>
      <x:c r="AR82" s="49"/>
      <x:c r="AS82" s="49"/>
      <x:c r="AT82" s="49"/>
      <x:c r="AU82" s="49"/>
      <x:c r="AV82" s="49"/>
      <x:c r="AW82" s="49"/>
      <x:c r="AX82" s="49"/>
      <x:c r="AY82" s="49"/>
      <x:c r="AZ82" s="49"/>
    </x:row>
    <x:row r="83">
      <x:c r="A83" s="49"/>
      <x:c r="B83" s="49"/>
      <x:c r="C83" s="49"/>
      <x:c r="D83" s="49"/>
      <x:c r="E83" s="49"/>
      <x:c r="F83" s="49"/>
      <x:c r="G83" s="49"/>
      <x:c r="H83" s="49"/>
      <x:c r="I83" s="49"/>
      <x:c r="J83" s="49"/>
      <x:c r="K83" s="49"/>
      <x:c r="L83" s="49"/>
      <x:c r="M83" s="49"/>
      <x:c r="N83" s="49"/>
      <x:c r="O83" s="49"/>
      <x:c r="P83" s="49"/>
      <x:c r="Q83" s="49"/>
      <x:c r="R83" s="49"/>
      <x:c r="S83" s="49"/>
      <x:c r="T83" s="49"/>
      <x:c r="U83" s="49"/>
      <x:c r="V83" s="49"/>
      <x:c r="W83" s="49"/>
      <x:c r="X83" s="49"/>
      <x:c r="Y83" s="49"/>
      <x:c r="Z83" s="49"/>
      <x:c r="AA83" s="49"/>
      <x:c r="AB83" s="49"/>
      <x:c r="AC83" s="49"/>
      <x:c r="AD83" s="49"/>
      <x:c r="AE83" s="49"/>
      <x:c r="AF83" s="49"/>
      <x:c r="AG83" s="49"/>
      <x:c r="AH83" s="49"/>
      <x:c r="AI83" s="49"/>
      <x:c r="AJ83" s="49"/>
      <x:c r="AK83" s="49"/>
      <x:c r="AL83" s="49"/>
      <x:c r="AM83" s="49"/>
      <x:c r="AN83" s="49"/>
      <x:c r="AO83" s="49"/>
      <x:c r="AP83" s="49"/>
      <x:c r="AQ83" s="49"/>
      <x:c r="AR83" s="49"/>
      <x:c r="AS83" s="49"/>
      <x:c r="AT83" s="49"/>
      <x:c r="AU83" s="49"/>
      <x:c r="AV83" s="49"/>
      <x:c r="AW83" s="49"/>
      <x:c r="AX83" s="49"/>
      <x:c r="AY83" s="49"/>
      <x:c r="AZ83" s="49"/>
    </x:row>
    <x:row r="84">
      <x:c r="A84" s="49"/>
      <x:c r="B84" s="49"/>
      <x:c r="C84" s="49"/>
      <x:c r="D84" s="49"/>
      <x:c r="E84" s="49"/>
      <x:c r="F84" s="49"/>
      <x:c r="G84" s="49"/>
      <x:c r="H84" s="49"/>
      <x:c r="I84" s="49"/>
      <x:c r="J84" s="49"/>
      <x:c r="K84" s="49"/>
      <x:c r="L84" s="49"/>
      <x:c r="M84" s="49"/>
      <x:c r="N84" s="49"/>
      <x:c r="O84" s="49"/>
      <x:c r="P84" s="49"/>
      <x:c r="Q84" s="49"/>
      <x:c r="R84" s="49"/>
      <x:c r="S84" s="49"/>
      <x:c r="T84" s="49"/>
      <x:c r="U84" s="49"/>
      <x:c r="V84" s="49"/>
      <x:c r="W84" s="49"/>
      <x:c r="X84" s="49"/>
      <x:c r="Y84" s="49"/>
      <x:c r="Z84" s="49"/>
      <x:c r="AA84" s="49"/>
      <x:c r="AB84" s="49"/>
      <x:c r="AC84" s="49"/>
      <x:c r="AD84" s="49"/>
      <x:c r="AE84" s="49"/>
      <x:c r="AF84" s="49"/>
      <x:c r="AG84" s="49"/>
      <x:c r="AH84" s="49"/>
      <x:c r="AI84" s="49"/>
      <x:c r="AJ84" s="49"/>
      <x:c r="AK84" s="49"/>
      <x:c r="AL84" s="49"/>
      <x:c r="AM84" s="49"/>
      <x:c r="AN84" s="49"/>
      <x:c r="AO84" s="49"/>
      <x:c r="AP84" s="49"/>
      <x:c r="AQ84" s="49"/>
      <x:c r="AR84" s="49"/>
      <x:c r="AS84" s="49"/>
      <x:c r="AT84" s="49"/>
      <x:c r="AU84" s="49"/>
      <x:c r="AV84" s="49"/>
      <x:c r="AW84" s="49"/>
      <x:c r="AX84" s="49"/>
      <x:c r="AY84" s="49"/>
      <x:c r="AZ84" s="49"/>
    </x:row>
    <x:row r="85">
      <x:c r="A85" s="49"/>
      <x:c r="B85" s="49"/>
      <x:c r="C85" s="49"/>
      <x:c r="D85" s="49"/>
      <x:c r="E85" s="49"/>
      <x:c r="F85" s="49"/>
      <x:c r="G85" s="49"/>
      <x:c r="H85" s="49"/>
      <x:c r="I85" s="49"/>
      <x:c r="J85" s="49"/>
      <x:c r="K85" s="49"/>
      <x:c r="L85" s="49"/>
      <x:c r="M85" s="49"/>
      <x:c r="N85" s="49"/>
      <x:c r="O85" s="49"/>
      <x:c r="P85" s="49"/>
      <x:c r="Q85" s="49"/>
      <x:c r="R85" s="49"/>
      <x:c r="S85" s="49"/>
      <x:c r="T85" s="49"/>
      <x:c r="U85" s="49"/>
      <x:c r="V85" s="49"/>
      <x:c r="W85" s="49"/>
      <x:c r="X85" s="49"/>
      <x:c r="Y85" s="49"/>
      <x:c r="Z85" s="49"/>
      <x:c r="AA85" s="49"/>
      <x:c r="AB85" s="49"/>
      <x:c r="AC85" s="49"/>
      <x:c r="AD85" s="49"/>
      <x:c r="AE85" s="49"/>
      <x:c r="AF85" s="49"/>
      <x:c r="AG85" s="49"/>
      <x:c r="AH85" s="49"/>
      <x:c r="AI85" s="49"/>
      <x:c r="AJ85" s="49"/>
      <x:c r="AK85" s="49"/>
      <x:c r="AL85" s="49"/>
      <x:c r="AM85" s="49"/>
      <x:c r="AN85" s="49"/>
      <x:c r="AO85" s="49"/>
      <x:c r="AP85" s="49"/>
      <x:c r="AQ85" s="49"/>
      <x:c r="AR85" s="49"/>
      <x:c r="AS85" s="49"/>
      <x:c r="AT85" s="49"/>
      <x:c r="AU85" s="49"/>
      <x:c r="AV85" s="49"/>
      <x:c r="AW85" s="49"/>
      <x:c r="AX85" s="49"/>
      <x:c r="AY85" s="49"/>
      <x:c r="AZ85" s="49"/>
    </x:row>
    <x:row r="86">
      <x:c r="A86" s="49"/>
      <x:c r="B86" s="49"/>
      <x:c r="C86" s="49"/>
      <x:c r="D86" s="49"/>
      <x:c r="E86" s="49"/>
      <x:c r="F86" s="49"/>
      <x:c r="G86" s="49"/>
      <x:c r="H86" s="49"/>
      <x:c r="I86" s="49"/>
      <x:c r="J86" s="49"/>
      <x:c r="K86" s="49"/>
      <x:c r="L86" s="49"/>
      <x:c r="M86" s="49"/>
      <x:c r="N86" s="49"/>
      <x:c r="O86" s="49"/>
      <x:c r="P86" s="49"/>
      <x:c r="Q86" s="49"/>
      <x:c r="R86" s="49"/>
      <x:c r="S86" s="49"/>
      <x:c r="T86" s="49"/>
      <x:c r="U86" s="49"/>
      <x:c r="V86" s="49"/>
      <x:c r="W86" s="49"/>
      <x:c r="X86" s="49"/>
      <x:c r="Y86" s="49"/>
      <x:c r="Z86" s="49"/>
      <x:c r="AA86" s="49"/>
      <x:c r="AB86" s="49"/>
      <x:c r="AC86" s="49"/>
      <x:c r="AD86" s="49"/>
      <x:c r="AE86" s="49"/>
      <x:c r="AF86" s="49"/>
      <x:c r="AG86" s="49"/>
      <x:c r="AH86" s="49"/>
      <x:c r="AI86" s="49"/>
      <x:c r="AJ86" s="49"/>
      <x:c r="AK86" s="49"/>
      <x:c r="AL86" s="49"/>
      <x:c r="AM86" s="49"/>
      <x:c r="AN86" s="49"/>
      <x:c r="AO86" s="49"/>
      <x:c r="AP86" s="49"/>
      <x:c r="AQ86" s="49"/>
      <x:c r="AR86" s="49"/>
      <x:c r="AS86" s="49"/>
      <x:c r="AT86" s="49"/>
      <x:c r="AU86" s="49"/>
      <x:c r="AV86" s="49"/>
      <x:c r="AW86" s="49"/>
      <x:c r="AX86" s="49"/>
      <x:c r="AY86" s="49"/>
      <x:c r="AZ86" s="49"/>
    </x:row>
    <x:row r="87">
      <x:c r="A87" s="49"/>
      <x:c r="B87" s="49"/>
      <x:c r="C87" s="49"/>
      <x:c r="D87" s="49"/>
      <x:c r="E87" s="49"/>
      <x:c r="F87" s="49"/>
      <x:c r="G87" s="49"/>
      <x:c r="H87" s="49"/>
      <x:c r="I87" s="49"/>
      <x:c r="J87" s="49"/>
      <x:c r="K87" s="49"/>
      <x:c r="L87" s="49"/>
      <x:c r="M87" s="49"/>
      <x:c r="N87" s="49"/>
      <x:c r="O87" s="49"/>
      <x:c r="P87" s="49"/>
      <x:c r="Q87" s="49"/>
      <x:c r="R87" s="49"/>
      <x:c r="S87" s="49"/>
      <x:c r="T87" s="49"/>
      <x:c r="U87" s="49"/>
      <x:c r="V87" s="49"/>
      <x:c r="W87" s="49"/>
      <x:c r="X87" s="49"/>
      <x:c r="Y87" s="49"/>
      <x:c r="Z87" s="49"/>
      <x:c r="AA87" s="49"/>
      <x:c r="AB87" s="49"/>
      <x:c r="AC87" s="49"/>
      <x:c r="AD87" s="49"/>
      <x:c r="AE87" s="49"/>
      <x:c r="AF87" s="49"/>
      <x:c r="AG87" s="49"/>
      <x:c r="AH87" s="49"/>
      <x:c r="AI87" s="49"/>
      <x:c r="AJ87" s="49"/>
      <x:c r="AK87" s="49"/>
      <x:c r="AL87" s="49"/>
      <x:c r="AM87" s="49"/>
      <x:c r="AN87" s="49"/>
      <x:c r="AO87" s="49"/>
      <x:c r="AP87" s="49"/>
      <x:c r="AQ87" s="49"/>
      <x:c r="AR87" s="49"/>
      <x:c r="AS87" s="49"/>
      <x:c r="AT87" s="49"/>
      <x:c r="AU87" s="49"/>
      <x:c r="AV87" s="49"/>
      <x:c r="AW87" s="49"/>
      <x:c r="AX87" s="49"/>
      <x:c r="AY87" s="49"/>
      <x:c r="AZ87" s="49"/>
    </x:row>
    <x:row r="88">
      <x:c r="A88" s="49"/>
      <x:c r="B88" s="49"/>
      <x:c r="C88" s="49"/>
      <x:c r="D88" s="49"/>
      <x:c r="E88" s="49"/>
      <x:c r="F88" s="49"/>
      <x:c r="G88" s="49"/>
      <x:c r="H88" s="49"/>
      <x:c r="I88" s="49"/>
      <x:c r="J88" s="49"/>
      <x:c r="K88" s="49"/>
      <x:c r="L88" s="49"/>
      <x:c r="M88" s="49"/>
      <x:c r="N88" s="49"/>
      <x:c r="O88" s="49"/>
      <x:c r="P88" s="49"/>
      <x:c r="Q88" s="49"/>
      <x:c r="R88" s="49"/>
      <x:c r="S88" s="49"/>
      <x:c r="T88" s="49"/>
      <x:c r="U88" s="49"/>
      <x:c r="V88" s="49"/>
      <x:c r="W88" s="49"/>
      <x:c r="X88" s="49"/>
      <x:c r="Y88" s="49"/>
      <x:c r="Z88" s="49"/>
      <x:c r="AA88" s="49"/>
      <x:c r="AB88" s="49"/>
      <x:c r="AC88" s="49"/>
      <x:c r="AD88" s="49"/>
      <x:c r="AE88" s="49"/>
      <x:c r="AF88" s="49"/>
      <x:c r="AG88" s="49"/>
      <x:c r="AH88" s="49"/>
      <x:c r="AI88" s="49"/>
      <x:c r="AJ88" s="49"/>
      <x:c r="AK88" s="49"/>
      <x:c r="AL88" s="49"/>
      <x:c r="AM88" s="49"/>
      <x:c r="AN88" s="49"/>
      <x:c r="AO88" s="49"/>
      <x:c r="AP88" s="49"/>
      <x:c r="AQ88" s="49"/>
      <x:c r="AR88" s="49"/>
      <x:c r="AS88" s="49"/>
      <x:c r="AT88" s="49"/>
      <x:c r="AU88" s="49"/>
      <x:c r="AV88" s="49"/>
      <x:c r="AW88" s="49"/>
      <x:c r="AX88" s="49"/>
      <x:c r="AY88" s="49"/>
      <x:c r="AZ88" s="49"/>
    </x:row>
    <x:row r="89">
      <x:c r="A89" s="49"/>
      <x:c r="B89" s="49"/>
      <x:c r="C89" s="49"/>
      <x:c r="D89" s="49"/>
      <x:c r="E89" s="49"/>
      <x:c r="F89" s="49"/>
      <x:c r="G89" s="49"/>
      <x:c r="H89" s="49"/>
      <x:c r="I89" s="49"/>
      <x:c r="J89" s="49"/>
      <x:c r="K89" s="49"/>
      <x:c r="L89" s="49"/>
      <x:c r="M89" s="49"/>
      <x:c r="N89" s="49"/>
      <x:c r="O89" s="49"/>
      <x:c r="P89" s="49"/>
      <x:c r="Q89" s="49"/>
      <x:c r="R89" s="49"/>
      <x:c r="S89" s="49"/>
      <x:c r="T89" s="49"/>
      <x:c r="U89" s="49"/>
      <x:c r="V89" s="49"/>
      <x:c r="W89" s="49"/>
      <x:c r="X89" s="49"/>
      <x:c r="Y89" s="49"/>
      <x:c r="Z89" s="49"/>
      <x:c r="AA89" s="49"/>
      <x:c r="AB89" s="49"/>
      <x:c r="AC89" s="49"/>
      <x:c r="AD89" s="49"/>
      <x:c r="AE89" s="49"/>
      <x:c r="AF89" s="49"/>
      <x:c r="AG89" s="49"/>
      <x:c r="AH89" s="49"/>
      <x:c r="AI89" s="49"/>
      <x:c r="AJ89" s="49"/>
      <x:c r="AK89" s="49"/>
      <x:c r="AL89" s="49"/>
      <x:c r="AM89" s="49"/>
      <x:c r="AN89" s="49"/>
      <x:c r="AO89" s="49"/>
      <x:c r="AP89" s="49"/>
      <x:c r="AQ89" s="49"/>
      <x:c r="AR89" s="49"/>
      <x:c r="AS89" s="49"/>
      <x:c r="AT89" s="49"/>
      <x:c r="AU89" s="49"/>
      <x:c r="AV89" s="49"/>
      <x:c r="AW89" s="49"/>
      <x:c r="AX89" s="49"/>
      <x:c r="AY89" s="49"/>
      <x:c r="AZ89" s="49"/>
    </x:row>
    <x:row r="90">
      <x:c r="A90" s="49"/>
      <x:c r="B90" s="49"/>
      <x:c r="C90" s="49"/>
      <x:c r="D90" s="49"/>
      <x:c r="E90" s="49"/>
      <x:c r="F90" s="49"/>
      <x:c r="G90" s="49"/>
      <x:c r="H90" s="49"/>
      <x:c r="I90" s="49"/>
      <x:c r="J90" s="49"/>
      <x:c r="K90" s="49"/>
      <x:c r="L90" s="49"/>
      <x:c r="M90" s="49"/>
      <x:c r="N90" s="49"/>
      <x:c r="O90" s="49"/>
      <x:c r="P90" s="49"/>
      <x:c r="Q90" s="49"/>
      <x:c r="R90" s="49"/>
      <x:c r="S90" s="49"/>
      <x:c r="T90" s="49"/>
      <x:c r="U90" s="49"/>
      <x:c r="V90" s="49"/>
      <x:c r="W90" s="49"/>
      <x:c r="X90" s="49"/>
      <x:c r="Y90" s="49"/>
      <x:c r="Z90" s="49"/>
      <x:c r="AA90" s="49"/>
      <x:c r="AB90" s="49"/>
      <x:c r="AC90" s="49"/>
      <x:c r="AD90" s="49"/>
      <x:c r="AE90" s="49"/>
      <x:c r="AF90" s="49"/>
      <x:c r="AG90" s="49"/>
      <x:c r="AH90" s="49"/>
      <x:c r="AI90" s="49"/>
      <x:c r="AJ90" s="49"/>
      <x:c r="AK90" s="49"/>
      <x:c r="AL90" s="49"/>
      <x:c r="AM90" s="49"/>
      <x:c r="AN90" s="49"/>
      <x:c r="AO90" s="49"/>
      <x:c r="AP90" s="49"/>
      <x:c r="AQ90" s="49"/>
      <x:c r="AR90" s="49"/>
      <x:c r="AS90" s="49"/>
      <x:c r="AT90" s="49"/>
      <x:c r="AU90" s="49"/>
      <x:c r="AV90" s="49"/>
      <x:c r="AW90" s="49"/>
      <x:c r="AX90" s="49"/>
      <x:c r="AY90" s="49"/>
      <x:c r="AZ90" s="49"/>
    </x:row>
    <x:row r="91">
      <x:c r="A91" s="49"/>
      <x:c r="B91" s="49"/>
      <x:c r="C91" s="49"/>
      <x:c r="D91" s="49"/>
      <x:c r="E91" s="49"/>
      <x:c r="F91" s="49"/>
      <x:c r="G91" s="49"/>
      <x:c r="H91" s="49"/>
      <x:c r="I91" s="49"/>
      <x:c r="J91" s="49"/>
      <x:c r="K91" s="49"/>
      <x:c r="L91" s="49"/>
      <x:c r="M91" s="49"/>
      <x:c r="N91" s="49"/>
      <x:c r="O91" s="49"/>
      <x:c r="P91" s="49"/>
      <x:c r="Q91" s="49"/>
      <x:c r="R91" s="49"/>
      <x:c r="S91" s="49"/>
      <x:c r="T91" s="49"/>
      <x:c r="U91" s="49"/>
      <x:c r="V91" s="49"/>
      <x:c r="W91" s="49"/>
      <x:c r="X91" s="49"/>
      <x:c r="Y91" s="49"/>
      <x:c r="Z91" s="49"/>
      <x:c r="AA91" s="49"/>
      <x:c r="AB91" s="49"/>
      <x:c r="AC91" s="49"/>
      <x:c r="AD91" s="49"/>
      <x:c r="AE91" s="49"/>
      <x:c r="AF91" s="49"/>
      <x:c r="AG91" s="49"/>
      <x:c r="AH91" s="49"/>
      <x:c r="AI91" s="49"/>
      <x:c r="AJ91" s="49"/>
      <x:c r="AK91" s="49"/>
      <x:c r="AL91" s="49"/>
      <x:c r="AM91" s="49"/>
      <x:c r="AN91" s="49"/>
      <x:c r="AO91" s="49"/>
      <x:c r="AP91" s="49"/>
      <x:c r="AQ91" s="49"/>
      <x:c r="AR91" s="49"/>
      <x:c r="AS91" s="49"/>
      <x:c r="AT91" s="49"/>
      <x:c r="AU91" s="49"/>
      <x:c r="AV91" s="49"/>
      <x:c r="AW91" s="49"/>
      <x:c r="AX91" s="49"/>
      <x:c r="AY91" s="49"/>
      <x:c r="AZ91" s="49"/>
    </x:row>
    <x:row r="92">
      <x:c r="A92" s="49"/>
      <x:c r="B92" s="49"/>
      <x:c r="C92" s="49"/>
      <x:c r="D92" s="49"/>
      <x:c r="E92" s="49"/>
      <x:c r="F92" s="49"/>
      <x:c r="G92" s="49"/>
      <x:c r="H92" s="49"/>
      <x:c r="I92" s="49"/>
      <x:c r="J92" s="49"/>
      <x:c r="K92" s="49"/>
      <x:c r="L92" s="49"/>
      <x:c r="M92" s="49"/>
      <x:c r="N92" s="49"/>
      <x:c r="O92" s="49"/>
      <x:c r="P92" s="49"/>
      <x:c r="Q92" s="49"/>
      <x:c r="R92" s="49"/>
      <x:c r="S92" s="49"/>
      <x:c r="T92" s="49"/>
      <x:c r="U92" s="49"/>
      <x:c r="V92" s="49"/>
      <x:c r="W92" s="49"/>
      <x:c r="X92" s="49"/>
      <x:c r="Y92" s="49"/>
      <x:c r="Z92" s="49"/>
      <x:c r="AA92" s="49"/>
      <x:c r="AB92" s="49"/>
      <x:c r="AC92" s="49"/>
      <x:c r="AD92" s="49"/>
      <x:c r="AE92" s="49"/>
      <x:c r="AF92" s="49"/>
      <x:c r="AG92" s="49"/>
      <x:c r="AH92" s="49"/>
      <x:c r="AI92" s="49"/>
      <x:c r="AJ92" s="49"/>
      <x:c r="AK92" s="49"/>
      <x:c r="AL92" s="49"/>
      <x:c r="AM92" s="49"/>
      <x:c r="AN92" s="49"/>
      <x:c r="AO92" s="49"/>
      <x:c r="AP92" s="49"/>
      <x:c r="AQ92" s="49"/>
      <x:c r="AR92" s="49"/>
      <x:c r="AS92" s="49"/>
      <x:c r="AT92" s="49"/>
      <x:c r="AU92" s="49"/>
      <x:c r="AV92" s="49"/>
      <x:c r="AW92" s="49"/>
      <x:c r="AX92" s="49"/>
      <x:c r="AY92" s="49"/>
      <x:c r="AZ92" s="49"/>
    </x:row>
    <x:row r="93">
      <x:c r="A93" s="49"/>
      <x:c r="B93" s="49"/>
      <x:c r="C93" s="49"/>
      <x:c r="D93" s="49"/>
      <x:c r="E93" s="49"/>
      <x:c r="F93" s="49"/>
      <x:c r="G93" s="49"/>
      <x:c r="H93" s="49"/>
      <x:c r="I93" s="49"/>
      <x:c r="J93" s="49"/>
      <x:c r="K93" s="49"/>
      <x:c r="L93" s="49"/>
      <x:c r="M93" s="49"/>
      <x:c r="N93" s="49"/>
      <x:c r="O93" s="49"/>
      <x:c r="P93" s="49"/>
      <x:c r="Q93" s="49"/>
      <x:c r="R93" s="49"/>
      <x:c r="S93" s="49"/>
      <x:c r="T93" s="49"/>
      <x:c r="U93" s="49"/>
      <x:c r="V93" s="49"/>
      <x:c r="W93" s="49"/>
      <x:c r="X93" s="49"/>
      <x:c r="Y93" s="49"/>
      <x:c r="Z93" s="49"/>
      <x:c r="AA93" s="49"/>
      <x:c r="AB93" s="49"/>
      <x:c r="AC93" s="49"/>
      <x:c r="AD93" s="49"/>
      <x:c r="AE93" s="49"/>
      <x:c r="AF93" s="49"/>
      <x:c r="AG93" s="49"/>
      <x:c r="AH93" s="49"/>
      <x:c r="AI93" s="49"/>
      <x:c r="AJ93" s="49"/>
      <x:c r="AK93" s="49"/>
      <x:c r="AL93" s="49"/>
      <x:c r="AM93" s="49"/>
      <x:c r="AN93" s="49"/>
      <x:c r="AO93" s="49"/>
      <x:c r="AP93" s="49"/>
      <x:c r="AQ93" s="49"/>
      <x:c r="AR93" s="49"/>
      <x:c r="AS93" s="49"/>
      <x:c r="AT93" s="49"/>
      <x:c r="AU93" s="49"/>
      <x:c r="AV93" s="49"/>
      <x:c r="AW93" s="49"/>
      <x:c r="AX93" s="49"/>
      <x:c r="AY93" s="49"/>
      <x:c r="AZ93" s="49"/>
    </x:row>
    <x:row r="94">
      <x:c r="A94" s="49"/>
      <x:c r="B94" s="49"/>
      <x:c r="C94" s="49"/>
      <x:c r="D94" s="49"/>
      <x:c r="E94" s="49"/>
      <x:c r="F94" s="49"/>
      <x:c r="G94" s="49"/>
      <x:c r="H94" s="49"/>
      <x:c r="I94" s="49"/>
      <x:c r="J94" s="49"/>
      <x:c r="K94" s="49"/>
      <x:c r="L94" s="49"/>
      <x:c r="M94" s="49"/>
      <x:c r="N94" s="49"/>
      <x:c r="O94" s="49"/>
      <x:c r="P94" s="49"/>
      <x:c r="Q94" s="49"/>
      <x:c r="R94" s="49"/>
      <x:c r="S94" s="49"/>
      <x:c r="T94" s="49"/>
      <x:c r="U94" s="49"/>
      <x:c r="V94" s="49"/>
      <x:c r="W94" s="49"/>
      <x:c r="X94" s="49"/>
      <x:c r="Y94" s="49"/>
      <x:c r="Z94" s="49"/>
      <x:c r="AA94" s="49"/>
      <x:c r="AB94" s="49"/>
      <x:c r="AC94" s="49"/>
      <x:c r="AD94" s="49"/>
      <x:c r="AE94" s="49"/>
      <x:c r="AF94" s="49"/>
      <x:c r="AG94" s="49"/>
      <x:c r="AH94" s="49"/>
      <x:c r="AI94" s="49"/>
      <x:c r="AJ94" s="49"/>
      <x:c r="AK94" s="49"/>
      <x:c r="AL94" s="49"/>
      <x:c r="AM94" s="49"/>
      <x:c r="AN94" s="49"/>
      <x:c r="AO94" s="49"/>
      <x:c r="AP94" s="49"/>
      <x:c r="AQ94" s="49"/>
      <x:c r="AR94" s="49"/>
      <x:c r="AS94" s="49"/>
      <x:c r="AT94" s="49"/>
      <x:c r="AU94" s="49"/>
      <x:c r="AV94" s="49"/>
      <x:c r="AW94" s="49"/>
      <x:c r="AX94" s="49"/>
      <x:c r="AY94" s="49"/>
      <x:c r="AZ94" s="49"/>
    </x:row>
    <x:row r="95">
      <x:c r="A95" s="49"/>
      <x:c r="B95" s="49"/>
      <x:c r="C95" s="49"/>
      <x:c r="D95" s="49"/>
      <x:c r="E95" s="49"/>
      <x:c r="F95" s="49"/>
      <x:c r="G95" s="49"/>
      <x:c r="H95" s="49"/>
      <x:c r="I95" s="49"/>
      <x:c r="J95" s="49"/>
      <x:c r="K95" s="49"/>
      <x:c r="L95" s="49"/>
      <x:c r="M95" s="49"/>
      <x:c r="N95" s="49"/>
      <x:c r="O95" s="49"/>
      <x:c r="P95" s="49"/>
      <x:c r="Q95" s="49"/>
      <x:c r="R95" s="49"/>
      <x:c r="S95" s="49"/>
      <x:c r="T95" s="49"/>
      <x:c r="U95" s="49"/>
      <x:c r="V95" s="49"/>
      <x:c r="W95" s="49"/>
      <x:c r="X95" s="49"/>
      <x:c r="Y95" s="49"/>
      <x:c r="Z95" s="49"/>
      <x:c r="AA95" s="49"/>
      <x:c r="AB95" s="49"/>
      <x:c r="AC95" s="49"/>
      <x:c r="AD95" s="49"/>
      <x:c r="AE95" s="49"/>
      <x:c r="AF95" s="49"/>
      <x:c r="AG95" s="49"/>
      <x:c r="AH95" s="49"/>
      <x:c r="AI95" s="49"/>
      <x:c r="AJ95" s="49"/>
      <x:c r="AK95" s="49"/>
      <x:c r="AL95" s="49"/>
      <x:c r="AM95" s="49"/>
      <x:c r="AN95" s="49"/>
      <x:c r="AO95" s="49"/>
      <x:c r="AP95" s="49"/>
      <x:c r="AQ95" s="49"/>
      <x:c r="AR95" s="49"/>
      <x:c r="AS95" s="49"/>
      <x:c r="AT95" s="49"/>
      <x:c r="AU95" s="49"/>
      <x:c r="AV95" s="49"/>
      <x:c r="AW95" s="49"/>
      <x:c r="AX95" s="49"/>
      <x:c r="AY95" s="49"/>
      <x:c r="AZ95" s="49"/>
    </x:row>
    <x:row r="96">
      <x:c r="A96" s="49"/>
      <x:c r="B96" s="49"/>
      <x:c r="C96" s="49"/>
      <x:c r="D96" s="49"/>
      <x:c r="E96" s="49"/>
      <x:c r="F96" s="49"/>
      <x:c r="G96" s="49"/>
      <x:c r="H96" s="49"/>
      <x:c r="I96" s="49"/>
      <x:c r="J96" s="49"/>
      <x:c r="K96" s="49"/>
      <x:c r="L96" s="49"/>
      <x:c r="M96" s="49"/>
      <x:c r="N96" s="49"/>
      <x:c r="O96" s="49"/>
      <x:c r="P96" s="49"/>
      <x:c r="Q96" s="49"/>
      <x:c r="R96" s="49"/>
      <x:c r="S96" s="49"/>
      <x:c r="T96" s="49"/>
      <x:c r="U96" s="49"/>
      <x:c r="V96" s="49"/>
      <x:c r="W96" s="49"/>
      <x:c r="X96" s="49"/>
      <x:c r="Y96" s="49"/>
      <x:c r="Z96" s="49"/>
      <x:c r="AA96" s="49"/>
      <x:c r="AB96" s="49"/>
      <x:c r="AC96" s="49"/>
      <x:c r="AD96" s="49"/>
      <x:c r="AE96" s="49"/>
      <x:c r="AF96" s="49"/>
      <x:c r="AG96" s="49"/>
      <x:c r="AH96" s="49"/>
      <x:c r="AI96" s="49"/>
      <x:c r="AJ96" s="49"/>
      <x:c r="AK96" s="49"/>
      <x:c r="AL96" s="49"/>
      <x:c r="AM96" s="49"/>
      <x:c r="AN96" s="49"/>
      <x:c r="AO96" s="49"/>
      <x:c r="AP96" s="49"/>
      <x:c r="AQ96" s="49"/>
      <x:c r="AR96" s="49"/>
      <x:c r="AS96" s="49"/>
      <x:c r="AT96" s="49"/>
      <x:c r="AU96" s="49"/>
      <x:c r="AV96" s="49"/>
      <x:c r="AW96" s="49"/>
      <x:c r="AX96" s="49"/>
      <x:c r="AY96" s="49"/>
      <x:c r="AZ96" s="49"/>
    </x:row>
    <x:row r="97">
      <x:c r="A97" s="49"/>
      <x:c r="B97" s="49"/>
      <x:c r="C97" s="49"/>
      <x:c r="D97" s="49"/>
      <x:c r="E97" s="49"/>
      <x:c r="F97" s="49"/>
      <x:c r="G97" s="49"/>
      <x:c r="H97" s="49"/>
      <x:c r="I97" s="49"/>
      <x:c r="J97" s="49"/>
      <x:c r="K97" s="49"/>
      <x:c r="L97" s="49"/>
      <x:c r="M97" s="49"/>
      <x:c r="N97" s="49"/>
      <x:c r="O97" s="49"/>
      <x:c r="P97" s="49"/>
      <x:c r="Q97" s="49"/>
      <x:c r="R97" s="49"/>
      <x:c r="S97" s="49"/>
      <x:c r="T97" s="49"/>
      <x:c r="U97" s="49"/>
      <x:c r="V97" s="49"/>
      <x:c r="W97" s="49"/>
      <x:c r="X97" s="49"/>
      <x:c r="Y97" s="49"/>
      <x:c r="Z97" s="49"/>
      <x:c r="AA97" s="49"/>
      <x:c r="AB97" s="49"/>
      <x:c r="AC97" s="49"/>
      <x:c r="AD97" s="49"/>
      <x:c r="AE97" s="49"/>
      <x:c r="AF97" s="49"/>
      <x:c r="AG97" s="49"/>
      <x:c r="AH97" s="49"/>
      <x:c r="AI97" s="49"/>
      <x:c r="AJ97" s="49"/>
      <x:c r="AK97" s="49"/>
      <x:c r="AL97" s="49"/>
      <x:c r="AM97" s="49"/>
      <x:c r="AN97" s="49"/>
      <x:c r="AO97" s="49"/>
      <x:c r="AP97" s="49"/>
      <x:c r="AQ97" s="49"/>
      <x:c r="AR97" s="49"/>
      <x:c r="AS97" s="49"/>
      <x:c r="AT97" s="49"/>
      <x:c r="AU97" s="49"/>
      <x:c r="AV97" s="49"/>
      <x:c r="AW97" s="49"/>
      <x:c r="AX97" s="49"/>
      <x:c r="AY97" s="49"/>
      <x:c r="AZ97" s="49"/>
    </x:row>
    <x:row r="98">
      <x:c r="A98" s="49"/>
      <x:c r="B98" s="49"/>
      <x:c r="C98" s="49"/>
      <x:c r="D98" s="49"/>
      <x:c r="E98" s="49"/>
      <x:c r="F98" s="49"/>
      <x:c r="G98" s="49"/>
      <x:c r="H98" s="49"/>
      <x:c r="I98" s="49"/>
      <x:c r="J98" s="49"/>
      <x:c r="K98" s="49"/>
      <x:c r="L98" s="49"/>
      <x:c r="M98" s="49"/>
      <x:c r="N98" s="49"/>
      <x:c r="O98" s="49"/>
      <x:c r="P98" s="49"/>
      <x:c r="Q98" s="49"/>
      <x:c r="R98" s="49"/>
      <x:c r="S98" s="49"/>
      <x:c r="T98" s="49"/>
      <x:c r="U98" s="49"/>
      <x:c r="V98" s="49"/>
      <x:c r="W98" s="49"/>
      <x:c r="X98" s="49"/>
      <x:c r="Y98" s="49"/>
      <x:c r="Z98" s="49"/>
      <x:c r="AA98" s="49"/>
      <x:c r="AB98" s="49"/>
      <x:c r="AC98" s="49"/>
      <x:c r="AD98" s="49"/>
      <x:c r="AE98" s="49"/>
      <x:c r="AF98" s="49"/>
      <x:c r="AG98" s="49"/>
      <x:c r="AH98" s="49"/>
      <x:c r="AI98" s="49"/>
      <x:c r="AJ98" s="49"/>
      <x:c r="AK98" s="49"/>
      <x:c r="AL98" s="49"/>
      <x:c r="AM98" s="49"/>
      <x:c r="AN98" s="49"/>
      <x:c r="AO98" s="49"/>
      <x:c r="AP98" s="49"/>
      <x:c r="AQ98" s="49"/>
      <x:c r="AR98" s="49"/>
      <x:c r="AS98" s="49"/>
      <x:c r="AT98" s="49"/>
      <x:c r="AU98" s="49"/>
      <x:c r="AV98" s="49"/>
      <x:c r="AW98" s="49"/>
      <x:c r="AX98" s="49"/>
      <x:c r="AY98" s="49"/>
      <x:c r="AZ98" s="49"/>
    </x:row>
    <x:row r="99">
      <x:c r="A99" s="49"/>
      <x:c r="B99" s="49"/>
      <x:c r="C99" s="49"/>
      <x:c r="D99" s="49"/>
      <x:c r="E99" s="49"/>
      <x:c r="F99" s="49"/>
      <x:c r="G99" s="49"/>
      <x:c r="H99" s="49"/>
      <x:c r="I99" s="49"/>
      <x:c r="J99" s="49"/>
      <x:c r="K99" s="49"/>
      <x:c r="L99" s="49"/>
      <x:c r="M99" s="49"/>
      <x:c r="N99" s="49"/>
      <x:c r="O99" s="49"/>
      <x:c r="P99" s="49"/>
      <x:c r="Q99" s="49"/>
      <x:c r="R99" s="49"/>
      <x:c r="S99" s="49"/>
      <x:c r="T99" s="49"/>
      <x:c r="U99" s="49"/>
      <x:c r="V99" s="49"/>
      <x:c r="W99" s="49"/>
      <x:c r="X99" s="49"/>
      <x:c r="Y99" s="49"/>
      <x:c r="Z99" s="49"/>
      <x:c r="AA99" s="49"/>
      <x:c r="AB99" s="49"/>
      <x:c r="AC99" s="49"/>
      <x:c r="AD99" s="49"/>
      <x:c r="AE99" s="49"/>
      <x:c r="AF99" s="49"/>
      <x:c r="AG99" s="49"/>
      <x:c r="AH99" s="49"/>
      <x:c r="AI99" s="49"/>
      <x:c r="AJ99" s="49"/>
      <x:c r="AK99" s="49"/>
      <x:c r="AL99" s="49"/>
      <x:c r="AM99" s="49"/>
      <x:c r="AN99" s="49"/>
      <x:c r="AO99" s="49"/>
      <x:c r="AP99" s="49"/>
      <x:c r="AQ99" s="49"/>
      <x:c r="AR99" s="49"/>
      <x:c r="AS99" s="49"/>
      <x:c r="AT99" s="49"/>
      <x:c r="AU99" s="49"/>
      <x:c r="AV99" s="49"/>
      <x:c r="AW99" s="49"/>
      <x:c r="AX99" s="49"/>
      <x:c r="AY99" s="49"/>
      <x:c r="AZ99" s="49"/>
    </x:row>
    <x:row r="100">
      <x:c r="A100" s="49"/>
      <x:c r="B100" s="49"/>
      <x:c r="C100" s="49"/>
      <x:c r="D100" s="49"/>
      <x:c r="E100" s="49"/>
      <x:c r="F100" s="49"/>
      <x:c r="G100" s="49"/>
      <x:c r="H100" s="49"/>
      <x:c r="I100" s="49"/>
      <x:c r="J100" s="49"/>
      <x:c r="K100" s="49"/>
      <x:c r="L100" s="49"/>
      <x:c r="M100" s="49"/>
      <x:c r="N100" s="49"/>
      <x:c r="O100" s="49"/>
      <x:c r="P100" s="49"/>
      <x:c r="Q100" s="49"/>
      <x:c r="R100" s="49"/>
      <x:c r="S100" s="49"/>
      <x:c r="T100" s="49"/>
      <x:c r="U100" s="49"/>
      <x:c r="V100" s="49"/>
      <x:c r="W100" s="49"/>
      <x:c r="X100" s="49"/>
      <x:c r="Y100" s="49"/>
      <x:c r="Z100" s="49"/>
      <x:c r="AA100" s="49"/>
      <x:c r="AB100" s="49"/>
      <x:c r="AC100" s="49"/>
      <x:c r="AD100" s="49"/>
      <x:c r="AE100" s="49"/>
      <x:c r="AF100" s="49"/>
      <x:c r="AG100" s="49"/>
      <x:c r="AH100" s="49"/>
      <x:c r="AI100" s="49"/>
      <x:c r="AJ100" s="49"/>
      <x:c r="AK100" s="49"/>
      <x:c r="AL100" s="49"/>
      <x:c r="AM100" s="49"/>
      <x:c r="AN100" s="49"/>
      <x:c r="AO100" s="49"/>
      <x:c r="AP100" s="49"/>
      <x:c r="AQ100" s="49"/>
      <x:c r="AR100" s="49"/>
      <x:c r="AS100" s="49"/>
      <x:c r="AT100" s="49"/>
      <x:c r="AU100" s="49"/>
      <x:c r="AV100" s="49"/>
      <x:c r="AW100" s="49"/>
      <x:c r="AX100" s="49"/>
      <x:c r="AY100" s="49"/>
      <x:c r="AZ100" s="49"/>
    </x:row>
    <x:row r="101">
      <x:c r="A101" s="49"/>
      <x:c r="B101" s="49"/>
      <x:c r="C101" s="49"/>
      <x:c r="D101" s="49"/>
      <x:c r="E101" s="49"/>
      <x:c r="F101" s="49"/>
      <x:c r="G101" s="49"/>
      <x:c r="H101" s="49"/>
      <x:c r="I101" s="49"/>
      <x:c r="J101" s="49"/>
      <x:c r="K101" s="49"/>
      <x:c r="L101" s="49"/>
      <x:c r="M101" s="49"/>
      <x:c r="N101" s="49"/>
      <x:c r="O101" s="49"/>
      <x:c r="P101" s="49"/>
      <x:c r="Q101" s="49"/>
      <x:c r="R101" s="49"/>
      <x:c r="S101" s="49"/>
      <x:c r="T101" s="49"/>
      <x:c r="U101" s="49"/>
      <x:c r="V101" s="49"/>
      <x:c r="W101" s="49"/>
      <x:c r="X101" s="49"/>
      <x:c r="Y101" s="49"/>
      <x:c r="Z101" s="49"/>
      <x:c r="AA101" s="49"/>
      <x:c r="AB101" s="49"/>
      <x:c r="AC101" s="49"/>
      <x:c r="AD101" s="49"/>
      <x:c r="AE101" s="49"/>
      <x:c r="AF101" s="49"/>
      <x:c r="AG101" s="49"/>
      <x:c r="AH101" s="49"/>
      <x:c r="AI101" s="49"/>
      <x:c r="AJ101" s="49"/>
      <x:c r="AK101" s="49"/>
      <x:c r="AL101" s="49"/>
      <x:c r="AM101" s="49"/>
      <x:c r="AN101" s="49"/>
      <x:c r="AO101" s="49"/>
      <x:c r="AP101" s="49"/>
      <x:c r="AQ101" s="49"/>
      <x:c r="AR101" s="49"/>
      <x:c r="AS101" s="49"/>
      <x:c r="AT101" s="49"/>
      <x:c r="AU101" s="49"/>
      <x:c r="AV101" s="49"/>
      <x:c r="AW101" s="49"/>
      <x:c r="AX101" s="49"/>
      <x:c r="AY101" s="49"/>
      <x:c r="AZ101" s="49"/>
    </x:row>
    <x:row r="102">
      <x:c r="A102" s="49"/>
      <x:c r="B102" s="49"/>
      <x:c r="C102" s="49"/>
      <x:c r="D102" s="49"/>
      <x:c r="E102" s="49"/>
      <x:c r="F102" s="49"/>
      <x:c r="G102" s="49"/>
      <x:c r="H102" s="49"/>
      <x:c r="I102" s="49"/>
      <x:c r="J102" s="49"/>
      <x:c r="K102" s="49"/>
      <x:c r="L102" s="49"/>
      <x:c r="M102" s="49"/>
      <x:c r="N102" s="49"/>
      <x:c r="O102" s="49"/>
      <x:c r="P102" s="49"/>
      <x:c r="Q102" s="49"/>
      <x:c r="R102" s="49"/>
      <x:c r="S102" s="49"/>
      <x:c r="T102" s="49"/>
      <x:c r="U102" s="49"/>
      <x:c r="V102" s="49"/>
      <x:c r="W102" s="49"/>
      <x:c r="X102" s="49"/>
      <x:c r="Y102" s="49"/>
      <x:c r="Z102" s="49"/>
      <x:c r="AA102" s="49"/>
      <x:c r="AB102" s="49"/>
      <x:c r="AC102" s="49"/>
      <x:c r="AD102" s="49"/>
      <x:c r="AE102" s="49"/>
      <x:c r="AF102" s="49"/>
      <x:c r="AG102" s="49"/>
      <x:c r="AH102" s="49"/>
      <x:c r="AI102" s="49"/>
      <x:c r="AJ102" s="49"/>
      <x:c r="AK102" s="49"/>
      <x:c r="AL102" s="49"/>
      <x:c r="AM102" s="49"/>
      <x:c r="AN102" s="49"/>
      <x:c r="AO102" s="49"/>
      <x:c r="AP102" s="49"/>
      <x:c r="AQ102" s="49"/>
      <x:c r="AR102" s="49"/>
      <x:c r="AS102" s="49"/>
      <x:c r="AT102" s="49"/>
      <x:c r="AU102" s="49"/>
      <x:c r="AV102" s="49"/>
      <x:c r="AW102" s="49"/>
      <x:c r="AX102" s="49"/>
      <x:c r="AY102" s="49"/>
      <x:c r="AZ102" s="49"/>
    </x:row>
    <x:row r="103">
      <x:c r="A103" s="49"/>
      <x:c r="B103" s="49"/>
      <x:c r="C103" s="49"/>
      <x:c r="D103" s="49"/>
      <x:c r="E103" s="49"/>
      <x:c r="F103" s="49"/>
      <x:c r="G103" s="49"/>
      <x:c r="H103" s="49"/>
      <x:c r="I103" s="49"/>
      <x:c r="J103" s="49"/>
      <x:c r="K103" s="49"/>
      <x:c r="L103" s="49"/>
      <x:c r="M103" s="49"/>
      <x:c r="N103" s="49"/>
      <x:c r="O103" s="49"/>
      <x:c r="P103" s="49"/>
      <x:c r="Q103" s="49"/>
      <x:c r="R103" s="49"/>
      <x:c r="S103" s="49"/>
      <x:c r="T103" s="49"/>
      <x:c r="U103" s="49"/>
      <x:c r="V103" s="49"/>
      <x:c r="W103" s="49"/>
      <x:c r="X103" s="49"/>
      <x:c r="Y103" s="49"/>
      <x:c r="Z103" s="49"/>
      <x:c r="AA103" s="49"/>
      <x:c r="AB103" s="49"/>
      <x:c r="AC103" s="49"/>
      <x:c r="AD103" s="49"/>
      <x:c r="AE103" s="49"/>
      <x:c r="AF103" s="49"/>
      <x:c r="AG103" s="49"/>
      <x:c r="AH103" s="49"/>
      <x:c r="AI103" s="49"/>
      <x:c r="AJ103" s="49"/>
      <x:c r="AK103" s="49"/>
      <x:c r="AL103" s="49"/>
      <x:c r="AM103" s="49"/>
      <x:c r="AN103" s="49"/>
      <x:c r="AO103" s="49"/>
      <x:c r="AP103" s="49"/>
      <x:c r="AQ103" s="49"/>
      <x:c r="AR103" s="49"/>
      <x:c r="AS103" s="49"/>
      <x:c r="AT103" s="49"/>
      <x:c r="AU103" s="49"/>
      <x:c r="AV103" s="49"/>
      <x:c r="AW103" s="49"/>
      <x:c r="AX103" s="49"/>
      <x:c r="AY103" s="49"/>
      <x:c r="AZ103" s="49"/>
    </x:row>
    <x:row r="104">
      <x:c r="A104" s="49"/>
      <x:c r="B104" s="49"/>
      <x:c r="C104" s="49"/>
      <x:c r="D104" s="49"/>
      <x:c r="E104" s="49"/>
      <x:c r="F104" s="49"/>
      <x:c r="G104" s="49"/>
      <x:c r="H104" s="49"/>
      <x:c r="I104" s="49"/>
      <x:c r="J104" s="49"/>
      <x:c r="K104" s="49"/>
      <x:c r="L104" s="49"/>
      <x:c r="M104" s="49"/>
      <x:c r="N104" s="49"/>
      <x:c r="O104" s="49"/>
      <x:c r="P104" s="49"/>
      <x:c r="Q104" s="49"/>
      <x:c r="R104" s="49"/>
      <x:c r="S104" s="49"/>
      <x:c r="T104" s="49"/>
      <x:c r="U104" s="49"/>
      <x:c r="V104" s="49"/>
      <x:c r="W104" s="49"/>
      <x:c r="X104" s="49"/>
      <x:c r="Y104" s="49"/>
      <x:c r="Z104" s="49"/>
      <x:c r="AA104" s="49"/>
      <x:c r="AB104" s="49"/>
      <x:c r="AC104" s="49"/>
      <x:c r="AD104" s="49"/>
      <x:c r="AE104" s="49"/>
      <x:c r="AF104" s="49"/>
      <x:c r="AG104" s="49"/>
      <x:c r="AH104" s="49"/>
      <x:c r="AI104" s="49"/>
      <x:c r="AJ104" s="49"/>
      <x:c r="AK104" s="49"/>
      <x:c r="AL104" s="49"/>
      <x:c r="AM104" s="49"/>
      <x:c r="AN104" s="49"/>
      <x:c r="AO104" s="49"/>
      <x:c r="AP104" s="49"/>
      <x:c r="AQ104" s="49"/>
      <x:c r="AR104" s="49"/>
      <x:c r="AS104" s="49"/>
      <x:c r="AT104" s="49"/>
      <x:c r="AU104" s="49"/>
      <x:c r="AV104" s="49"/>
      <x:c r="AW104" s="49"/>
      <x:c r="AX104" s="49"/>
      <x:c r="AY104" s="49"/>
      <x:c r="AZ104" s="49"/>
    </x:row>
    <x:row r="105">
      <x:c r="A105" s="49"/>
      <x:c r="B105" s="49"/>
      <x:c r="C105" s="49"/>
      <x:c r="D105" s="49"/>
      <x:c r="E105" s="49"/>
      <x:c r="F105" s="49"/>
      <x:c r="G105" s="49"/>
      <x:c r="H105" s="49"/>
      <x:c r="I105" s="49"/>
      <x:c r="J105" s="49"/>
      <x:c r="K105" s="49"/>
      <x:c r="L105" s="49"/>
      <x:c r="M105" s="49"/>
      <x:c r="N105" s="49"/>
      <x:c r="O105" s="49"/>
      <x:c r="P105" s="49"/>
      <x:c r="Q105" s="49"/>
      <x:c r="R105" s="49"/>
      <x:c r="S105" s="49"/>
      <x:c r="T105" s="49"/>
      <x:c r="U105" s="49"/>
      <x:c r="V105" s="49"/>
      <x:c r="W105" s="49"/>
      <x:c r="X105" s="49"/>
      <x:c r="Y105" s="49"/>
      <x:c r="Z105" s="49"/>
      <x:c r="AA105" s="49"/>
      <x:c r="AB105" s="49"/>
      <x:c r="AC105" s="49"/>
      <x:c r="AD105" s="49"/>
      <x:c r="AE105" s="49"/>
      <x:c r="AF105" s="49"/>
      <x:c r="AG105" s="49"/>
      <x:c r="AH105" s="49"/>
      <x:c r="AI105" s="49"/>
      <x:c r="AJ105" s="49"/>
      <x:c r="AK105" s="49"/>
      <x:c r="AL105" s="49"/>
      <x:c r="AM105" s="49"/>
      <x:c r="AN105" s="49"/>
      <x:c r="AO105" s="49"/>
      <x:c r="AP105" s="49"/>
      <x:c r="AQ105" s="49"/>
      <x:c r="AR105" s="49"/>
      <x:c r="AS105" s="49"/>
      <x:c r="AT105" s="49"/>
      <x:c r="AU105" s="49"/>
      <x:c r="AV105" s="49"/>
      <x:c r="AW105" s="49"/>
      <x:c r="AX105" s="49"/>
      <x:c r="AY105" s="49"/>
      <x:c r="AZ105" s="49"/>
    </x:row>
    <x:row r="106">
      <x:c r="A106" s="49"/>
      <x:c r="B106" s="49"/>
      <x:c r="C106" s="49"/>
      <x:c r="D106" s="49"/>
      <x:c r="E106" s="49"/>
      <x:c r="F106" s="49"/>
      <x:c r="G106" s="49"/>
      <x:c r="H106" s="49"/>
      <x:c r="I106" s="49"/>
      <x:c r="J106" s="49"/>
      <x:c r="K106" s="49"/>
      <x:c r="L106" s="49"/>
      <x:c r="M106" s="49"/>
      <x:c r="N106" s="49"/>
      <x:c r="O106" s="49"/>
      <x:c r="P106" s="49"/>
      <x:c r="Q106" s="49"/>
      <x:c r="R106" s="49"/>
      <x:c r="S106" s="49"/>
      <x:c r="T106" s="49"/>
      <x:c r="U106" s="49"/>
      <x:c r="V106" s="49"/>
      <x:c r="W106" s="49"/>
      <x:c r="X106" s="49"/>
      <x:c r="Y106" s="49"/>
      <x:c r="Z106" s="49"/>
      <x:c r="AA106" s="49"/>
      <x:c r="AB106" s="49"/>
      <x:c r="AC106" s="49"/>
      <x:c r="AD106" s="49"/>
      <x:c r="AE106" s="49"/>
      <x:c r="AF106" s="49"/>
      <x:c r="AG106" s="49"/>
      <x:c r="AH106" s="49"/>
      <x:c r="AI106" s="49"/>
      <x:c r="AJ106" s="49"/>
      <x:c r="AK106" s="49"/>
      <x:c r="AL106" s="49"/>
      <x:c r="AM106" s="49"/>
      <x:c r="AN106" s="49"/>
      <x:c r="AO106" s="49"/>
      <x:c r="AP106" s="49"/>
      <x:c r="AQ106" s="49"/>
      <x:c r="AR106" s="49"/>
      <x:c r="AS106" s="49"/>
      <x:c r="AT106" s="49"/>
      <x:c r="AU106" s="49"/>
      <x:c r="AV106" s="49"/>
      <x:c r="AW106" s="49"/>
      <x:c r="AX106" s="49"/>
      <x:c r="AY106" s="49"/>
      <x:c r="AZ106" s="49"/>
    </x:row>
    <x:row r="107">
      <x:c r="A107" s="49"/>
      <x:c r="B107" s="49"/>
      <x:c r="C107" s="49"/>
      <x:c r="D107" s="49"/>
      <x:c r="E107" s="49"/>
      <x:c r="F107" s="49"/>
      <x:c r="G107" s="49"/>
      <x:c r="H107" s="49"/>
      <x:c r="I107" s="49"/>
      <x:c r="J107" s="49"/>
      <x:c r="K107" s="49"/>
      <x:c r="L107" s="49"/>
      <x:c r="M107" s="49"/>
      <x:c r="N107" s="49"/>
      <x:c r="O107" s="49"/>
      <x:c r="P107" s="49"/>
      <x:c r="Q107" s="49"/>
      <x:c r="R107" s="49"/>
      <x:c r="S107" s="49"/>
      <x:c r="T107" s="49"/>
      <x:c r="U107" s="49"/>
      <x:c r="V107" s="49"/>
      <x:c r="W107" s="49"/>
      <x:c r="X107" s="49"/>
      <x:c r="Y107" s="49"/>
      <x:c r="Z107" s="49"/>
      <x:c r="AA107" s="49"/>
      <x:c r="AB107" s="49"/>
      <x:c r="AC107" s="49"/>
      <x:c r="AD107" s="49"/>
      <x:c r="AE107" s="49"/>
      <x:c r="AF107" s="49"/>
      <x:c r="AG107" s="49"/>
      <x:c r="AH107" s="49"/>
      <x:c r="AI107" s="49"/>
      <x:c r="AJ107" s="49"/>
      <x:c r="AK107" s="49"/>
      <x:c r="AL107" s="49"/>
      <x:c r="AM107" s="49"/>
      <x:c r="AN107" s="49"/>
      <x:c r="AO107" s="49"/>
      <x:c r="AP107" s="49"/>
      <x:c r="AQ107" s="49"/>
      <x:c r="AR107" s="49"/>
      <x:c r="AS107" s="49"/>
      <x:c r="AT107" s="49"/>
      <x:c r="AU107" s="49"/>
      <x:c r="AV107" s="49"/>
      <x:c r="AW107" s="49"/>
      <x:c r="AX107" s="49"/>
      <x:c r="AY107" s="49"/>
      <x:c r="AZ107" s="49"/>
    </x:row>
    <x:row r="108">
      <x:c r="A108" s="49"/>
      <x:c r="B108" s="49"/>
      <x:c r="C108" s="49"/>
      <x:c r="D108" s="49"/>
      <x:c r="E108" s="49"/>
      <x:c r="F108" s="49"/>
      <x:c r="G108" s="49"/>
      <x:c r="H108" s="49"/>
      <x:c r="I108" s="49"/>
      <x:c r="J108" s="49"/>
      <x:c r="K108" s="49"/>
      <x:c r="L108" s="49"/>
      <x:c r="M108" s="49"/>
      <x:c r="N108" s="49"/>
      <x:c r="O108" s="49"/>
      <x:c r="P108" s="49"/>
      <x:c r="Q108" s="49"/>
      <x:c r="R108" s="49"/>
      <x:c r="S108" s="49"/>
      <x:c r="T108" s="49"/>
      <x:c r="U108" s="49"/>
      <x:c r="V108" s="49"/>
      <x:c r="W108" s="49"/>
      <x:c r="X108" s="49"/>
      <x:c r="Y108" s="49"/>
      <x:c r="Z108" s="49"/>
      <x:c r="AA108" s="49"/>
      <x:c r="AB108" s="49"/>
      <x:c r="AC108" s="49"/>
      <x:c r="AD108" s="49"/>
      <x:c r="AE108" s="49"/>
      <x:c r="AF108" s="49"/>
      <x:c r="AG108" s="49"/>
      <x:c r="AH108" s="49"/>
      <x:c r="AI108" s="49"/>
      <x:c r="AJ108" s="49"/>
      <x:c r="AK108" s="49"/>
      <x:c r="AL108" s="49"/>
      <x:c r="AM108" s="49"/>
      <x:c r="AN108" s="49"/>
      <x:c r="AO108" s="49"/>
      <x:c r="AP108" s="49"/>
      <x:c r="AQ108" s="49"/>
      <x:c r="AR108" s="49"/>
      <x:c r="AS108" s="49"/>
      <x:c r="AT108" s="49"/>
      <x:c r="AU108" s="49"/>
      <x:c r="AV108" s="49"/>
      <x:c r="AW108" s="49"/>
      <x:c r="AX108" s="49"/>
      <x:c r="AY108" s="49"/>
      <x:c r="AZ108" s="49"/>
    </x:row>
    <x:row r="109">
      <x:c r="A109" s="49"/>
      <x:c r="B109" s="49"/>
      <x:c r="C109" s="49"/>
      <x:c r="D109" s="49"/>
      <x:c r="E109" s="49"/>
      <x:c r="F109" s="49"/>
      <x:c r="G109" s="49"/>
      <x:c r="H109" s="49"/>
      <x:c r="I109" s="49"/>
      <x:c r="J109" s="49"/>
      <x:c r="K109" s="49"/>
      <x:c r="L109" s="49"/>
      <x:c r="M109" s="49"/>
      <x:c r="N109" s="49"/>
      <x:c r="O109" s="49"/>
      <x:c r="P109" s="49"/>
      <x:c r="Q109" s="49"/>
      <x:c r="R109" s="49"/>
      <x:c r="S109" s="49"/>
      <x:c r="T109" s="49"/>
      <x:c r="U109" s="49"/>
      <x:c r="V109" s="49"/>
      <x:c r="W109" s="49"/>
      <x:c r="X109" s="49"/>
      <x:c r="Y109" s="49"/>
      <x:c r="Z109" s="49"/>
      <x:c r="AA109" s="49"/>
      <x:c r="AB109" s="49"/>
      <x:c r="AC109" s="49"/>
      <x:c r="AD109" s="49"/>
      <x:c r="AE109" s="49"/>
      <x:c r="AF109" s="49"/>
      <x:c r="AG109" s="49"/>
      <x:c r="AH109" s="49"/>
      <x:c r="AI109" s="49"/>
      <x:c r="AJ109" s="49"/>
      <x:c r="AK109" s="49"/>
      <x:c r="AL109" s="49"/>
      <x:c r="AM109" s="49"/>
      <x:c r="AN109" s="49"/>
      <x:c r="AO109" s="49"/>
      <x:c r="AP109" s="49"/>
      <x:c r="AQ109" s="49"/>
      <x:c r="AR109" s="49"/>
      <x:c r="AS109" s="49"/>
      <x:c r="AT109" s="49"/>
      <x:c r="AU109" s="49"/>
      <x:c r="AV109" s="49"/>
      <x:c r="AW109" s="49"/>
      <x:c r="AX109" s="49"/>
      <x:c r="AY109" s="49"/>
      <x:c r="AZ109" s="49"/>
    </x:row>
    <x:row r="110">
      <x:c r="A110" s="49"/>
      <x:c r="B110" s="49"/>
      <x:c r="C110" s="49"/>
      <x:c r="D110" s="49"/>
      <x:c r="E110" s="49"/>
      <x:c r="F110" s="49"/>
      <x:c r="G110" s="49"/>
      <x:c r="H110" s="49"/>
      <x:c r="I110" s="49"/>
      <x:c r="J110" s="49"/>
      <x:c r="K110" s="49"/>
      <x:c r="L110" s="49"/>
      <x:c r="M110" s="49"/>
      <x:c r="N110" s="49"/>
      <x:c r="O110" s="49"/>
      <x:c r="P110" s="49"/>
      <x:c r="Q110" s="49"/>
      <x:c r="R110" s="49"/>
      <x:c r="S110" s="49"/>
      <x:c r="T110" s="49"/>
      <x:c r="U110" s="49"/>
      <x:c r="V110" s="49"/>
      <x:c r="W110" s="49"/>
      <x:c r="X110" s="49"/>
      <x:c r="Y110" s="49"/>
      <x:c r="Z110" s="49"/>
      <x:c r="AA110" s="49"/>
      <x:c r="AB110" s="49"/>
      <x:c r="AC110" s="49"/>
      <x:c r="AD110" s="49"/>
      <x:c r="AE110" s="49"/>
      <x:c r="AF110" s="49"/>
      <x:c r="AG110" s="49"/>
      <x:c r="AH110" s="49"/>
      <x:c r="AI110" s="49"/>
      <x:c r="AJ110" s="49"/>
      <x:c r="AK110" s="49"/>
      <x:c r="AL110" s="49"/>
      <x:c r="AM110" s="49"/>
      <x:c r="AN110" s="49"/>
      <x:c r="AO110" s="49"/>
      <x:c r="AP110" s="49"/>
      <x:c r="AQ110" s="49"/>
      <x:c r="AR110" s="49"/>
      <x:c r="AS110" s="49"/>
      <x:c r="AT110" s="49"/>
      <x:c r="AU110" s="49"/>
      <x:c r="AV110" s="49"/>
      <x:c r="AW110" s="49"/>
      <x:c r="AX110" s="49"/>
      <x:c r="AY110" s="49"/>
      <x:c r="AZ110" s="49"/>
    </x:row>
    <x:row r="111">
      <x:c r="A111" s="49"/>
      <x:c r="B111" s="49"/>
      <x:c r="C111" s="49"/>
      <x:c r="D111" s="49"/>
      <x:c r="E111" s="49"/>
      <x:c r="F111" s="49"/>
      <x:c r="G111" s="49"/>
      <x:c r="H111" s="49"/>
      <x:c r="I111" s="49"/>
      <x:c r="J111" s="49"/>
      <x:c r="K111" s="49"/>
      <x:c r="L111" s="49"/>
      <x:c r="M111" s="49"/>
      <x:c r="N111" s="49"/>
      <x:c r="O111" s="49"/>
      <x:c r="P111" s="49"/>
      <x:c r="Q111" s="49"/>
      <x:c r="R111" s="49"/>
      <x:c r="S111" s="49"/>
      <x:c r="T111" s="49"/>
      <x:c r="U111" s="49"/>
      <x:c r="V111" s="49"/>
      <x:c r="W111" s="49"/>
      <x:c r="X111" s="49"/>
      <x:c r="Y111" s="49"/>
      <x:c r="Z111" s="49"/>
      <x:c r="AA111" s="49"/>
      <x:c r="AB111" s="49"/>
      <x:c r="AC111" s="49"/>
      <x:c r="AD111" s="49"/>
      <x:c r="AE111" s="49"/>
      <x:c r="AF111" s="49"/>
      <x:c r="AG111" s="49"/>
      <x:c r="AH111" s="49"/>
      <x:c r="AI111" s="49"/>
      <x:c r="AJ111" s="49"/>
      <x:c r="AK111" s="49"/>
      <x:c r="AL111" s="49"/>
      <x:c r="AM111" s="49"/>
      <x:c r="AN111" s="49"/>
      <x:c r="AO111" s="49"/>
      <x:c r="AP111" s="49"/>
      <x:c r="AQ111" s="49"/>
      <x:c r="AR111" s="49"/>
      <x:c r="AS111" s="49"/>
      <x:c r="AT111" s="49"/>
      <x:c r="AU111" s="49"/>
      <x:c r="AV111" s="49"/>
      <x:c r="AW111" s="49"/>
      <x:c r="AX111" s="49"/>
      <x:c r="AY111" s="49"/>
      <x:c r="AZ111" s="49"/>
    </x:row>
    <x:row r="112">
      <x:c r="A112" s="49"/>
      <x:c r="B112" s="49"/>
      <x:c r="C112" s="49"/>
      <x:c r="D112" s="49"/>
      <x:c r="E112" s="49"/>
      <x:c r="F112" s="49"/>
      <x:c r="G112" s="49"/>
      <x:c r="H112" s="49"/>
      <x:c r="I112" s="49"/>
      <x:c r="J112" s="49"/>
      <x:c r="K112" s="49"/>
      <x:c r="L112" s="49"/>
      <x:c r="M112" s="49"/>
      <x:c r="N112" s="49"/>
      <x:c r="O112" s="49"/>
      <x:c r="P112" s="49"/>
      <x:c r="Q112" s="49"/>
      <x:c r="R112" s="49"/>
      <x:c r="S112" s="49"/>
      <x:c r="T112" s="49"/>
      <x:c r="U112" s="49"/>
      <x:c r="V112" s="49"/>
      <x:c r="W112" s="49"/>
      <x:c r="X112" s="49"/>
      <x:c r="Y112" s="49"/>
      <x:c r="Z112" s="49"/>
      <x:c r="AA112" s="49"/>
      <x:c r="AB112" s="49"/>
      <x:c r="AC112" s="49"/>
      <x:c r="AD112" s="49"/>
      <x:c r="AE112" s="49"/>
      <x:c r="AF112" s="49"/>
      <x:c r="AG112" s="49"/>
      <x:c r="AH112" s="49"/>
      <x:c r="AI112" s="49"/>
      <x:c r="AJ112" s="49"/>
      <x:c r="AK112" s="49"/>
      <x:c r="AL112" s="49"/>
      <x:c r="AM112" s="49"/>
      <x:c r="AN112" s="49"/>
      <x:c r="AO112" s="49"/>
      <x:c r="AP112" s="49"/>
      <x:c r="AQ112" s="49"/>
      <x:c r="AR112" s="49"/>
      <x:c r="AS112" s="49"/>
      <x:c r="AT112" s="49"/>
      <x:c r="AU112" s="49"/>
      <x:c r="AV112" s="49"/>
      <x:c r="AW112" s="49"/>
      <x:c r="AX112" s="49"/>
      <x:c r="AY112" s="49"/>
      <x:c r="AZ112" s="49"/>
    </x:row>
    <x:row r="113">
      <x:c r="A113" s="49"/>
      <x:c r="B113" s="49"/>
      <x:c r="C113" s="49"/>
      <x:c r="D113" s="49"/>
      <x:c r="E113" s="49"/>
      <x:c r="F113" s="49"/>
      <x:c r="G113" s="49"/>
      <x:c r="H113" s="49"/>
      <x:c r="I113" s="49"/>
      <x:c r="J113" s="49"/>
      <x:c r="K113" s="49"/>
      <x:c r="L113" s="49"/>
      <x:c r="M113" s="49"/>
      <x:c r="N113" s="49"/>
      <x:c r="O113" s="49"/>
      <x:c r="P113" s="49"/>
      <x:c r="Q113" s="49"/>
      <x:c r="R113" s="49"/>
      <x:c r="S113" s="49"/>
      <x:c r="T113" s="49"/>
      <x:c r="U113" s="49"/>
      <x:c r="V113" s="49"/>
      <x:c r="W113" s="49"/>
      <x:c r="X113" s="49"/>
      <x:c r="Y113" s="49"/>
      <x:c r="Z113" s="49"/>
      <x:c r="AA113" s="49"/>
      <x:c r="AB113" s="49"/>
      <x:c r="AC113" s="49"/>
      <x:c r="AD113" s="49"/>
      <x:c r="AE113" s="49"/>
      <x:c r="AF113" s="49"/>
      <x:c r="AG113" s="49"/>
      <x:c r="AH113" s="49"/>
      <x:c r="AI113" s="49"/>
      <x:c r="AJ113" s="49"/>
      <x:c r="AK113" s="49"/>
      <x:c r="AL113" s="49"/>
      <x:c r="AM113" s="49"/>
      <x:c r="AN113" s="49"/>
      <x:c r="AO113" s="49"/>
      <x:c r="AP113" s="49"/>
      <x:c r="AQ113" s="49"/>
      <x:c r="AR113" s="49"/>
      <x:c r="AS113" s="49"/>
      <x:c r="AT113" s="49"/>
      <x:c r="AU113" s="49"/>
      <x:c r="AV113" s="49"/>
      <x:c r="AW113" s="49"/>
      <x:c r="AX113" s="49"/>
      <x:c r="AY113" s="49"/>
      <x:c r="AZ113" s="49"/>
    </x:row>
    <x:row r="114">
      <x:c r="A114" s="49"/>
      <x:c r="B114" s="49"/>
      <x:c r="C114" s="49"/>
      <x:c r="D114" s="49"/>
      <x:c r="E114" s="49"/>
      <x:c r="F114" s="49"/>
      <x:c r="G114" s="49"/>
      <x:c r="H114" s="49"/>
      <x:c r="I114" s="49"/>
      <x:c r="J114" s="49"/>
      <x:c r="K114" s="49"/>
      <x:c r="L114" s="49"/>
      <x:c r="M114" s="49"/>
      <x:c r="N114" s="49"/>
      <x:c r="O114" s="49"/>
      <x:c r="P114" s="49"/>
      <x:c r="Q114" s="49"/>
      <x:c r="R114" s="49"/>
      <x:c r="S114" s="49"/>
      <x:c r="T114" s="49"/>
      <x:c r="U114" s="49"/>
      <x:c r="V114" s="49"/>
      <x:c r="W114" s="49"/>
      <x:c r="X114" s="49"/>
      <x:c r="Y114" s="49"/>
      <x:c r="Z114" s="49"/>
      <x:c r="AA114" s="49"/>
      <x:c r="AB114" s="49"/>
      <x:c r="AC114" s="49"/>
      <x:c r="AD114" s="49"/>
      <x:c r="AE114" s="49"/>
      <x:c r="AF114" s="49"/>
      <x:c r="AG114" s="49"/>
      <x:c r="AH114" s="49"/>
      <x:c r="AI114" s="49"/>
      <x:c r="AJ114" s="49"/>
      <x:c r="AK114" s="49"/>
      <x:c r="AL114" s="49"/>
      <x:c r="AM114" s="49"/>
      <x:c r="AN114" s="49"/>
      <x:c r="AO114" s="49"/>
      <x:c r="AP114" s="49"/>
      <x:c r="AQ114" s="49"/>
      <x:c r="AR114" s="49"/>
      <x:c r="AS114" s="49"/>
      <x:c r="AT114" s="49"/>
      <x:c r="AU114" s="49"/>
      <x:c r="AV114" s="49"/>
      <x:c r="AW114" s="49"/>
      <x:c r="AX114" s="49"/>
      <x:c r="AY114" s="49"/>
      <x:c r="AZ114" s="49"/>
    </x:row>
    <x:row r="115">
      <x:c r="A115" s="49"/>
      <x:c r="B115" s="49"/>
      <x:c r="C115" s="49"/>
      <x:c r="D115" s="49"/>
      <x:c r="E115" s="49"/>
      <x:c r="F115" s="49"/>
      <x:c r="G115" s="49"/>
      <x:c r="H115" s="49"/>
      <x:c r="I115" s="49"/>
      <x:c r="J115" s="49"/>
      <x:c r="K115" s="49"/>
      <x:c r="L115" s="49"/>
      <x:c r="M115" s="49"/>
      <x:c r="N115" s="49"/>
      <x:c r="O115" s="49"/>
      <x:c r="P115" s="49"/>
      <x:c r="Q115" s="49"/>
      <x:c r="R115" s="49"/>
      <x:c r="S115" s="49"/>
      <x:c r="T115" s="49"/>
      <x:c r="U115" s="49"/>
      <x:c r="V115" s="49"/>
      <x:c r="W115" s="49"/>
      <x:c r="X115" s="49"/>
      <x:c r="Y115" s="49"/>
      <x:c r="Z115" s="49"/>
      <x:c r="AA115" s="49"/>
      <x:c r="AB115" s="49"/>
      <x:c r="AC115" s="49"/>
      <x:c r="AD115" s="49"/>
      <x:c r="AE115" s="49"/>
      <x:c r="AF115" s="49"/>
      <x:c r="AG115" s="49"/>
      <x:c r="AH115" s="49"/>
      <x:c r="AI115" s="49"/>
      <x:c r="AJ115" s="49"/>
      <x:c r="AK115" s="49"/>
      <x:c r="AL115" s="49"/>
      <x:c r="AM115" s="49"/>
      <x:c r="AN115" s="49"/>
      <x:c r="AO115" s="49"/>
      <x:c r="AP115" s="49"/>
      <x:c r="AQ115" s="49"/>
      <x:c r="AR115" s="49"/>
      <x:c r="AS115" s="49"/>
      <x:c r="AT115" s="49"/>
      <x:c r="AU115" s="49"/>
      <x:c r="AV115" s="49"/>
      <x:c r="AW115" s="49"/>
      <x:c r="AX115" s="49"/>
      <x:c r="AY115" s="49"/>
      <x:c r="AZ115" s="49"/>
    </x:row>
    <x:row r="116">
      <x:c r="A116" s="49"/>
      <x:c r="B116" s="49"/>
      <x:c r="C116" s="49"/>
      <x:c r="D116" s="49"/>
      <x:c r="E116" s="49"/>
      <x:c r="F116" s="49"/>
      <x:c r="G116" s="49"/>
      <x:c r="H116" s="49"/>
      <x:c r="I116" s="49"/>
      <x:c r="J116" s="49"/>
      <x:c r="K116" s="49"/>
      <x:c r="L116" s="49"/>
      <x:c r="M116" s="49"/>
      <x:c r="N116" s="49"/>
      <x:c r="O116" s="49"/>
      <x:c r="P116" s="49"/>
      <x:c r="Q116" s="49"/>
      <x:c r="R116" s="49"/>
      <x:c r="S116" s="49"/>
      <x:c r="T116" s="49"/>
      <x:c r="U116" s="49"/>
      <x:c r="V116" s="49"/>
      <x:c r="W116" s="49"/>
      <x:c r="X116" s="49"/>
      <x:c r="Y116" s="49"/>
      <x:c r="Z116" s="49"/>
      <x:c r="AA116" s="49"/>
      <x:c r="AB116" s="49"/>
      <x:c r="AC116" s="49"/>
      <x:c r="AD116" s="49"/>
      <x:c r="AE116" s="49"/>
      <x:c r="AF116" s="49"/>
      <x:c r="AG116" s="49"/>
      <x:c r="AH116" s="49"/>
      <x:c r="AI116" s="49"/>
      <x:c r="AJ116" s="49"/>
      <x:c r="AK116" s="49"/>
      <x:c r="AL116" s="49"/>
      <x:c r="AM116" s="49"/>
      <x:c r="AN116" s="49"/>
      <x:c r="AO116" s="49"/>
      <x:c r="AP116" s="49"/>
      <x:c r="AQ116" s="49"/>
      <x:c r="AR116" s="49"/>
      <x:c r="AS116" s="49"/>
      <x:c r="AT116" s="49"/>
      <x:c r="AU116" s="49"/>
      <x:c r="AV116" s="49"/>
      <x:c r="AW116" s="49"/>
      <x:c r="AX116" s="49"/>
      <x:c r="AY116" s="49"/>
      <x:c r="AZ116" s="49"/>
    </x:row>
    <x:row r="117">
      <x:c r="A117" s="49"/>
      <x:c r="B117" s="49"/>
      <x:c r="C117" s="49"/>
      <x:c r="D117" s="49"/>
      <x:c r="E117" s="49"/>
      <x:c r="F117" s="49"/>
      <x:c r="G117" s="49"/>
      <x:c r="H117" s="49"/>
      <x:c r="I117" s="49"/>
      <x:c r="J117" s="49"/>
      <x:c r="K117" s="49"/>
      <x:c r="L117" s="49"/>
      <x:c r="M117" s="49"/>
      <x:c r="N117" s="49"/>
      <x:c r="O117" s="49"/>
      <x:c r="P117" s="49"/>
      <x:c r="Q117" s="49"/>
      <x:c r="R117" s="49"/>
      <x:c r="S117" s="49"/>
      <x:c r="T117" s="49"/>
      <x:c r="U117" s="49"/>
      <x:c r="V117" s="49"/>
      <x:c r="W117" s="49"/>
      <x:c r="X117" s="49"/>
      <x:c r="Y117" s="49"/>
      <x:c r="Z117" s="49"/>
      <x:c r="AA117" s="49"/>
      <x:c r="AB117" s="49"/>
      <x:c r="AC117" s="49"/>
      <x:c r="AD117" s="49"/>
      <x:c r="AE117" s="49"/>
      <x:c r="AF117" s="49"/>
      <x:c r="AG117" s="49"/>
      <x:c r="AH117" s="49"/>
      <x:c r="AI117" s="49"/>
      <x:c r="AJ117" s="49"/>
      <x:c r="AK117" s="49"/>
      <x:c r="AL117" s="49"/>
      <x:c r="AM117" s="49"/>
      <x:c r="AN117" s="49"/>
      <x:c r="AO117" s="49"/>
      <x:c r="AP117" s="49"/>
      <x:c r="AQ117" s="49"/>
      <x:c r="AR117" s="49"/>
      <x:c r="AS117" s="49"/>
      <x:c r="AT117" s="49"/>
      <x:c r="AU117" s="49"/>
      <x:c r="AV117" s="49"/>
      <x:c r="AW117" s="49"/>
      <x:c r="AX117" s="49"/>
      <x:c r="AY117" s="49"/>
      <x:c r="AZ117" s="49"/>
    </x:row>
    <x:row r="118">
      <x:c r="A118" s="49"/>
      <x:c r="B118" s="49"/>
      <x:c r="C118" s="49"/>
      <x:c r="D118" s="49"/>
      <x:c r="E118" s="49"/>
      <x:c r="F118" s="49"/>
      <x:c r="G118" s="49"/>
      <x:c r="H118" s="49"/>
      <x:c r="I118" s="49"/>
      <x:c r="J118" s="49"/>
      <x:c r="K118" s="49"/>
      <x:c r="L118" s="49"/>
      <x:c r="M118" s="49"/>
      <x:c r="N118" s="49"/>
      <x:c r="O118" s="49"/>
      <x:c r="P118" s="49"/>
      <x:c r="Q118" s="49"/>
      <x:c r="R118" s="49"/>
      <x:c r="S118" s="49"/>
      <x:c r="T118" s="49"/>
      <x:c r="U118" s="49"/>
      <x:c r="V118" s="49"/>
      <x:c r="W118" s="49"/>
      <x:c r="X118" s="49"/>
      <x:c r="Y118" s="49"/>
      <x:c r="Z118" s="49"/>
      <x:c r="AA118" s="49"/>
      <x:c r="AB118" s="49"/>
      <x:c r="AC118" s="49"/>
      <x:c r="AD118" s="49"/>
      <x:c r="AE118" s="49"/>
      <x:c r="AF118" s="49"/>
      <x:c r="AG118" s="49"/>
      <x:c r="AH118" s="49"/>
      <x:c r="AI118" s="49"/>
      <x:c r="AJ118" s="49"/>
      <x:c r="AK118" s="49"/>
      <x:c r="AL118" s="49"/>
      <x:c r="AM118" s="49"/>
      <x:c r="AN118" s="49"/>
      <x:c r="AO118" s="49"/>
      <x:c r="AP118" s="49"/>
      <x:c r="AQ118" s="49"/>
      <x:c r="AR118" s="49"/>
      <x:c r="AS118" s="49"/>
      <x:c r="AT118" s="49"/>
      <x:c r="AU118" s="49"/>
      <x:c r="AV118" s="49"/>
      <x:c r="AW118" s="49"/>
      <x:c r="AX118" s="49"/>
      <x:c r="AY118" s="49"/>
      <x:c r="AZ118" s="49"/>
    </x:row>
    <x:row r="119">
      <x:c r="A119" s="49"/>
      <x:c r="B119" s="49"/>
      <x:c r="C119" s="49"/>
      <x:c r="D119" s="49"/>
      <x:c r="E119" s="49"/>
      <x:c r="F119" s="49"/>
      <x:c r="G119" s="49"/>
      <x:c r="H119" s="49"/>
      <x:c r="I119" s="49"/>
      <x:c r="J119" s="49"/>
      <x:c r="K119" s="49"/>
      <x:c r="L119" s="49"/>
      <x:c r="M119" s="49"/>
      <x:c r="N119" s="49"/>
      <x:c r="O119" s="49"/>
      <x:c r="P119" s="49"/>
      <x:c r="Q119" s="49"/>
      <x:c r="R119" s="49"/>
      <x:c r="S119" s="49"/>
      <x:c r="T119" s="49"/>
      <x:c r="U119" s="49"/>
      <x:c r="V119" s="49"/>
      <x:c r="W119" s="49"/>
      <x:c r="X119" s="49"/>
      <x:c r="Y119" s="49"/>
      <x:c r="Z119" s="49"/>
      <x:c r="AA119" s="49"/>
      <x:c r="AB119" s="49"/>
      <x:c r="AC119" s="49"/>
      <x:c r="AD119" s="49"/>
      <x:c r="AE119" s="49"/>
      <x:c r="AF119" s="49"/>
      <x:c r="AG119" s="49"/>
      <x:c r="AH119" s="49"/>
      <x:c r="AI119" s="49"/>
      <x:c r="AJ119" s="49"/>
      <x:c r="AK119" s="49"/>
      <x:c r="AL119" s="49"/>
      <x:c r="AM119" s="49"/>
      <x:c r="AN119" s="49"/>
      <x:c r="AO119" s="49"/>
      <x:c r="AP119" s="49"/>
      <x:c r="AQ119" s="49"/>
      <x:c r="AR119" s="49"/>
      <x:c r="AS119" s="49"/>
      <x:c r="AT119" s="49"/>
      <x:c r="AU119" s="49"/>
      <x:c r="AV119" s="49"/>
      <x:c r="AW119" s="49"/>
      <x:c r="AX119" s="49"/>
      <x:c r="AY119" s="49"/>
      <x:c r="AZ119" s="49"/>
    </x:row>
    <x:row r="120">
      <x:c r="A120" s="49"/>
      <x:c r="B120" s="49"/>
      <x:c r="C120" s="49"/>
      <x:c r="D120" s="49"/>
      <x:c r="E120" s="49"/>
      <x:c r="F120" s="49"/>
      <x:c r="G120" s="49"/>
      <x:c r="H120" s="49"/>
      <x:c r="I120" s="49"/>
      <x:c r="J120" s="49"/>
      <x:c r="K120" s="49"/>
      <x:c r="L120" s="49"/>
      <x:c r="M120" s="49"/>
      <x:c r="N120" s="49"/>
      <x:c r="O120" s="49"/>
      <x:c r="P120" s="49"/>
      <x:c r="Q120" s="49"/>
      <x:c r="R120" s="49"/>
      <x:c r="S120" s="49"/>
      <x:c r="T120" s="49"/>
      <x:c r="U120" s="49"/>
      <x:c r="V120" s="49"/>
      <x:c r="W120" s="49"/>
      <x:c r="X120" s="49"/>
      <x:c r="Y120" s="49"/>
      <x:c r="Z120" s="49"/>
      <x:c r="AA120" s="49"/>
      <x:c r="AB120" s="49"/>
      <x:c r="AC120" s="49"/>
      <x:c r="AD120" s="49"/>
      <x:c r="AE120" s="49"/>
      <x:c r="AF120" s="49"/>
      <x:c r="AG120" s="49"/>
      <x:c r="AH120" s="49"/>
      <x:c r="AI120" s="49"/>
      <x:c r="AJ120" s="49"/>
      <x:c r="AK120" s="49"/>
      <x:c r="AL120" s="49"/>
      <x:c r="AM120" s="49"/>
      <x:c r="AN120" s="49"/>
      <x:c r="AO120" s="49"/>
      <x:c r="AP120" s="49"/>
      <x:c r="AQ120" s="49"/>
      <x:c r="AR120" s="49"/>
      <x:c r="AS120" s="49"/>
      <x:c r="AT120" s="49"/>
      <x:c r="AU120" s="49"/>
      <x:c r="AV120" s="49"/>
      <x:c r="AW120" s="49"/>
      <x:c r="AX120" s="49"/>
      <x:c r="AY120" s="49"/>
      <x:c r="AZ120" s="49"/>
    </x:row>
    <x:row r="121">
      <x:c r="A121" s="49"/>
      <x:c r="B121" s="49"/>
      <x:c r="C121" s="49"/>
      <x:c r="D121" s="49"/>
      <x:c r="E121" s="49"/>
      <x:c r="F121" s="49"/>
      <x:c r="G121" s="49"/>
      <x:c r="H121" s="49"/>
      <x:c r="I121" s="49"/>
      <x:c r="J121" s="49"/>
      <x:c r="K121" s="49"/>
      <x:c r="L121" s="49"/>
      <x:c r="M121" s="49"/>
      <x:c r="N121" s="49"/>
      <x:c r="O121" s="49"/>
      <x:c r="P121" s="49"/>
      <x:c r="Q121" s="49"/>
      <x:c r="R121" s="49"/>
      <x:c r="S121" s="49"/>
      <x:c r="T121" s="49"/>
      <x:c r="U121" s="49"/>
      <x:c r="V121" s="49"/>
      <x:c r="W121" s="49"/>
      <x:c r="X121" s="49"/>
      <x:c r="Y121" s="49"/>
      <x:c r="Z121" s="49"/>
      <x:c r="AA121" s="49"/>
      <x:c r="AB121" s="49"/>
      <x:c r="AC121" s="49"/>
      <x:c r="AD121" s="49"/>
      <x:c r="AE121" s="49"/>
      <x:c r="AF121" s="49"/>
      <x:c r="AG121" s="49"/>
      <x:c r="AH121" s="49"/>
      <x:c r="AI121" s="49"/>
      <x:c r="AJ121" s="49"/>
      <x:c r="AK121" s="49"/>
      <x:c r="AL121" s="49"/>
      <x:c r="AM121" s="49"/>
      <x:c r="AN121" s="49"/>
      <x:c r="AO121" s="49"/>
      <x:c r="AP121" s="49"/>
      <x:c r="AQ121" s="49"/>
      <x:c r="AR121" s="49"/>
      <x:c r="AS121" s="49"/>
      <x:c r="AT121" s="49"/>
      <x:c r="AU121" s="49"/>
      <x:c r="AV121" s="49"/>
      <x:c r="AW121" s="49"/>
      <x:c r="AX121" s="49"/>
      <x:c r="AY121" s="49"/>
      <x:c r="AZ121" s="49"/>
    </x:row>
    <x:row r="122">
      <x:c r="A122" s="49"/>
      <x:c r="B122" s="49"/>
      <x:c r="C122" s="49"/>
      <x:c r="D122" s="49"/>
      <x:c r="E122" s="49"/>
      <x:c r="F122" s="49"/>
      <x:c r="G122" s="49"/>
      <x:c r="H122" s="49"/>
      <x:c r="I122" s="49"/>
      <x:c r="J122" s="49"/>
      <x:c r="K122" s="49"/>
      <x:c r="L122" s="49"/>
      <x:c r="M122" s="49"/>
      <x:c r="N122" s="49"/>
      <x:c r="O122" s="49"/>
      <x:c r="P122" s="49"/>
      <x:c r="Q122" s="49"/>
      <x:c r="R122" s="49"/>
      <x:c r="S122" s="49"/>
      <x:c r="T122" s="49"/>
      <x:c r="U122" s="49"/>
      <x:c r="V122" s="49"/>
      <x:c r="W122" s="49"/>
      <x:c r="X122" s="49"/>
      <x:c r="Y122" s="49"/>
      <x:c r="Z122" s="49"/>
      <x:c r="AA122" s="49"/>
      <x:c r="AB122" s="49"/>
      <x:c r="AC122" s="49"/>
      <x:c r="AD122" s="49"/>
      <x:c r="AE122" s="49"/>
      <x:c r="AF122" s="49"/>
      <x:c r="AG122" s="49"/>
      <x:c r="AH122" s="49"/>
      <x:c r="AI122" s="49"/>
      <x:c r="AJ122" s="49"/>
      <x:c r="AK122" s="49"/>
      <x:c r="AL122" s="49"/>
      <x:c r="AM122" s="49"/>
      <x:c r="AN122" s="49"/>
      <x:c r="AO122" s="49"/>
      <x:c r="AP122" s="49"/>
      <x:c r="AQ122" s="49"/>
      <x:c r="AR122" s="49"/>
      <x:c r="AS122" s="49"/>
      <x:c r="AT122" s="49"/>
      <x:c r="AU122" s="49"/>
      <x:c r="AV122" s="49"/>
      <x:c r="AW122" s="49"/>
      <x:c r="AX122" s="49"/>
      <x:c r="AY122" s="49"/>
      <x:c r="AZ122" s="49"/>
    </x:row>
    <x:row r="123">
      <x:c r="A123" s="49"/>
      <x:c r="B123" s="49"/>
      <x:c r="C123" s="49"/>
      <x:c r="D123" s="49"/>
      <x:c r="E123" s="49"/>
      <x:c r="F123" s="49"/>
      <x:c r="G123" s="49"/>
      <x:c r="H123" s="49"/>
      <x:c r="I123" s="49"/>
      <x:c r="J123" s="49"/>
      <x:c r="K123" s="49"/>
      <x:c r="L123" s="49"/>
      <x:c r="M123" s="49"/>
      <x:c r="N123" s="49"/>
      <x:c r="O123" s="49"/>
      <x:c r="P123" s="49"/>
      <x:c r="Q123" s="49"/>
      <x:c r="R123" s="49"/>
      <x:c r="S123" s="49"/>
      <x:c r="T123" s="49"/>
      <x:c r="U123" s="49"/>
      <x:c r="V123" s="49"/>
      <x:c r="W123" s="49"/>
      <x:c r="X123" s="49"/>
      <x:c r="Y123" s="49"/>
      <x:c r="Z123" s="49"/>
      <x:c r="AA123" s="49"/>
      <x:c r="AB123" s="49"/>
      <x:c r="AC123" s="49"/>
      <x:c r="AD123" s="49"/>
      <x:c r="AE123" s="49"/>
      <x:c r="AF123" s="49"/>
      <x:c r="AG123" s="49"/>
      <x:c r="AH123" s="49"/>
      <x:c r="AI123" s="49"/>
      <x:c r="AJ123" s="49"/>
      <x:c r="AK123" s="49"/>
      <x:c r="AL123" s="49"/>
      <x:c r="AM123" s="49"/>
      <x:c r="AN123" s="49"/>
      <x:c r="AO123" s="49"/>
      <x:c r="AP123" s="49"/>
      <x:c r="AQ123" s="49"/>
      <x:c r="AR123" s="49"/>
      <x:c r="AS123" s="49"/>
      <x:c r="AT123" s="49"/>
      <x:c r="AU123" s="49"/>
      <x:c r="AV123" s="49"/>
      <x:c r="AW123" s="49"/>
      <x:c r="AX123" s="49"/>
      <x:c r="AY123" s="49"/>
      <x:c r="AZ123" s="49"/>
    </x:row>
    <x:row r="124">
      <x:c r="A124" s="49"/>
      <x:c r="B124" s="49"/>
      <x:c r="C124" s="49"/>
      <x:c r="D124" s="49"/>
      <x:c r="E124" s="49"/>
      <x:c r="F124" s="49"/>
      <x:c r="G124" s="49"/>
      <x:c r="H124" s="49"/>
      <x:c r="I124" s="49"/>
      <x:c r="J124" s="49"/>
      <x:c r="K124" s="49"/>
      <x:c r="L124" s="49"/>
      <x:c r="M124" s="49"/>
      <x:c r="N124" s="49"/>
      <x:c r="O124" s="49"/>
      <x:c r="P124" s="49"/>
      <x:c r="Q124" s="49"/>
      <x:c r="R124" s="49"/>
      <x:c r="S124" s="49"/>
      <x:c r="T124" s="49"/>
      <x:c r="U124" s="49"/>
      <x:c r="V124" s="49"/>
      <x:c r="W124" s="49"/>
      <x:c r="X124" s="49"/>
      <x:c r="Y124" s="49"/>
      <x:c r="Z124" s="49"/>
      <x:c r="AA124" s="49"/>
      <x:c r="AB124" s="49"/>
      <x:c r="AC124" s="49"/>
      <x:c r="AD124" s="49"/>
      <x:c r="AE124" s="49"/>
      <x:c r="AF124" s="49"/>
      <x:c r="AG124" s="49"/>
      <x:c r="AH124" s="49"/>
      <x:c r="AI124" s="49"/>
      <x:c r="AJ124" s="49"/>
      <x:c r="AK124" s="49"/>
      <x:c r="AL124" s="49"/>
      <x:c r="AM124" s="49"/>
      <x:c r="AN124" s="49"/>
      <x:c r="AO124" s="49"/>
      <x:c r="AP124" s="49"/>
      <x:c r="AQ124" s="49"/>
      <x:c r="AR124" s="49"/>
      <x:c r="AS124" s="49"/>
      <x:c r="AT124" s="49"/>
      <x:c r="AU124" s="49"/>
      <x:c r="AV124" s="49"/>
      <x:c r="AW124" s="49"/>
      <x:c r="AX124" s="49"/>
      <x:c r="AY124" s="49"/>
      <x:c r="AZ124" s="49"/>
    </x:row>
    <x:row r="125">
      <x:c r="A125" s="49"/>
      <x:c r="B125" s="49"/>
      <x:c r="C125" s="49"/>
      <x:c r="D125" s="49"/>
      <x:c r="E125" s="49"/>
      <x:c r="F125" s="49"/>
      <x:c r="G125" s="49"/>
      <x:c r="H125" s="49"/>
      <x:c r="I125" s="49"/>
      <x:c r="J125" s="49"/>
      <x:c r="K125" s="49"/>
      <x:c r="L125" s="49"/>
      <x:c r="M125" s="49"/>
      <x:c r="N125" s="49"/>
      <x:c r="O125" s="49"/>
      <x:c r="P125" s="49"/>
      <x:c r="Q125" s="49"/>
      <x:c r="R125" s="49"/>
      <x:c r="S125" s="49"/>
      <x:c r="T125" s="49"/>
      <x:c r="U125" s="49"/>
      <x:c r="V125" s="49"/>
      <x:c r="W125" s="49"/>
      <x:c r="X125" s="49"/>
      <x:c r="Y125" s="49"/>
      <x:c r="Z125" s="49"/>
      <x:c r="AA125" s="49"/>
      <x:c r="AB125" s="49"/>
      <x:c r="AC125" s="49"/>
      <x:c r="AD125" s="49"/>
      <x:c r="AE125" s="49"/>
      <x:c r="AF125" s="49"/>
      <x:c r="AG125" s="49"/>
      <x:c r="AH125" s="49"/>
      <x:c r="AI125" s="49"/>
      <x:c r="AJ125" s="49"/>
      <x:c r="AK125" s="49"/>
      <x:c r="AL125" s="49"/>
      <x:c r="AM125" s="49"/>
      <x:c r="AN125" s="49"/>
      <x:c r="AO125" s="49"/>
      <x:c r="AP125" s="49"/>
      <x:c r="AQ125" s="49"/>
      <x:c r="AR125" s="49"/>
      <x:c r="AS125" s="49"/>
      <x:c r="AT125" s="49"/>
      <x:c r="AU125" s="49"/>
      <x:c r="AV125" s="49"/>
      <x:c r="AW125" s="49"/>
      <x:c r="AX125" s="49"/>
      <x:c r="AY125" s="49"/>
      <x:c r="AZ125" s="49"/>
    </x:row>
    <x:row r="126">
      <x:c r="A126" s="49"/>
      <x:c r="B126" s="49"/>
      <x:c r="C126" s="49"/>
      <x:c r="D126" s="49"/>
      <x:c r="E126" s="49"/>
      <x:c r="F126" s="49"/>
      <x:c r="G126" s="49"/>
      <x:c r="H126" s="49"/>
      <x:c r="I126" s="49"/>
      <x:c r="J126" s="49"/>
      <x:c r="K126" s="49"/>
      <x:c r="L126" s="49"/>
      <x:c r="M126" s="49"/>
      <x:c r="N126" s="49"/>
      <x:c r="O126" s="49"/>
      <x:c r="P126" s="49"/>
      <x:c r="Q126" s="49"/>
      <x:c r="R126" s="49"/>
      <x:c r="S126" s="49"/>
      <x:c r="T126" s="49"/>
      <x:c r="U126" s="49"/>
      <x:c r="V126" s="49"/>
      <x:c r="W126" s="49"/>
      <x:c r="X126" s="49"/>
      <x:c r="Y126" s="49"/>
      <x:c r="Z126" s="49"/>
      <x:c r="AA126" s="49"/>
      <x:c r="AB126" s="49"/>
      <x:c r="AC126" s="49"/>
      <x:c r="AD126" s="49"/>
      <x:c r="AE126" s="49"/>
      <x:c r="AF126" s="49"/>
      <x:c r="AG126" s="49"/>
      <x:c r="AH126" s="49"/>
      <x:c r="AI126" s="49"/>
      <x:c r="AJ126" s="49"/>
      <x:c r="AK126" s="49"/>
      <x:c r="AL126" s="49"/>
      <x:c r="AM126" s="49"/>
      <x:c r="AN126" s="49"/>
      <x:c r="AO126" s="49"/>
      <x:c r="AP126" s="49"/>
      <x:c r="AQ126" s="49"/>
      <x:c r="AR126" s="49"/>
      <x:c r="AS126" s="49"/>
      <x:c r="AT126" s="49"/>
      <x:c r="AU126" s="49"/>
      <x:c r="AV126" s="49"/>
      <x:c r="AW126" s="49"/>
      <x:c r="AX126" s="49"/>
      <x:c r="AY126" s="49"/>
      <x:c r="AZ126" s="49"/>
    </x:row>
    <x:row r="127">
      <x:c r="A127" s="49"/>
      <x:c r="B127" s="49"/>
      <x:c r="C127" s="49"/>
      <x:c r="D127" s="49"/>
      <x:c r="E127" s="49"/>
      <x:c r="F127" s="49"/>
      <x:c r="G127" s="49"/>
      <x:c r="H127" s="49"/>
      <x:c r="I127" s="49"/>
      <x:c r="J127" s="49"/>
      <x:c r="K127" s="49"/>
      <x:c r="L127" s="49"/>
      <x:c r="M127" s="49"/>
      <x:c r="N127" s="49"/>
      <x:c r="O127" s="49"/>
      <x:c r="P127" s="49"/>
      <x:c r="Q127" s="49"/>
      <x:c r="R127" s="49"/>
      <x:c r="S127" s="49"/>
      <x:c r="T127" s="49"/>
      <x:c r="U127" s="49"/>
      <x:c r="V127" s="49"/>
      <x:c r="W127" s="49"/>
      <x:c r="X127" s="49"/>
      <x:c r="Y127" s="49"/>
      <x:c r="Z127" s="49"/>
      <x:c r="AA127" s="49"/>
      <x:c r="AB127" s="49"/>
      <x:c r="AC127" s="49"/>
      <x:c r="AD127" s="49"/>
      <x:c r="AE127" s="49"/>
      <x:c r="AF127" s="49"/>
      <x:c r="AG127" s="49"/>
      <x:c r="AH127" s="49"/>
      <x:c r="AI127" s="49"/>
      <x:c r="AJ127" s="49"/>
      <x:c r="AK127" s="49"/>
      <x:c r="AL127" s="49"/>
      <x:c r="AM127" s="49"/>
      <x:c r="AN127" s="49"/>
      <x:c r="AO127" s="49"/>
      <x:c r="AP127" s="49"/>
      <x:c r="AQ127" s="49"/>
      <x:c r="AR127" s="49"/>
      <x:c r="AS127" s="49"/>
      <x:c r="AT127" s="49"/>
      <x:c r="AU127" s="49"/>
      <x:c r="AV127" s="49"/>
      <x:c r="AW127" s="49"/>
      <x:c r="AX127" s="49"/>
      <x:c r="AY127" s="49"/>
      <x:c r="AZ127" s="49"/>
    </x:row>
    <x:row r="128">
      <x:c r="A128" s="49"/>
      <x:c r="B128" s="49"/>
      <x:c r="C128" s="49"/>
      <x:c r="D128" s="49"/>
      <x:c r="E128" s="49"/>
      <x:c r="F128" s="49"/>
      <x:c r="G128" s="49"/>
      <x:c r="H128" s="49"/>
      <x:c r="I128" s="49"/>
      <x:c r="J128" s="49"/>
      <x:c r="K128" s="49"/>
      <x:c r="L128" s="49"/>
      <x:c r="M128" s="49"/>
      <x:c r="N128" s="49"/>
      <x:c r="O128" s="49"/>
      <x:c r="P128" s="49"/>
      <x:c r="Q128" s="49"/>
      <x:c r="R128" s="49"/>
      <x:c r="S128" s="49"/>
      <x:c r="T128" s="49"/>
      <x:c r="U128" s="49"/>
      <x:c r="V128" s="49"/>
      <x:c r="W128" s="49"/>
      <x:c r="X128" s="49"/>
      <x:c r="Y128" s="49"/>
      <x:c r="Z128" s="49"/>
      <x:c r="AA128" s="49"/>
      <x:c r="AB128" s="49"/>
      <x:c r="AC128" s="49"/>
      <x:c r="AD128" s="49"/>
      <x:c r="AE128" s="49"/>
      <x:c r="AF128" s="49"/>
      <x:c r="AG128" s="49"/>
      <x:c r="AH128" s="49"/>
      <x:c r="AI128" s="49"/>
      <x:c r="AJ128" s="49"/>
      <x:c r="AK128" s="49"/>
      <x:c r="AL128" s="49"/>
      <x:c r="AM128" s="49"/>
      <x:c r="AN128" s="49"/>
      <x:c r="AO128" s="49"/>
      <x:c r="AP128" s="49"/>
      <x:c r="AQ128" s="49"/>
      <x:c r="AR128" s="49"/>
      <x:c r="AS128" s="49"/>
      <x:c r="AT128" s="49"/>
      <x:c r="AU128" s="49"/>
      <x:c r="AV128" s="49"/>
      <x:c r="AW128" s="49"/>
      <x:c r="AX128" s="49"/>
      <x:c r="AY128" s="49"/>
      <x:c r="AZ128" s="49"/>
    </x:row>
    <x:row r="129">
      <x:c r="A129" s="49"/>
      <x:c r="B129" s="49"/>
      <x:c r="C129" s="49"/>
      <x:c r="D129" s="49"/>
      <x:c r="E129" s="49"/>
      <x:c r="F129" s="49"/>
      <x:c r="G129" s="49"/>
      <x:c r="H129" s="49"/>
      <x:c r="I129" s="49"/>
      <x:c r="J129" s="49"/>
      <x:c r="K129" s="49"/>
      <x:c r="L129" s="49"/>
      <x:c r="M129" s="49"/>
      <x:c r="N129" s="49"/>
      <x:c r="O129" s="49"/>
      <x:c r="P129" s="49"/>
      <x:c r="Q129" s="49"/>
      <x:c r="R129" s="49"/>
      <x:c r="S129" s="49"/>
      <x:c r="T129" s="49"/>
      <x:c r="U129" s="49"/>
      <x:c r="V129" s="49"/>
      <x:c r="W129" s="49"/>
      <x:c r="X129" s="49"/>
      <x:c r="Y129" s="49"/>
      <x:c r="Z129" s="49"/>
      <x:c r="AA129" s="49"/>
      <x:c r="AB129" s="49"/>
      <x:c r="AC129" s="49"/>
      <x:c r="AD129" s="49"/>
      <x:c r="AE129" s="49"/>
      <x:c r="AF129" s="49"/>
      <x:c r="AG129" s="49"/>
      <x:c r="AH129" s="49"/>
      <x:c r="AI129" s="49"/>
      <x:c r="AJ129" s="49"/>
      <x:c r="AK129" s="49"/>
      <x:c r="AL129" s="49"/>
      <x:c r="AM129" s="49"/>
      <x:c r="AN129" s="49"/>
      <x:c r="AO129" s="49"/>
      <x:c r="AP129" s="49"/>
      <x:c r="AQ129" s="49"/>
      <x:c r="AR129" s="49"/>
      <x:c r="AS129" s="49"/>
      <x:c r="AT129" s="49"/>
      <x:c r="AU129" s="49"/>
      <x:c r="AV129" s="49"/>
      <x:c r="AW129" s="49"/>
      <x:c r="AX129" s="49"/>
      <x:c r="AY129" s="49"/>
      <x:c r="AZ129" s="49"/>
    </x:row>
    <x:row r="130">
      <x:c r="A130" s="49"/>
      <x:c r="B130" s="49"/>
      <x:c r="C130" s="49"/>
      <x:c r="D130" s="49"/>
      <x:c r="E130" s="49"/>
      <x:c r="F130" s="49"/>
      <x:c r="G130" s="49"/>
      <x:c r="H130" s="49"/>
      <x:c r="I130" s="49"/>
      <x:c r="J130" s="49"/>
      <x:c r="K130" s="49"/>
      <x:c r="L130" s="49"/>
      <x:c r="M130" s="49"/>
      <x:c r="N130" s="49"/>
      <x:c r="O130" s="49"/>
      <x:c r="P130" s="49"/>
      <x:c r="Q130" s="49"/>
      <x:c r="R130" s="49"/>
      <x:c r="S130" s="49"/>
      <x:c r="T130" s="49"/>
      <x:c r="U130" s="49"/>
      <x:c r="V130" s="49"/>
      <x:c r="W130" s="49"/>
      <x:c r="X130" s="49"/>
      <x:c r="Y130" s="49"/>
      <x:c r="Z130" s="49"/>
      <x:c r="AA130" s="49"/>
      <x:c r="AB130" s="49"/>
      <x:c r="AC130" s="49"/>
      <x:c r="AD130" s="49"/>
      <x:c r="AE130" s="49"/>
      <x:c r="AF130" s="49"/>
      <x:c r="AG130" s="49"/>
      <x:c r="AH130" s="49"/>
      <x:c r="AI130" s="49"/>
      <x:c r="AJ130" s="49"/>
      <x:c r="AK130" s="49"/>
      <x:c r="AL130" s="49"/>
      <x:c r="AM130" s="49"/>
      <x:c r="AN130" s="49"/>
      <x:c r="AO130" s="49"/>
      <x:c r="AP130" s="49"/>
      <x:c r="AQ130" s="49"/>
      <x:c r="AR130" s="49"/>
      <x:c r="AS130" s="49"/>
      <x:c r="AT130" s="49"/>
      <x:c r="AU130" s="49"/>
      <x:c r="AV130" s="49"/>
      <x:c r="AW130" s="49"/>
      <x:c r="AX130" s="49"/>
      <x:c r="AY130" s="49"/>
      <x:c r="AZ130" s="49"/>
    </x:row>
    <x:row r="131">
      <x:c r="A131" s="49"/>
      <x:c r="B131" s="49"/>
      <x:c r="C131" s="49"/>
      <x:c r="D131" s="49"/>
      <x:c r="E131" s="49"/>
      <x:c r="F131" s="49"/>
      <x:c r="G131" s="49"/>
      <x:c r="H131" s="49"/>
      <x:c r="I131" s="49"/>
      <x:c r="J131" s="49"/>
      <x:c r="K131" s="49"/>
      <x:c r="L131" s="49"/>
      <x:c r="M131" s="49"/>
      <x:c r="N131" s="49"/>
      <x:c r="O131" s="49"/>
      <x:c r="P131" s="49"/>
      <x:c r="Q131" s="49"/>
      <x:c r="R131" s="49"/>
      <x:c r="S131" s="49"/>
      <x:c r="T131" s="49"/>
      <x:c r="U131" s="49"/>
      <x:c r="V131" s="49"/>
      <x:c r="W131" s="49"/>
      <x:c r="X131" s="49"/>
      <x:c r="Y131" s="49"/>
      <x:c r="Z131" s="49"/>
      <x:c r="AA131" s="49"/>
      <x:c r="AB131" s="49"/>
      <x:c r="AC131" s="49"/>
      <x:c r="AD131" s="49"/>
      <x:c r="AE131" s="49"/>
      <x:c r="AF131" s="49"/>
      <x:c r="AG131" s="49"/>
      <x:c r="AH131" s="49"/>
      <x:c r="AI131" s="49"/>
      <x:c r="AJ131" s="49"/>
      <x:c r="AK131" s="49"/>
      <x:c r="AL131" s="49"/>
      <x:c r="AM131" s="49"/>
      <x:c r="AN131" s="49"/>
      <x:c r="AO131" s="49"/>
      <x:c r="AP131" s="49"/>
      <x:c r="AQ131" s="49"/>
      <x:c r="AR131" s="49"/>
      <x:c r="AS131" s="49"/>
      <x:c r="AT131" s="49"/>
      <x:c r="AU131" s="49"/>
      <x:c r="AV131" s="49"/>
      <x:c r="AW131" s="49"/>
      <x:c r="AX131" s="49"/>
      <x:c r="AY131" s="49"/>
      <x:c r="AZ131" s="49"/>
    </x:row>
    <x:row r="132">
      <x:c r="A132" s="49"/>
      <x:c r="B132" s="49"/>
      <x:c r="C132" s="49"/>
      <x:c r="D132" s="49"/>
      <x:c r="E132" s="49"/>
      <x:c r="F132" s="49"/>
      <x:c r="G132" s="49"/>
      <x:c r="H132" s="49"/>
      <x:c r="I132" s="49"/>
      <x:c r="J132" s="49"/>
      <x:c r="K132" s="49"/>
      <x:c r="L132" s="49"/>
      <x:c r="M132" s="49"/>
      <x:c r="N132" s="49"/>
      <x:c r="O132" s="49"/>
      <x:c r="P132" s="49"/>
      <x:c r="Q132" s="49"/>
      <x:c r="R132" s="49"/>
      <x:c r="S132" s="49"/>
      <x:c r="T132" s="49"/>
      <x:c r="U132" s="49"/>
      <x:c r="V132" s="49"/>
      <x:c r="W132" s="49"/>
      <x:c r="X132" s="49"/>
      <x:c r="Y132" s="49"/>
      <x:c r="Z132" s="49"/>
      <x:c r="AA132" s="49"/>
      <x:c r="AB132" s="49"/>
      <x:c r="AC132" s="49"/>
      <x:c r="AD132" s="49"/>
      <x:c r="AE132" s="49"/>
      <x:c r="AF132" s="49"/>
      <x:c r="AG132" s="49"/>
      <x:c r="AH132" s="49"/>
      <x:c r="AI132" s="49"/>
      <x:c r="AJ132" s="49"/>
      <x:c r="AK132" s="49"/>
      <x:c r="AL132" s="49"/>
      <x:c r="AM132" s="49"/>
      <x:c r="AN132" s="49"/>
      <x:c r="AO132" s="49"/>
      <x:c r="AP132" s="49"/>
      <x:c r="AQ132" s="49"/>
      <x:c r="AR132" s="49"/>
      <x:c r="AS132" s="49"/>
      <x:c r="AT132" s="49"/>
      <x:c r="AU132" s="49"/>
      <x:c r="AV132" s="49"/>
      <x:c r="AW132" s="49"/>
      <x:c r="AX132" s="49"/>
      <x:c r="AY132" s="49"/>
      <x:c r="AZ132" s="49"/>
    </x:row>
    <x:row r="133">
      <x:c r="A133" s="49"/>
      <x:c r="B133" s="49"/>
      <x:c r="C133" s="49"/>
      <x:c r="D133" s="49"/>
      <x:c r="E133" s="49"/>
      <x:c r="F133" s="49"/>
      <x:c r="G133" s="49"/>
      <x:c r="H133" s="49"/>
      <x:c r="I133" s="49"/>
      <x:c r="J133" s="49"/>
      <x:c r="K133" s="49"/>
      <x:c r="L133" s="49"/>
      <x:c r="M133" s="49"/>
      <x:c r="N133" s="49"/>
      <x:c r="O133" s="49"/>
      <x:c r="P133" s="49"/>
      <x:c r="Q133" s="49"/>
      <x:c r="R133" s="49"/>
      <x:c r="S133" s="49"/>
      <x:c r="T133" s="49"/>
      <x:c r="U133" s="49"/>
      <x:c r="V133" s="49"/>
      <x:c r="W133" s="49"/>
      <x:c r="X133" s="49"/>
      <x:c r="Y133" s="49"/>
      <x:c r="Z133" s="49"/>
      <x:c r="AA133" s="49"/>
      <x:c r="AB133" s="49"/>
      <x:c r="AC133" s="49"/>
      <x:c r="AD133" s="49"/>
      <x:c r="AE133" s="49"/>
      <x:c r="AF133" s="49"/>
      <x:c r="AG133" s="49"/>
      <x:c r="AH133" s="49"/>
      <x:c r="AI133" s="49"/>
      <x:c r="AJ133" s="49"/>
      <x:c r="AK133" s="49"/>
      <x:c r="AL133" s="49"/>
      <x:c r="AM133" s="49"/>
      <x:c r="AN133" s="49"/>
      <x:c r="AO133" s="49"/>
      <x:c r="AP133" s="49"/>
      <x:c r="AQ133" s="49"/>
      <x:c r="AR133" s="49"/>
      <x:c r="AS133" s="49"/>
      <x:c r="AT133" s="49"/>
      <x:c r="AU133" s="49"/>
      <x:c r="AV133" s="49"/>
      <x:c r="AW133" s="49"/>
      <x:c r="AX133" s="49"/>
      <x:c r="AY133" s="49"/>
      <x:c r="AZ133" s="49"/>
    </x:row>
    <x:row r="134">
      <x:c r="A134" s="49"/>
      <x:c r="B134" s="49"/>
      <x:c r="C134" s="49"/>
      <x:c r="D134" s="49"/>
      <x:c r="E134" s="49"/>
      <x:c r="F134" s="49"/>
      <x:c r="G134" s="49"/>
      <x:c r="H134" s="49"/>
      <x:c r="I134" s="49"/>
      <x:c r="J134" s="49"/>
      <x:c r="K134" s="49"/>
      <x:c r="L134" s="49"/>
      <x:c r="M134" s="49"/>
      <x:c r="N134" s="49"/>
      <x:c r="O134" s="49"/>
      <x:c r="P134" s="49"/>
      <x:c r="Q134" s="49"/>
      <x:c r="R134" s="49"/>
      <x:c r="S134" s="49"/>
      <x:c r="T134" s="49"/>
      <x:c r="U134" s="49"/>
      <x:c r="V134" s="49"/>
      <x:c r="W134" s="49"/>
      <x:c r="X134" s="49"/>
      <x:c r="Y134" s="49"/>
      <x:c r="Z134" s="49"/>
      <x:c r="AA134" s="49"/>
      <x:c r="AB134" s="49"/>
      <x:c r="AC134" s="49"/>
      <x:c r="AD134" s="49"/>
      <x:c r="AE134" s="49"/>
      <x:c r="AF134" s="49"/>
      <x:c r="AG134" s="49"/>
      <x:c r="AH134" s="49"/>
      <x:c r="AI134" s="49"/>
      <x:c r="AJ134" s="49"/>
      <x:c r="AK134" s="49"/>
      <x:c r="AL134" s="49"/>
      <x:c r="AM134" s="49"/>
      <x:c r="AN134" s="49"/>
      <x:c r="AO134" s="49"/>
      <x:c r="AP134" s="49"/>
      <x:c r="AQ134" s="49"/>
      <x:c r="AR134" s="49"/>
      <x:c r="AS134" s="49"/>
      <x:c r="AT134" s="49"/>
      <x:c r="AU134" s="49"/>
      <x:c r="AV134" s="49"/>
      <x:c r="AW134" s="49"/>
      <x:c r="AX134" s="49"/>
      <x:c r="AY134" s="49"/>
      <x:c r="AZ134" s="49"/>
    </x:row>
    <x:row r="135">
      <x:c r="A135" s="49"/>
      <x:c r="B135" s="49"/>
      <x:c r="C135" s="49"/>
      <x:c r="D135" s="49"/>
      <x:c r="E135" s="49"/>
      <x:c r="F135" s="49"/>
      <x:c r="G135" s="49"/>
      <x:c r="H135" s="49"/>
      <x:c r="I135" s="49"/>
      <x:c r="J135" s="49"/>
      <x:c r="K135" s="49"/>
      <x:c r="L135" s="49"/>
      <x:c r="M135" s="49"/>
      <x:c r="N135" s="49"/>
      <x:c r="O135" s="49"/>
      <x:c r="P135" s="49"/>
      <x:c r="Q135" s="49"/>
      <x:c r="R135" s="49"/>
      <x:c r="S135" s="49"/>
      <x:c r="T135" s="49"/>
      <x:c r="U135" s="49"/>
      <x:c r="V135" s="49"/>
      <x:c r="W135" s="49"/>
      <x:c r="X135" s="49"/>
      <x:c r="Y135" s="49"/>
      <x:c r="Z135" s="49"/>
      <x:c r="AA135" s="49"/>
      <x:c r="AB135" s="49"/>
      <x:c r="AC135" s="49"/>
      <x:c r="AD135" s="49"/>
      <x:c r="AE135" s="49"/>
      <x:c r="AF135" s="49"/>
      <x:c r="AG135" s="49"/>
      <x:c r="AH135" s="49"/>
      <x:c r="AI135" s="49"/>
      <x:c r="AJ135" s="49"/>
      <x:c r="AK135" s="49"/>
      <x:c r="AL135" s="49"/>
      <x:c r="AM135" s="49"/>
      <x:c r="AN135" s="49"/>
      <x:c r="AO135" s="49"/>
      <x:c r="AP135" s="49"/>
      <x:c r="AQ135" s="49"/>
      <x:c r="AR135" s="49"/>
      <x:c r="AS135" s="49"/>
      <x:c r="AT135" s="49"/>
      <x:c r="AU135" s="49"/>
      <x:c r="AV135" s="49"/>
      <x:c r="AW135" s="49"/>
      <x:c r="AX135" s="49"/>
      <x:c r="AY135" s="49"/>
      <x:c r="AZ135" s="49"/>
    </x:row>
    <x:row r="136">
      <x:c r="A136" s="49"/>
      <x:c r="B136" s="49"/>
      <x:c r="C136" s="49"/>
      <x:c r="D136" s="49"/>
      <x:c r="E136" s="49"/>
      <x:c r="F136" s="49"/>
      <x:c r="G136" s="49"/>
      <x:c r="H136" s="49"/>
      <x:c r="I136" s="49"/>
      <x:c r="J136" s="49"/>
      <x:c r="K136" s="49"/>
      <x:c r="L136" s="49"/>
      <x:c r="M136" s="49"/>
      <x:c r="N136" s="49"/>
      <x:c r="O136" s="49"/>
      <x:c r="P136" s="49"/>
      <x:c r="Q136" s="49"/>
      <x:c r="R136" s="49"/>
      <x:c r="S136" s="49"/>
      <x:c r="T136" s="49"/>
      <x:c r="U136" s="49"/>
      <x:c r="V136" s="49"/>
      <x:c r="W136" s="49"/>
      <x:c r="X136" s="49"/>
      <x:c r="Y136" s="49"/>
      <x:c r="Z136" s="49"/>
      <x:c r="AA136" s="49"/>
      <x:c r="AB136" s="49"/>
      <x:c r="AC136" s="49"/>
      <x:c r="AD136" s="49"/>
      <x:c r="AE136" s="49"/>
      <x:c r="AF136" s="49"/>
      <x:c r="AG136" s="49"/>
      <x:c r="AH136" s="49"/>
      <x:c r="AI136" s="49"/>
      <x:c r="AJ136" s="49"/>
      <x:c r="AK136" s="49"/>
      <x:c r="AL136" s="49"/>
      <x:c r="AM136" s="49"/>
      <x:c r="AN136" s="49"/>
      <x:c r="AO136" s="49"/>
      <x:c r="AP136" s="49"/>
      <x:c r="AQ136" s="49"/>
      <x:c r="AR136" s="49"/>
      <x:c r="AS136" s="49"/>
      <x:c r="AT136" s="49"/>
      <x:c r="AU136" s="49"/>
      <x:c r="AV136" s="49"/>
      <x:c r="AW136" s="49"/>
      <x:c r="AX136" s="49"/>
      <x:c r="AY136" s="49"/>
      <x:c r="AZ136" s="49"/>
    </x:row>
    <x:row r="137">
      <x:c r="A137" s="49"/>
      <x:c r="B137" s="49"/>
      <x:c r="C137" s="49"/>
      <x:c r="D137" s="49"/>
      <x:c r="E137" s="49"/>
      <x:c r="F137" s="49"/>
      <x:c r="G137" s="49"/>
      <x:c r="H137" s="49"/>
      <x:c r="I137" s="49"/>
      <x:c r="J137" s="49"/>
      <x:c r="K137" s="49"/>
      <x:c r="L137" s="49"/>
      <x:c r="M137" s="49"/>
      <x:c r="N137" s="49"/>
      <x:c r="O137" s="49"/>
      <x:c r="P137" s="49"/>
      <x:c r="Q137" s="49"/>
      <x:c r="R137" s="49"/>
      <x:c r="S137" s="49"/>
      <x:c r="T137" s="49"/>
      <x:c r="U137" s="49"/>
      <x:c r="V137" s="49"/>
      <x:c r="W137" s="49"/>
      <x:c r="X137" s="49"/>
      <x:c r="Y137" s="49"/>
      <x:c r="Z137" s="49"/>
      <x:c r="AA137" s="49"/>
      <x:c r="AB137" s="49"/>
      <x:c r="AC137" s="49"/>
      <x:c r="AD137" s="49"/>
      <x:c r="AE137" s="49"/>
      <x:c r="AF137" s="49"/>
      <x:c r="AG137" s="49"/>
      <x:c r="AH137" s="49"/>
      <x:c r="AI137" s="49"/>
      <x:c r="AJ137" s="49"/>
      <x:c r="AK137" s="49"/>
      <x:c r="AL137" s="49"/>
      <x:c r="AM137" s="49"/>
      <x:c r="AN137" s="49"/>
      <x:c r="AO137" s="49"/>
      <x:c r="AP137" s="49"/>
      <x:c r="AQ137" s="49"/>
      <x:c r="AR137" s="49"/>
      <x:c r="AS137" s="49"/>
      <x:c r="AT137" s="49"/>
      <x:c r="AU137" s="49"/>
      <x:c r="AV137" s="49"/>
      <x:c r="AW137" s="49"/>
      <x:c r="AX137" s="49"/>
      <x:c r="AY137" s="49"/>
      <x:c r="AZ137" s="49"/>
    </x:row>
    <x:row r="138">
      <x:c r="A138" s="49"/>
      <x:c r="B138" s="49"/>
      <x:c r="C138" s="49"/>
      <x:c r="D138" s="49"/>
      <x:c r="E138" s="49"/>
      <x:c r="F138" s="49"/>
      <x:c r="G138" s="49"/>
      <x:c r="H138" s="49"/>
      <x:c r="I138" s="49"/>
      <x:c r="J138" s="49"/>
      <x:c r="K138" s="49"/>
      <x:c r="L138" s="49"/>
      <x:c r="M138" s="49"/>
      <x:c r="N138" s="49"/>
      <x:c r="O138" s="49"/>
      <x:c r="P138" s="49"/>
      <x:c r="Q138" s="49"/>
      <x:c r="R138" s="49"/>
      <x:c r="S138" s="49"/>
      <x:c r="T138" s="49"/>
      <x:c r="U138" s="49"/>
      <x:c r="V138" s="49"/>
      <x:c r="W138" s="49"/>
      <x:c r="X138" s="49"/>
      <x:c r="Y138" s="49"/>
      <x:c r="Z138" s="49"/>
      <x:c r="AA138" s="49"/>
      <x:c r="AB138" s="49"/>
      <x:c r="AC138" s="49"/>
      <x:c r="AD138" s="49"/>
      <x:c r="AE138" s="49"/>
      <x:c r="AF138" s="49"/>
      <x:c r="AG138" s="49"/>
      <x:c r="AH138" s="49"/>
      <x:c r="AI138" s="49"/>
      <x:c r="AJ138" s="49"/>
      <x:c r="AK138" s="49"/>
      <x:c r="AL138" s="49"/>
      <x:c r="AM138" s="49"/>
      <x:c r="AN138" s="49"/>
      <x:c r="AO138" s="49"/>
      <x:c r="AP138" s="49"/>
      <x:c r="AQ138" s="49"/>
      <x:c r="AR138" s="49"/>
      <x:c r="AS138" s="49"/>
      <x:c r="AT138" s="49"/>
      <x:c r="AU138" s="49"/>
      <x:c r="AV138" s="49"/>
      <x:c r="AW138" s="49"/>
      <x:c r="AX138" s="49"/>
      <x:c r="AY138" s="49"/>
      <x:c r="AZ138" s="49"/>
    </x:row>
    <x:row r="139">
      <x:c r="A139" s="49"/>
      <x:c r="B139" s="49"/>
      <x:c r="C139" s="49"/>
      <x:c r="D139" s="49"/>
      <x:c r="E139" s="49"/>
      <x:c r="F139" s="49"/>
      <x:c r="G139" s="49"/>
      <x:c r="H139" s="49"/>
      <x:c r="I139" s="49"/>
      <x:c r="J139" s="49"/>
      <x:c r="K139" s="49"/>
      <x:c r="L139" s="49"/>
      <x:c r="M139" s="49"/>
      <x:c r="N139" s="49"/>
      <x:c r="O139" s="49"/>
      <x:c r="P139" s="49"/>
      <x:c r="Q139" s="49"/>
      <x:c r="R139" s="49"/>
      <x:c r="S139" s="49"/>
      <x:c r="T139" s="49"/>
      <x:c r="U139" s="49"/>
      <x:c r="V139" s="49"/>
      <x:c r="W139" s="49"/>
      <x:c r="X139" s="49"/>
      <x:c r="Y139" s="49"/>
      <x:c r="Z139" s="49"/>
      <x:c r="AA139" s="49"/>
      <x:c r="AB139" s="49"/>
      <x:c r="AC139" s="49"/>
      <x:c r="AD139" s="49"/>
      <x:c r="AE139" s="49"/>
      <x:c r="AF139" s="49"/>
      <x:c r="AG139" s="49"/>
      <x:c r="AH139" s="49"/>
      <x:c r="AI139" s="49"/>
      <x:c r="AJ139" s="49"/>
      <x:c r="AK139" s="49"/>
      <x:c r="AL139" s="49"/>
      <x:c r="AM139" s="49"/>
      <x:c r="AN139" s="49"/>
      <x:c r="AO139" s="49"/>
      <x:c r="AP139" s="49"/>
      <x:c r="AQ139" s="49"/>
      <x:c r="AR139" s="49"/>
      <x:c r="AS139" s="49"/>
      <x:c r="AT139" s="49"/>
      <x:c r="AU139" s="49"/>
      <x:c r="AV139" s="49"/>
      <x:c r="AW139" s="49"/>
      <x:c r="AX139" s="49"/>
      <x:c r="AY139" s="49"/>
      <x:c r="AZ139" s="49"/>
    </x:row>
    <x:row r="140">
      <x:c r="A140" s="49"/>
      <x:c r="B140" s="49"/>
      <x:c r="C140" s="49"/>
      <x:c r="D140" s="49"/>
      <x:c r="E140" s="49"/>
      <x:c r="F140" s="49"/>
      <x:c r="G140" s="49"/>
      <x:c r="H140" s="49"/>
      <x:c r="I140" s="49"/>
      <x:c r="J140" s="49"/>
      <x:c r="K140" s="49"/>
      <x:c r="L140" s="49"/>
      <x:c r="M140" s="49"/>
      <x:c r="N140" s="49"/>
      <x:c r="O140" s="49"/>
      <x:c r="P140" s="49"/>
      <x:c r="Q140" s="49"/>
      <x:c r="R140" s="49"/>
      <x:c r="S140" s="49"/>
      <x:c r="T140" s="49"/>
      <x:c r="U140" s="49"/>
      <x:c r="V140" s="49"/>
      <x:c r="W140" s="49"/>
      <x:c r="X140" s="49"/>
      <x:c r="Y140" s="49"/>
      <x:c r="Z140" s="49"/>
      <x:c r="AA140" s="49"/>
      <x:c r="AB140" s="49"/>
      <x:c r="AC140" s="49"/>
      <x:c r="AD140" s="49"/>
      <x:c r="AE140" s="49"/>
      <x:c r="AF140" s="49"/>
      <x:c r="AG140" s="49"/>
      <x:c r="AH140" s="49"/>
      <x:c r="AI140" s="49"/>
      <x:c r="AJ140" s="49"/>
      <x:c r="AK140" s="49"/>
      <x:c r="AL140" s="49"/>
      <x:c r="AM140" s="49"/>
      <x:c r="AN140" s="49"/>
      <x:c r="AO140" s="49"/>
      <x:c r="AP140" s="49"/>
      <x:c r="AQ140" s="49"/>
      <x:c r="AR140" s="49"/>
      <x:c r="AS140" s="49"/>
      <x:c r="AT140" s="49"/>
      <x:c r="AU140" s="49"/>
      <x:c r="AV140" s="49"/>
      <x:c r="AW140" s="49"/>
      <x:c r="AX140" s="49"/>
      <x:c r="AY140" s="49"/>
      <x:c r="AZ140" s="49"/>
    </x:row>
    <x:row r="141">
      <x:c r="A141" s="49"/>
      <x:c r="B141" s="49"/>
      <x:c r="C141" s="49"/>
      <x:c r="D141" s="49"/>
      <x:c r="E141" s="49"/>
      <x:c r="F141" s="49"/>
      <x:c r="G141" s="49"/>
      <x:c r="H141" s="49"/>
      <x:c r="I141" s="49"/>
      <x:c r="J141" s="49"/>
      <x:c r="K141" s="49"/>
      <x:c r="L141" s="49"/>
      <x:c r="M141" s="49"/>
      <x:c r="N141" s="49"/>
      <x:c r="O141" s="49"/>
      <x:c r="P141" s="49"/>
      <x:c r="Q141" s="49"/>
      <x:c r="R141" s="49"/>
      <x:c r="S141" s="49"/>
      <x:c r="T141" s="49"/>
      <x:c r="U141" s="49"/>
      <x:c r="V141" s="49"/>
      <x:c r="W141" s="49"/>
      <x:c r="X141" s="49"/>
      <x:c r="Y141" s="49"/>
      <x:c r="Z141" s="49"/>
      <x:c r="AA141" s="49"/>
      <x:c r="AB141" s="49"/>
      <x:c r="AC141" s="49"/>
      <x:c r="AD141" s="49"/>
      <x:c r="AE141" s="49"/>
      <x:c r="AF141" s="49"/>
      <x:c r="AG141" s="49"/>
      <x:c r="AH141" s="49"/>
      <x:c r="AI141" s="49"/>
      <x:c r="AJ141" s="49"/>
      <x:c r="AK141" s="49"/>
      <x:c r="AL141" s="49"/>
      <x:c r="AM141" s="49"/>
      <x:c r="AN141" s="49"/>
      <x:c r="AO141" s="49"/>
      <x:c r="AP141" s="49"/>
      <x:c r="AQ141" s="49"/>
      <x:c r="AR141" s="49"/>
      <x:c r="AS141" s="49"/>
      <x:c r="AT141" s="49"/>
      <x:c r="AU141" s="49"/>
      <x:c r="AV141" s="49"/>
      <x:c r="AW141" s="49"/>
      <x:c r="AX141" s="49"/>
      <x:c r="AY141" s="49"/>
      <x:c r="AZ141" s="49"/>
    </x:row>
    <x:row r="142">
      <x:c r="A142" s="49"/>
      <x:c r="B142" s="49"/>
      <x:c r="C142" s="49"/>
      <x:c r="D142" s="49"/>
      <x:c r="E142" s="49"/>
      <x:c r="F142" s="49"/>
      <x:c r="G142" s="49"/>
      <x:c r="H142" s="49"/>
      <x:c r="I142" s="49"/>
      <x:c r="J142" s="49"/>
      <x:c r="K142" s="49"/>
      <x:c r="L142" s="49"/>
      <x:c r="M142" s="49"/>
      <x:c r="N142" s="49"/>
      <x:c r="O142" s="49"/>
      <x:c r="P142" s="49"/>
      <x:c r="Q142" s="49"/>
      <x:c r="R142" s="49"/>
      <x:c r="S142" s="49"/>
      <x:c r="T142" s="49"/>
      <x:c r="U142" s="49"/>
      <x:c r="V142" s="49"/>
      <x:c r="W142" s="49"/>
      <x:c r="X142" s="49"/>
      <x:c r="Y142" s="49"/>
      <x:c r="Z142" s="49"/>
      <x:c r="AA142" s="49"/>
      <x:c r="AB142" s="49"/>
      <x:c r="AC142" s="49"/>
      <x:c r="AD142" s="49"/>
      <x:c r="AE142" s="49"/>
      <x:c r="AF142" s="49"/>
      <x:c r="AG142" s="49"/>
      <x:c r="AH142" s="49"/>
      <x:c r="AI142" s="49"/>
      <x:c r="AJ142" s="49"/>
      <x:c r="AK142" s="49"/>
      <x:c r="AL142" s="49"/>
      <x:c r="AM142" s="49"/>
      <x:c r="AN142" s="49"/>
      <x:c r="AO142" s="49"/>
      <x:c r="AP142" s="49"/>
      <x:c r="AQ142" s="49"/>
      <x:c r="AR142" s="49"/>
      <x:c r="AS142" s="49"/>
      <x:c r="AT142" s="49"/>
      <x:c r="AU142" s="49"/>
      <x:c r="AV142" s="49"/>
      <x:c r="AW142" s="49"/>
      <x:c r="AX142" s="49"/>
      <x:c r="AY142" s="49"/>
      <x:c r="AZ142" s="49"/>
    </x:row>
    <x:row r="143">
      <x:c r="A143" s="49"/>
      <x:c r="B143" s="49"/>
      <x:c r="C143" s="49"/>
      <x:c r="D143" s="49"/>
      <x:c r="E143" s="49"/>
      <x:c r="F143" s="49"/>
      <x:c r="G143" s="49"/>
      <x:c r="H143" s="49"/>
      <x:c r="I143" s="49"/>
      <x:c r="J143" s="49"/>
      <x:c r="K143" s="49"/>
      <x:c r="L143" s="49"/>
      <x:c r="M143" s="49"/>
      <x:c r="N143" s="49"/>
      <x:c r="O143" s="49"/>
      <x:c r="P143" s="49"/>
      <x:c r="Q143" s="49"/>
      <x:c r="R143" s="49"/>
      <x:c r="S143" s="49"/>
      <x:c r="T143" s="49"/>
      <x:c r="U143" s="49"/>
      <x:c r="V143" s="49"/>
      <x:c r="W143" s="49"/>
      <x:c r="X143" s="49"/>
      <x:c r="Y143" s="49"/>
      <x:c r="Z143" s="49"/>
      <x:c r="AA143" s="49"/>
      <x:c r="AB143" s="49"/>
      <x:c r="AC143" s="49"/>
      <x:c r="AD143" s="49"/>
      <x:c r="AE143" s="49"/>
      <x:c r="AF143" s="49"/>
      <x:c r="AG143" s="49"/>
      <x:c r="AH143" s="49"/>
      <x:c r="AI143" s="49"/>
      <x:c r="AJ143" s="49"/>
      <x:c r="AK143" s="49"/>
      <x:c r="AL143" s="49"/>
      <x:c r="AM143" s="49"/>
      <x:c r="AN143" s="49"/>
      <x:c r="AO143" s="49"/>
      <x:c r="AP143" s="49"/>
      <x:c r="AQ143" s="49"/>
      <x:c r="AR143" s="49"/>
      <x:c r="AS143" s="49"/>
      <x:c r="AT143" s="49"/>
      <x:c r="AU143" s="49"/>
      <x:c r="AV143" s="49"/>
      <x:c r="AW143" s="49"/>
      <x:c r="AX143" s="49"/>
      <x:c r="AY143" s="49"/>
      <x:c r="AZ143" s="49"/>
    </x:row>
    <x:row r="144">
      <x:c r="A144" s="49"/>
      <x:c r="B144" s="49"/>
      <x:c r="C144" s="49"/>
      <x:c r="D144" s="49"/>
      <x:c r="E144" s="49"/>
      <x:c r="F144" s="49"/>
      <x:c r="G144" s="49"/>
      <x:c r="H144" s="49"/>
      <x:c r="I144" s="49"/>
      <x:c r="J144" s="49"/>
      <x:c r="K144" s="49"/>
      <x:c r="L144" s="49"/>
      <x:c r="M144" s="49"/>
      <x:c r="N144" s="49"/>
      <x:c r="O144" s="49"/>
      <x:c r="P144" s="49"/>
      <x:c r="Q144" s="49"/>
      <x:c r="R144" s="49"/>
      <x:c r="S144" s="49"/>
      <x:c r="T144" s="49"/>
      <x:c r="U144" s="49"/>
      <x:c r="V144" s="49"/>
      <x:c r="W144" s="49"/>
      <x:c r="X144" s="49"/>
      <x:c r="Y144" s="49"/>
      <x:c r="Z144" s="49"/>
      <x:c r="AA144" s="49"/>
      <x:c r="AB144" s="49"/>
      <x:c r="AC144" s="49"/>
      <x:c r="AD144" s="49"/>
      <x:c r="AE144" s="49"/>
      <x:c r="AF144" s="49"/>
      <x:c r="AG144" s="49"/>
      <x:c r="AH144" s="49"/>
      <x:c r="AI144" s="49"/>
      <x:c r="AJ144" s="49"/>
      <x:c r="AK144" s="49"/>
      <x:c r="AL144" s="49"/>
      <x:c r="AM144" s="49"/>
      <x:c r="AN144" s="49"/>
      <x:c r="AO144" s="49"/>
      <x:c r="AP144" s="49"/>
      <x:c r="AQ144" s="49"/>
      <x:c r="AR144" s="49"/>
      <x:c r="AS144" s="49"/>
      <x:c r="AT144" s="49"/>
      <x:c r="AU144" s="49"/>
      <x:c r="AV144" s="49"/>
      <x:c r="AW144" s="49"/>
      <x:c r="AX144" s="49"/>
      <x:c r="AY144" s="49"/>
      <x:c r="AZ144" s="49"/>
    </x:row>
    <x:row r="145">
      <x:c r="A145" s="49"/>
      <x:c r="B145" s="49"/>
      <x:c r="C145" s="49"/>
      <x:c r="D145" s="49"/>
      <x:c r="E145" s="49"/>
      <x:c r="F145" s="49"/>
      <x:c r="G145" s="49"/>
      <x:c r="H145" s="49"/>
      <x:c r="I145" s="49"/>
      <x:c r="J145" s="49"/>
      <x:c r="K145" s="49"/>
      <x:c r="L145" s="49"/>
      <x:c r="M145" s="49"/>
      <x:c r="N145" s="49"/>
      <x:c r="O145" s="49"/>
      <x:c r="P145" s="49"/>
      <x:c r="Q145" s="49"/>
      <x:c r="R145" s="49"/>
      <x:c r="S145" s="49"/>
      <x:c r="T145" s="49"/>
      <x:c r="U145" s="49"/>
      <x:c r="V145" s="49"/>
      <x:c r="W145" s="49"/>
      <x:c r="X145" s="49"/>
      <x:c r="Y145" s="49"/>
      <x:c r="Z145" s="49"/>
      <x:c r="AA145" s="49"/>
      <x:c r="AB145" s="49"/>
      <x:c r="AC145" s="49"/>
      <x:c r="AD145" s="49"/>
      <x:c r="AE145" s="49"/>
      <x:c r="AF145" s="49"/>
      <x:c r="AG145" s="49"/>
      <x:c r="AH145" s="49"/>
      <x:c r="AI145" s="49"/>
      <x:c r="AJ145" s="49"/>
      <x:c r="AK145" s="49"/>
      <x:c r="AL145" s="49"/>
      <x:c r="AM145" s="49"/>
      <x:c r="AN145" s="49"/>
      <x:c r="AO145" s="49"/>
      <x:c r="AP145" s="49"/>
      <x:c r="AQ145" s="49"/>
      <x:c r="AR145" s="49"/>
      <x:c r="AS145" s="49"/>
      <x:c r="AT145" s="49"/>
      <x:c r="AU145" s="49"/>
      <x:c r="AV145" s="49"/>
      <x:c r="AW145" s="49"/>
      <x:c r="AX145" s="49"/>
      <x:c r="AY145" s="49"/>
      <x:c r="AZ145" s="49"/>
    </x:row>
    <x:row r="146">
      <x:c r="A146" s="49"/>
      <x:c r="B146" s="49"/>
      <x:c r="C146" s="49"/>
      <x:c r="D146" s="49"/>
      <x:c r="E146" s="49"/>
      <x:c r="F146" s="49"/>
      <x:c r="G146" s="49"/>
      <x:c r="H146" s="49"/>
      <x:c r="I146" s="49"/>
      <x:c r="J146" s="49"/>
      <x:c r="K146" s="49"/>
      <x:c r="L146" s="49"/>
      <x:c r="M146" s="49"/>
      <x:c r="N146" s="49"/>
      <x:c r="O146" s="49"/>
      <x:c r="P146" s="49"/>
      <x:c r="Q146" s="49"/>
      <x:c r="R146" s="49"/>
      <x:c r="S146" s="49"/>
      <x:c r="T146" s="49"/>
      <x:c r="U146" s="49"/>
      <x:c r="V146" s="49"/>
      <x:c r="W146" s="49"/>
      <x:c r="X146" s="49"/>
      <x:c r="Y146" s="49"/>
      <x:c r="Z146" s="49"/>
      <x:c r="AA146" s="49"/>
      <x:c r="AB146" s="49"/>
      <x:c r="AC146" s="49"/>
      <x:c r="AD146" s="49"/>
      <x:c r="AE146" s="49"/>
      <x:c r="AF146" s="49"/>
      <x:c r="AG146" s="49"/>
      <x:c r="AH146" s="49"/>
      <x:c r="AI146" s="49"/>
      <x:c r="AJ146" s="49"/>
      <x:c r="AK146" s="49"/>
      <x:c r="AL146" s="49"/>
      <x:c r="AM146" s="49"/>
      <x:c r="AN146" s="49"/>
      <x:c r="AO146" s="49"/>
      <x:c r="AP146" s="49"/>
      <x:c r="AQ146" s="49"/>
      <x:c r="AR146" s="49"/>
      <x:c r="AS146" s="49"/>
      <x:c r="AT146" s="49"/>
      <x:c r="AU146" s="49"/>
      <x:c r="AV146" s="49"/>
      <x:c r="AW146" s="49"/>
      <x:c r="AX146" s="49"/>
      <x:c r="AY146" s="49"/>
      <x:c r="AZ146" s="49"/>
    </x:row>
    <x:row r="147">
      <x:c r="A147" s="49"/>
      <x:c r="B147" s="49"/>
      <x:c r="C147" s="49"/>
      <x:c r="D147" s="49"/>
      <x:c r="E147" s="49"/>
      <x:c r="F147" s="49"/>
      <x:c r="G147" s="49"/>
      <x:c r="H147" s="49"/>
      <x:c r="I147" s="49"/>
      <x:c r="J147" s="49"/>
      <x:c r="K147" s="49"/>
      <x:c r="L147" s="49"/>
      <x:c r="M147" s="49"/>
      <x:c r="N147" s="49"/>
      <x:c r="O147" s="49"/>
      <x:c r="P147" s="49"/>
      <x:c r="Q147" s="49"/>
      <x:c r="R147" s="49"/>
      <x:c r="S147" s="49"/>
      <x:c r="T147" s="49"/>
      <x:c r="U147" s="49"/>
      <x:c r="V147" s="49"/>
      <x:c r="W147" s="49"/>
      <x:c r="X147" s="49"/>
      <x:c r="Y147" s="49"/>
      <x:c r="Z147" s="49"/>
      <x:c r="AA147" s="49"/>
      <x:c r="AB147" s="49"/>
      <x:c r="AC147" s="49"/>
      <x:c r="AD147" s="49"/>
      <x:c r="AE147" s="49"/>
      <x:c r="AF147" s="49"/>
      <x:c r="AG147" s="49"/>
      <x:c r="AH147" s="49"/>
      <x:c r="AI147" s="49"/>
      <x:c r="AJ147" s="49"/>
      <x:c r="AK147" s="49"/>
      <x:c r="AL147" s="49"/>
      <x:c r="AM147" s="49"/>
      <x:c r="AN147" s="49"/>
      <x:c r="AO147" s="49"/>
      <x:c r="AP147" s="49"/>
      <x:c r="AQ147" s="49"/>
      <x:c r="AR147" s="49"/>
      <x:c r="AS147" s="49"/>
      <x:c r="AT147" s="49"/>
      <x:c r="AU147" s="49"/>
      <x:c r="AV147" s="49"/>
      <x:c r="AW147" s="49"/>
      <x:c r="AX147" s="49"/>
      <x:c r="AY147" s="49"/>
      <x:c r="AZ147" s="49"/>
    </x:row>
    <x:row r="148">
      <x:c r="A148" s="49"/>
      <x:c r="B148" s="49"/>
      <x:c r="C148" s="49"/>
      <x:c r="D148" s="49"/>
      <x:c r="E148" s="49"/>
      <x:c r="F148" s="49"/>
      <x:c r="G148" s="49"/>
      <x:c r="H148" s="49"/>
      <x:c r="I148" s="49"/>
      <x:c r="J148" s="49"/>
      <x:c r="K148" s="49"/>
      <x:c r="L148" s="49"/>
      <x:c r="M148" s="49"/>
      <x:c r="N148" s="49"/>
      <x:c r="O148" s="49"/>
      <x:c r="P148" s="49"/>
      <x:c r="Q148" s="49"/>
      <x:c r="R148" s="49"/>
      <x:c r="S148" s="49"/>
      <x:c r="T148" s="49"/>
      <x:c r="U148" s="49"/>
      <x:c r="V148" s="49"/>
      <x:c r="W148" s="49"/>
      <x:c r="X148" s="49"/>
      <x:c r="Y148" s="49"/>
      <x:c r="Z148" s="49"/>
      <x:c r="AA148" s="49"/>
      <x:c r="AB148" s="49"/>
      <x:c r="AC148" s="49"/>
      <x:c r="AD148" s="49"/>
      <x:c r="AE148" s="49"/>
      <x:c r="AF148" s="49"/>
      <x:c r="AG148" s="49"/>
      <x:c r="AH148" s="49"/>
      <x:c r="AI148" s="49"/>
      <x:c r="AJ148" s="49"/>
      <x:c r="AK148" s="49"/>
      <x:c r="AL148" s="49"/>
      <x:c r="AM148" s="49"/>
      <x:c r="AN148" s="49"/>
      <x:c r="AO148" s="49"/>
      <x:c r="AP148" s="49"/>
      <x:c r="AQ148" s="49"/>
      <x:c r="AR148" s="49"/>
      <x:c r="AS148" s="49"/>
      <x:c r="AT148" s="49"/>
      <x:c r="AU148" s="49"/>
      <x:c r="AV148" s="49"/>
      <x:c r="AW148" s="49"/>
      <x:c r="AX148" s="49"/>
      <x:c r="AY148" s="49"/>
      <x:c r="AZ148" s="49"/>
    </x:row>
    <x:row r="149">
      <x:c r="A149" s="49"/>
      <x:c r="B149" s="49"/>
      <x:c r="C149" s="49"/>
      <x:c r="D149" s="49"/>
      <x:c r="E149" s="49"/>
      <x:c r="F149" s="49"/>
      <x:c r="G149" s="49"/>
      <x:c r="H149" s="49"/>
      <x:c r="I149" s="49"/>
      <x:c r="J149" s="49"/>
      <x:c r="K149" s="49"/>
      <x:c r="L149" s="49"/>
      <x:c r="M149" s="49"/>
      <x:c r="N149" s="49"/>
      <x:c r="O149" s="49"/>
      <x:c r="P149" s="49"/>
      <x:c r="Q149" s="49"/>
      <x:c r="R149" s="49"/>
      <x:c r="S149" s="49"/>
      <x:c r="T149" s="49"/>
      <x:c r="U149" s="49"/>
      <x:c r="V149" s="49"/>
      <x:c r="W149" s="49"/>
      <x:c r="X149" s="49"/>
      <x:c r="Y149" s="49"/>
      <x:c r="Z149" s="49"/>
      <x:c r="AA149" s="49"/>
      <x:c r="AB149" s="49"/>
      <x:c r="AC149" s="49"/>
      <x:c r="AD149" s="49"/>
      <x:c r="AE149" s="49"/>
      <x:c r="AF149" s="49"/>
      <x:c r="AG149" s="49"/>
      <x:c r="AH149" s="49"/>
      <x:c r="AI149" s="49"/>
      <x:c r="AJ149" s="49"/>
      <x:c r="AK149" s="49"/>
      <x:c r="AL149" s="49"/>
      <x:c r="AM149" s="49"/>
      <x:c r="AN149" s="49"/>
      <x:c r="AO149" s="49"/>
      <x:c r="AP149" s="49"/>
      <x:c r="AQ149" s="49"/>
      <x:c r="AR149" s="49"/>
      <x:c r="AS149" s="49"/>
      <x:c r="AT149" s="49"/>
      <x:c r="AU149" s="49"/>
      <x:c r="AV149" s="49"/>
      <x:c r="AW149" s="49"/>
      <x:c r="AX149" s="49"/>
      <x:c r="AY149" s="49"/>
      <x:c r="AZ149" s="49"/>
    </x:row>
    <x:row r="150">
      <x:c r="A150" s="49"/>
      <x:c r="B150" s="49"/>
      <x:c r="C150" s="49"/>
      <x:c r="D150" s="49"/>
      <x:c r="E150" s="49"/>
      <x:c r="F150" s="49"/>
      <x:c r="G150" s="49"/>
      <x:c r="H150" s="49"/>
      <x:c r="I150" s="49"/>
      <x:c r="J150" s="49"/>
      <x:c r="K150" s="49"/>
      <x:c r="L150" s="49"/>
      <x:c r="M150" s="49"/>
      <x:c r="N150" s="49"/>
      <x:c r="O150" s="49"/>
      <x:c r="P150" s="49"/>
      <x:c r="Q150" s="49"/>
      <x:c r="R150" s="49"/>
      <x:c r="S150" s="49"/>
      <x:c r="T150" s="49"/>
      <x:c r="U150" s="49"/>
      <x:c r="V150" s="49"/>
      <x:c r="W150" s="49"/>
      <x:c r="X150" s="49"/>
      <x:c r="Y150" s="49"/>
      <x:c r="Z150" s="49"/>
      <x:c r="AA150" s="49"/>
      <x:c r="AB150" s="49"/>
      <x:c r="AC150" s="49"/>
      <x:c r="AD150" s="49"/>
      <x:c r="AE150" s="49"/>
      <x:c r="AF150" s="49"/>
      <x:c r="AG150" s="49"/>
      <x:c r="AH150" s="49"/>
      <x:c r="AI150" s="49"/>
      <x:c r="AJ150" s="49"/>
      <x:c r="AK150" s="49"/>
      <x:c r="AL150" s="49"/>
      <x:c r="AM150" s="49"/>
      <x:c r="AN150" s="49"/>
      <x:c r="AO150" s="49"/>
      <x:c r="AP150" s="49"/>
      <x:c r="AQ150" s="49"/>
      <x:c r="AR150" s="49"/>
      <x:c r="AS150" s="49"/>
      <x:c r="AT150" s="49"/>
      <x:c r="AU150" s="49"/>
      <x:c r="AV150" s="49"/>
      <x:c r="AW150" s="49"/>
      <x:c r="AX150" s="49"/>
      <x:c r="AY150" s="49"/>
      <x:c r="AZ150" s="49"/>
    </x:row>
    <x:row r="151">
      <x:c r="A151" s="49"/>
      <x:c r="B151" s="49"/>
      <x:c r="C151" s="49"/>
      <x:c r="D151" s="49"/>
      <x:c r="E151" s="49"/>
      <x:c r="F151" s="49"/>
      <x:c r="G151" s="49"/>
      <x:c r="H151" s="49"/>
      <x:c r="I151" s="49"/>
      <x:c r="J151" s="49"/>
      <x:c r="K151" s="49"/>
      <x:c r="L151" s="49"/>
      <x:c r="M151" s="49"/>
      <x:c r="N151" s="49"/>
      <x:c r="O151" s="49"/>
      <x:c r="P151" s="49"/>
      <x:c r="Q151" s="49"/>
      <x:c r="R151" s="49"/>
      <x:c r="S151" s="49"/>
      <x:c r="T151" s="49"/>
      <x:c r="U151" s="49"/>
      <x:c r="V151" s="49"/>
      <x:c r="W151" s="49"/>
      <x:c r="X151" s="49"/>
      <x:c r="Y151" s="49"/>
      <x:c r="Z151" s="49"/>
      <x:c r="AA151" s="49"/>
      <x:c r="AB151" s="49"/>
      <x:c r="AC151" s="49"/>
      <x:c r="AD151" s="49"/>
      <x:c r="AE151" s="49"/>
      <x:c r="AF151" s="49"/>
      <x:c r="AG151" s="49"/>
      <x:c r="AH151" s="49"/>
      <x:c r="AI151" s="49"/>
      <x:c r="AJ151" s="49"/>
      <x:c r="AK151" s="49"/>
      <x:c r="AL151" s="49"/>
      <x:c r="AM151" s="49"/>
      <x:c r="AN151" s="49"/>
      <x:c r="AO151" s="49"/>
      <x:c r="AP151" s="49"/>
      <x:c r="AQ151" s="49"/>
      <x:c r="AR151" s="49"/>
      <x:c r="AS151" s="49"/>
      <x:c r="AT151" s="49"/>
      <x:c r="AU151" s="49"/>
      <x:c r="AV151" s="49"/>
      <x:c r="AW151" s="49"/>
      <x:c r="AX151" s="49"/>
      <x:c r="AY151" s="49"/>
      <x:c r="AZ151" s="49"/>
    </x:row>
    <x:row r="152">
      <x:c r="A152" s="49"/>
      <x:c r="B152" s="49"/>
      <x:c r="C152" s="49"/>
      <x:c r="D152" s="49"/>
      <x:c r="E152" s="49"/>
      <x:c r="F152" s="49"/>
      <x:c r="G152" s="49"/>
      <x:c r="H152" s="49"/>
      <x:c r="I152" s="49"/>
      <x:c r="J152" s="49"/>
      <x:c r="K152" s="49"/>
      <x:c r="L152" s="49"/>
      <x:c r="M152" s="49"/>
      <x:c r="N152" s="49"/>
      <x:c r="O152" s="49"/>
      <x:c r="P152" s="49"/>
      <x:c r="Q152" s="49"/>
      <x:c r="R152" s="49"/>
      <x:c r="S152" s="49"/>
      <x:c r="T152" s="49"/>
      <x:c r="U152" s="49"/>
      <x:c r="V152" s="49"/>
      <x:c r="W152" s="49"/>
      <x:c r="X152" s="49"/>
      <x:c r="Y152" s="49"/>
      <x:c r="Z152" s="49"/>
      <x:c r="AA152" s="49"/>
      <x:c r="AB152" s="49"/>
      <x:c r="AC152" s="49"/>
      <x:c r="AD152" s="49"/>
      <x:c r="AE152" s="49"/>
      <x:c r="AF152" s="49"/>
      <x:c r="AG152" s="49"/>
      <x:c r="AH152" s="49"/>
      <x:c r="AI152" s="49"/>
      <x:c r="AJ152" s="49"/>
      <x:c r="AK152" s="49"/>
      <x:c r="AL152" s="49"/>
      <x:c r="AM152" s="49"/>
      <x:c r="AN152" s="49"/>
      <x:c r="AO152" s="49"/>
      <x:c r="AP152" s="49"/>
      <x:c r="AQ152" s="49"/>
      <x:c r="AR152" s="49"/>
      <x:c r="AS152" s="49"/>
      <x:c r="AT152" s="49"/>
      <x:c r="AU152" s="49"/>
      <x:c r="AV152" s="49"/>
      <x:c r="AW152" s="49"/>
      <x:c r="AX152" s="49"/>
      <x:c r="AY152" s="49"/>
      <x:c r="AZ152" s="49"/>
    </x:row>
    <x:row r="153">
      <x:c r="A153" s="49"/>
      <x:c r="B153" s="49"/>
      <x:c r="C153" s="49"/>
      <x:c r="D153" s="49"/>
      <x:c r="E153" s="49"/>
      <x:c r="F153" s="49"/>
      <x:c r="G153" s="49"/>
      <x:c r="H153" s="49"/>
      <x:c r="I153" s="49"/>
      <x:c r="J153" s="49"/>
      <x:c r="K153" s="49"/>
      <x:c r="L153" s="49"/>
      <x:c r="M153" s="49"/>
      <x:c r="N153" s="49"/>
      <x:c r="O153" s="49"/>
      <x:c r="P153" s="49"/>
      <x:c r="Q153" s="49"/>
      <x:c r="R153" s="49"/>
      <x:c r="S153" s="49"/>
      <x:c r="T153" s="49"/>
      <x:c r="U153" s="49"/>
      <x:c r="V153" s="49"/>
      <x:c r="W153" s="49"/>
      <x:c r="X153" s="49"/>
      <x:c r="Y153" s="49"/>
      <x:c r="Z153" s="49"/>
      <x:c r="AA153" s="49"/>
      <x:c r="AB153" s="49"/>
      <x:c r="AC153" s="49"/>
      <x:c r="AD153" s="49"/>
      <x:c r="AE153" s="49"/>
      <x:c r="AF153" s="49"/>
      <x:c r="AG153" s="49"/>
      <x:c r="AH153" s="49"/>
      <x:c r="AI153" s="49"/>
      <x:c r="AJ153" s="49"/>
      <x:c r="AK153" s="49"/>
      <x:c r="AL153" s="49"/>
      <x:c r="AM153" s="49"/>
      <x:c r="AN153" s="49"/>
      <x:c r="AO153" s="49"/>
      <x:c r="AP153" s="49"/>
      <x:c r="AQ153" s="49"/>
      <x:c r="AR153" s="49"/>
      <x:c r="AS153" s="49"/>
      <x:c r="AT153" s="49"/>
      <x:c r="AU153" s="49"/>
      <x:c r="AV153" s="49"/>
      <x:c r="AW153" s="49"/>
      <x:c r="AX153" s="49"/>
      <x:c r="AY153" s="49"/>
      <x:c r="AZ153" s="49"/>
    </x:row>
    <x:row r="154">
      <x:c r="A154" s="49"/>
      <x:c r="B154" s="49"/>
      <x:c r="C154" s="49"/>
      <x:c r="D154" s="49"/>
      <x:c r="E154" s="49"/>
      <x:c r="F154" s="49"/>
      <x:c r="G154" s="49"/>
      <x:c r="H154" s="49"/>
      <x:c r="I154" s="49"/>
      <x:c r="J154" s="49"/>
      <x:c r="K154" s="49"/>
      <x:c r="L154" s="49"/>
      <x:c r="M154" s="49"/>
      <x:c r="N154" s="49"/>
      <x:c r="O154" s="49"/>
      <x:c r="P154" s="49"/>
      <x:c r="Q154" s="49"/>
      <x:c r="R154" s="49"/>
      <x:c r="S154" s="49"/>
      <x:c r="T154" s="49"/>
      <x:c r="U154" s="49"/>
      <x:c r="V154" s="49"/>
      <x:c r="W154" s="49"/>
      <x:c r="X154" s="49"/>
      <x:c r="Y154" s="49"/>
      <x:c r="Z154" s="49"/>
      <x:c r="AA154" s="49"/>
      <x:c r="AB154" s="49"/>
      <x:c r="AC154" s="49"/>
      <x:c r="AD154" s="49"/>
      <x:c r="AE154" s="49"/>
      <x:c r="AF154" s="49"/>
      <x:c r="AG154" s="49"/>
      <x:c r="AH154" s="49"/>
      <x:c r="AI154" s="49"/>
      <x:c r="AJ154" s="49"/>
      <x:c r="AK154" s="49"/>
      <x:c r="AL154" s="49"/>
      <x:c r="AM154" s="49"/>
      <x:c r="AN154" s="49"/>
      <x:c r="AO154" s="49"/>
      <x:c r="AP154" s="49"/>
      <x:c r="AQ154" s="49"/>
      <x:c r="AR154" s="49"/>
      <x:c r="AS154" s="49"/>
      <x:c r="AT154" s="49"/>
      <x:c r="AU154" s="49"/>
      <x:c r="AV154" s="49"/>
      <x:c r="AW154" s="49"/>
      <x:c r="AX154" s="49"/>
      <x:c r="AY154" s="49"/>
      <x:c r="AZ154" s="49"/>
    </x:row>
    <x:row r="155">
      <x:c r="A155" s="49"/>
      <x:c r="B155" s="49"/>
      <x:c r="C155" s="49"/>
      <x:c r="D155" s="49"/>
      <x:c r="E155" s="49"/>
      <x:c r="F155" s="49"/>
      <x:c r="G155" s="49"/>
      <x:c r="H155" s="49"/>
      <x:c r="I155" s="49"/>
      <x:c r="J155" s="49"/>
      <x:c r="K155" s="49"/>
      <x:c r="L155" s="49"/>
      <x:c r="M155" s="49"/>
      <x:c r="N155" s="49"/>
      <x:c r="O155" s="49"/>
      <x:c r="P155" s="49"/>
      <x:c r="Q155" s="49"/>
      <x:c r="R155" s="49"/>
      <x:c r="S155" s="49"/>
      <x:c r="T155" s="49"/>
      <x:c r="U155" s="49"/>
      <x:c r="V155" s="49"/>
      <x:c r="W155" s="49"/>
      <x:c r="X155" s="49"/>
      <x:c r="Y155" s="49"/>
      <x:c r="Z155" s="49"/>
      <x:c r="AA155" s="49"/>
      <x:c r="AB155" s="49"/>
      <x:c r="AC155" s="49"/>
      <x:c r="AD155" s="49"/>
      <x:c r="AE155" s="49"/>
      <x:c r="AF155" s="49"/>
      <x:c r="AG155" s="49"/>
      <x:c r="AH155" s="49"/>
      <x:c r="AI155" s="49"/>
      <x:c r="AJ155" s="49"/>
      <x:c r="AK155" s="49"/>
      <x:c r="AL155" s="49"/>
      <x:c r="AM155" s="49"/>
      <x:c r="AN155" s="49"/>
      <x:c r="AO155" s="49"/>
      <x:c r="AP155" s="49"/>
      <x:c r="AQ155" s="49"/>
      <x:c r="AR155" s="49"/>
      <x:c r="AS155" s="49"/>
      <x:c r="AT155" s="49"/>
      <x:c r="AU155" s="49"/>
      <x:c r="AV155" s="49"/>
      <x:c r="AW155" s="49"/>
      <x:c r="AX155" s="49"/>
      <x:c r="AY155" s="49"/>
      <x:c r="AZ155" s="49"/>
    </x:row>
    <x:row r="156">
      <x:c r="A156" s="49"/>
      <x:c r="B156" s="49"/>
      <x:c r="C156" s="49"/>
      <x:c r="D156" s="49"/>
      <x:c r="E156" s="49"/>
      <x:c r="F156" s="49"/>
      <x:c r="G156" s="49"/>
      <x:c r="H156" s="49"/>
      <x:c r="I156" s="49"/>
      <x:c r="J156" s="49"/>
      <x:c r="K156" s="49"/>
      <x:c r="L156" s="49"/>
      <x:c r="M156" s="49"/>
      <x:c r="N156" s="49"/>
      <x:c r="O156" s="49"/>
      <x:c r="P156" s="49"/>
      <x:c r="Q156" s="49"/>
      <x:c r="R156" s="49"/>
      <x:c r="S156" s="49"/>
      <x:c r="T156" s="49"/>
      <x:c r="U156" s="49"/>
      <x:c r="V156" s="49"/>
      <x:c r="W156" s="49"/>
      <x:c r="X156" s="49"/>
      <x:c r="Y156" s="49"/>
      <x:c r="Z156" s="49"/>
      <x:c r="AA156" s="49"/>
      <x:c r="AB156" s="49"/>
      <x:c r="AC156" s="49"/>
      <x:c r="AD156" s="49"/>
      <x:c r="AE156" s="49"/>
      <x:c r="AF156" s="49"/>
      <x:c r="AG156" s="49"/>
      <x:c r="AH156" s="49"/>
      <x:c r="AI156" s="49"/>
      <x:c r="AJ156" s="49"/>
      <x:c r="AK156" s="49"/>
      <x:c r="AL156" s="49"/>
      <x:c r="AM156" s="49"/>
      <x:c r="AN156" s="49"/>
      <x:c r="AO156" s="49"/>
      <x:c r="AP156" s="49"/>
      <x:c r="AQ156" s="49"/>
      <x:c r="AR156" s="49"/>
      <x:c r="AS156" s="49"/>
      <x:c r="AT156" s="49"/>
      <x:c r="AU156" s="49"/>
      <x:c r="AV156" s="49"/>
      <x:c r="AW156" s="49"/>
      <x:c r="AX156" s="49"/>
      <x:c r="AY156" s="49"/>
      <x:c r="AZ156" s="49"/>
    </x:row>
    <x:row r="157">
      <x:c r="A157" s="49"/>
      <x:c r="B157" s="49"/>
      <x:c r="C157" s="49"/>
      <x:c r="D157" s="49"/>
      <x:c r="E157" s="49"/>
      <x:c r="F157" s="49"/>
      <x:c r="G157" s="49"/>
      <x:c r="H157" s="49"/>
      <x:c r="I157" s="49"/>
      <x:c r="J157" s="49"/>
      <x:c r="K157" s="49"/>
      <x:c r="L157" s="49"/>
      <x:c r="M157" s="49"/>
      <x:c r="N157" s="49"/>
      <x:c r="O157" s="49"/>
      <x:c r="P157" s="49"/>
      <x:c r="Q157" s="49"/>
      <x:c r="R157" s="49"/>
      <x:c r="S157" s="49"/>
      <x:c r="T157" s="49"/>
      <x:c r="U157" s="49"/>
      <x:c r="V157" s="49"/>
      <x:c r="W157" s="49"/>
      <x:c r="X157" s="49"/>
      <x:c r="Y157" s="49"/>
      <x:c r="Z157" s="49"/>
      <x:c r="AA157" s="49"/>
      <x:c r="AB157" s="49"/>
      <x:c r="AC157" s="49"/>
      <x:c r="AD157" s="49"/>
      <x:c r="AE157" s="49"/>
      <x:c r="AF157" s="49"/>
      <x:c r="AG157" s="49"/>
      <x:c r="AH157" s="49"/>
      <x:c r="AI157" s="49"/>
      <x:c r="AJ157" s="49"/>
      <x:c r="AK157" s="49"/>
      <x:c r="AL157" s="49"/>
      <x:c r="AM157" s="49"/>
      <x:c r="AN157" s="49"/>
      <x:c r="AO157" s="49"/>
      <x:c r="AP157" s="49"/>
      <x:c r="AQ157" s="49"/>
      <x:c r="AR157" s="49"/>
      <x:c r="AS157" s="49"/>
      <x:c r="AT157" s="49"/>
      <x:c r="AU157" s="49"/>
      <x:c r="AV157" s="49"/>
      <x:c r="AW157" s="49"/>
      <x:c r="AX157" s="49"/>
      <x:c r="AY157" s="49"/>
      <x:c r="AZ157" s="49"/>
    </x:row>
    <x:row r="158">
      <x:c r="A158" s="49"/>
      <x:c r="B158" s="49"/>
      <x:c r="C158" s="49"/>
      <x:c r="D158" s="49"/>
      <x:c r="E158" s="49"/>
      <x:c r="F158" s="49"/>
      <x:c r="G158" s="49"/>
      <x:c r="H158" s="49"/>
      <x:c r="I158" s="49"/>
      <x:c r="J158" s="49"/>
      <x:c r="K158" s="49"/>
      <x:c r="L158" s="49"/>
      <x:c r="M158" s="49"/>
      <x:c r="N158" s="49"/>
      <x:c r="O158" s="49"/>
      <x:c r="P158" s="49"/>
      <x:c r="Q158" s="49"/>
      <x:c r="R158" s="49"/>
      <x:c r="S158" s="49"/>
      <x:c r="T158" s="49"/>
      <x:c r="U158" s="49"/>
      <x:c r="V158" s="49"/>
      <x:c r="W158" s="49"/>
      <x:c r="X158" s="49"/>
      <x:c r="Y158" s="49"/>
      <x:c r="Z158" s="49"/>
      <x:c r="AA158" s="49"/>
      <x:c r="AB158" s="49"/>
      <x:c r="AC158" s="49"/>
      <x:c r="AD158" s="49"/>
      <x:c r="AE158" s="49"/>
      <x:c r="AF158" s="49"/>
      <x:c r="AG158" s="49"/>
      <x:c r="AH158" s="49"/>
      <x:c r="AI158" s="49"/>
      <x:c r="AJ158" s="49"/>
      <x:c r="AK158" s="49"/>
      <x:c r="AL158" s="49"/>
      <x:c r="AM158" s="49"/>
      <x:c r="AN158" s="49"/>
      <x:c r="AO158" s="49"/>
      <x:c r="AP158" s="49"/>
      <x:c r="AQ158" s="49"/>
      <x:c r="AR158" s="49"/>
      <x:c r="AS158" s="49"/>
      <x:c r="AT158" s="49"/>
      <x:c r="AU158" s="49"/>
      <x:c r="AV158" s="49"/>
      <x:c r="AW158" s="49"/>
      <x:c r="AX158" s="49"/>
      <x:c r="AY158" s="49"/>
      <x:c r="AZ158" s="49"/>
    </x:row>
    <x:row r="159">
      <x:c r="A159" s="49"/>
      <x:c r="B159" s="49"/>
      <x:c r="C159" s="49"/>
      <x:c r="D159" s="49"/>
      <x:c r="E159" s="49"/>
      <x:c r="F159" s="49"/>
      <x:c r="G159" s="49"/>
      <x:c r="H159" s="49"/>
      <x:c r="I159" s="49"/>
      <x:c r="J159" s="49"/>
      <x:c r="K159" s="49"/>
      <x:c r="L159" s="49"/>
      <x:c r="M159" s="49"/>
      <x:c r="N159" s="49"/>
      <x:c r="O159" s="49"/>
      <x:c r="P159" s="49"/>
      <x:c r="Q159" s="49"/>
      <x:c r="R159" s="49"/>
      <x:c r="S159" s="49"/>
      <x:c r="T159" s="49"/>
      <x:c r="U159" s="49"/>
      <x:c r="V159" s="49"/>
      <x:c r="W159" s="49"/>
      <x:c r="X159" s="49"/>
      <x:c r="Y159" s="49"/>
      <x:c r="Z159" s="49"/>
      <x:c r="AA159" s="49"/>
      <x:c r="AB159" s="49"/>
      <x:c r="AC159" s="49"/>
      <x:c r="AD159" s="49"/>
      <x:c r="AE159" s="49"/>
      <x:c r="AF159" s="49"/>
      <x:c r="AG159" s="49"/>
      <x:c r="AH159" s="49"/>
      <x:c r="AI159" s="49"/>
      <x:c r="AJ159" s="49"/>
      <x:c r="AK159" s="49"/>
      <x:c r="AL159" s="49"/>
      <x:c r="AM159" s="49"/>
      <x:c r="AN159" s="49"/>
      <x:c r="AO159" s="49"/>
      <x:c r="AP159" s="49"/>
      <x:c r="AQ159" s="49"/>
      <x:c r="AR159" s="49"/>
      <x:c r="AS159" s="49"/>
      <x:c r="AT159" s="49"/>
      <x:c r="AU159" s="49"/>
      <x:c r="AV159" s="49"/>
      <x:c r="AW159" s="49"/>
      <x:c r="AX159" s="49"/>
      <x:c r="AY159" s="49"/>
      <x:c r="AZ159" s="49"/>
    </x:row>
    <x:row r="160">
      <x:c r="A160" s="49"/>
      <x:c r="B160" s="49"/>
      <x:c r="C160" s="49"/>
      <x:c r="D160" s="49"/>
      <x:c r="E160" s="49"/>
      <x:c r="F160" s="49"/>
      <x:c r="G160" s="49"/>
      <x:c r="H160" s="49"/>
      <x:c r="I160" s="49"/>
      <x:c r="J160" s="49"/>
      <x:c r="K160" s="49"/>
      <x:c r="L160" s="49"/>
      <x:c r="M160" s="49"/>
      <x:c r="N160" s="49"/>
      <x:c r="O160" s="49"/>
      <x:c r="P160" s="49"/>
      <x:c r="Q160" s="49"/>
      <x:c r="R160" s="49"/>
      <x:c r="S160" s="49"/>
      <x:c r="T160" s="49"/>
      <x:c r="U160" s="49"/>
      <x:c r="V160" s="49"/>
      <x:c r="W160" s="49"/>
      <x:c r="X160" s="49"/>
      <x:c r="Y160" s="49"/>
      <x:c r="Z160" s="49"/>
      <x:c r="AA160" s="49"/>
      <x:c r="AB160" s="49"/>
      <x:c r="AC160" s="49"/>
      <x:c r="AD160" s="49"/>
      <x:c r="AE160" s="49"/>
      <x:c r="AF160" s="49"/>
      <x:c r="AG160" s="49"/>
      <x:c r="AH160" s="49"/>
      <x:c r="AI160" s="49"/>
      <x:c r="AJ160" s="49"/>
      <x:c r="AK160" s="49"/>
      <x:c r="AL160" s="49"/>
      <x:c r="AM160" s="49"/>
      <x:c r="AN160" s="49"/>
      <x:c r="AO160" s="49"/>
      <x:c r="AP160" s="49"/>
      <x:c r="AQ160" s="49"/>
      <x:c r="AR160" s="49"/>
      <x:c r="AS160" s="49"/>
      <x:c r="AT160" s="49"/>
      <x:c r="AU160" s="49"/>
      <x:c r="AV160" s="49"/>
      <x:c r="AW160" s="49"/>
      <x:c r="AX160" s="49"/>
      <x:c r="AY160" s="49"/>
      <x:c r="AZ160" s="49"/>
    </x:row>
    <x:row r="161">
      <x:c r="A161" s="49"/>
      <x:c r="B161" s="49"/>
      <x:c r="C161" s="49"/>
      <x:c r="D161" s="49"/>
      <x:c r="E161" s="49"/>
      <x:c r="F161" s="49"/>
      <x:c r="G161" s="49"/>
      <x:c r="H161" s="49"/>
      <x:c r="I161" s="49"/>
      <x:c r="J161" s="49"/>
      <x:c r="K161" s="49"/>
      <x:c r="L161" s="49"/>
      <x:c r="M161" s="49"/>
      <x:c r="N161" s="49"/>
      <x:c r="O161" s="49"/>
      <x:c r="P161" s="49"/>
      <x:c r="Q161" s="49"/>
      <x:c r="R161" s="49"/>
      <x:c r="S161" s="49"/>
      <x:c r="T161" s="49"/>
      <x:c r="U161" s="49"/>
      <x:c r="V161" s="49"/>
      <x:c r="W161" s="49"/>
      <x:c r="X161" s="49"/>
      <x:c r="Y161" s="49"/>
      <x:c r="Z161" s="49"/>
      <x:c r="AA161" s="49"/>
      <x:c r="AB161" s="49"/>
      <x:c r="AC161" s="49"/>
      <x:c r="AD161" s="49"/>
      <x:c r="AE161" s="49"/>
      <x:c r="AF161" s="49"/>
      <x:c r="AG161" s="49"/>
      <x:c r="AH161" s="49"/>
      <x:c r="AI161" s="49"/>
      <x:c r="AJ161" s="49"/>
      <x:c r="AK161" s="49"/>
      <x:c r="AL161" s="49"/>
      <x:c r="AM161" s="49"/>
      <x:c r="AN161" s="49"/>
      <x:c r="AO161" s="49"/>
      <x:c r="AP161" s="49"/>
      <x:c r="AQ161" s="49"/>
      <x:c r="AR161" s="49"/>
      <x:c r="AS161" s="49"/>
      <x:c r="AT161" s="49"/>
      <x:c r="AU161" s="49"/>
      <x:c r="AV161" s="49"/>
      <x:c r="AW161" s="49"/>
      <x:c r="AX161" s="49"/>
      <x:c r="AY161" s="49"/>
      <x:c r="AZ161" s="49"/>
    </x:row>
    <x:row r="162">
      <x:c r="A162" s="49"/>
      <x:c r="B162" s="49"/>
      <x:c r="C162" s="49"/>
      <x:c r="D162" s="49"/>
      <x:c r="E162" s="49"/>
      <x:c r="F162" s="49"/>
      <x:c r="G162" s="49"/>
      <x:c r="H162" s="49"/>
      <x:c r="I162" s="49"/>
      <x:c r="J162" s="49"/>
      <x:c r="K162" s="49"/>
      <x:c r="L162" s="49"/>
      <x:c r="M162" s="49"/>
      <x:c r="N162" s="49"/>
      <x:c r="O162" s="49"/>
      <x:c r="P162" s="49"/>
      <x:c r="Q162" s="49"/>
      <x:c r="R162" s="49"/>
      <x:c r="S162" s="49"/>
      <x:c r="T162" s="49"/>
      <x:c r="U162" s="49"/>
      <x:c r="V162" s="49"/>
      <x:c r="W162" s="49"/>
      <x:c r="X162" s="49"/>
      <x:c r="Y162" s="49"/>
      <x:c r="Z162" s="49"/>
      <x:c r="AA162" s="49"/>
      <x:c r="AB162" s="49"/>
      <x:c r="AC162" s="49"/>
      <x:c r="AD162" s="49"/>
      <x:c r="AE162" s="49"/>
      <x:c r="AF162" s="49"/>
      <x:c r="AG162" s="49"/>
      <x:c r="AH162" s="49"/>
      <x:c r="AI162" s="49"/>
      <x:c r="AJ162" s="49"/>
      <x:c r="AK162" s="49"/>
      <x:c r="AL162" s="49"/>
      <x:c r="AM162" s="49"/>
      <x:c r="AN162" s="49"/>
      <x:c r="AO162" s="49"/>
      <x:c r="AP162" s="49"/>
      <x:c r="AQ162" s="49"/>
      <x:c r="AR162" s="49"/>
      <x:c r="AS162" s="49"/>
      <x:c r="AT162" s="49"/>
      <x:c r="AU162" s="49"/>
      <x:c r="AV162" s="49"/>
      <x:c r="AW162" s="49"/>
      <x:c r="AX162" s="49"/>
      <x:c r="AY162" s="49"/>
      <x:c r="AZ162" s="49"/>
    </x:row>
    <x:row r="163">
      <x:c r="A163" s="49"/>
      <x:c r="B163" s="49"/>
      <x:c r="C163" s="49"/>
      <x:c r="D163" s="49"/>
      <x:c r="E163" s="49"/>
      <x:c r="F163" s="49"/>
      <x:c r="G163" s="49"/>
      <x:c r="H163" s="49"/>
      <x:c r="I163" s="49"/>
      <x:c r="J163" s="49"/>
      <x:c r="K163" s="49"/>
      <x:c r="L163" s="49"/>
      <x:c r="M163" s="49"/>
      <x:c r="N163" s="49"/>
      <x:c r="O163" s="49"/>
      <x:c r="P163" s="49"/>
      <x:c r="Q163" s="49"/>
      <x:c r="R163" s="49"/>
      <x:c r="S163" s="49"/>
      <x:c r="T163" s="49"/>
      <x:c r="U163" s="49"/>
      <x:c r="V163" s="49"/>
      <x:c r="W163" s="49"/>
      <x:c r="X163" s="49"/>
      <x:c r="Y163" s="49"/>
      <x:c r="Z163" s="49"/>
      <x:c r="AA163" s="49"/>
      <x:c r="AB163" s="49"/>
      <x:c r="AC163" s="49"/>
      <x:c r="AD163" s="49"/>
      <x:c r="AE163" s="49"/>
      <x:c r="AF163" s="49"/>
      <x:c r="AG163" s="49"/>
      <x:c r="AH163" s="49"/>
      <x:c r="AI163" s="49"/>
      <x:c r="AJ163" s="49"/>
      <x:c r="AK163" s="49"/>
      <x:c r="AL163" s="49"/>
      <x:c r="AM163" s="49"/>
      <x:c r="AN163" s="49"/>
      <x:c r="AO163" s="49"/>
      <x:c r="AP163" s="49"/>
      <x:c r="AQ163" s="49"/>
      <x:c r="AR163" s="49"/>
      <x:c r="AS163" s="49"/>
      <x:c r="AT163" s="49"/>
      <x:c r="AU163" s="49"/>
      <x:c r="AV163" s="49"/>
      <x:c r="AW163" s="49"/>
      <x:c r="AX163" s="49"/>
      <x:c r="AY163" s="49"/>
      <x:c r="AZ163" s="49"/>
    </x:row>
    <x:row r="164">
      <x:c r="A164" s="49"/>
      <x:c r="B164" s="49"/>
      <x:c r="C164" s="49"/>
      <x:c r="D164" s="49"/>
      <x:c r="E164" s="49"/>
      <x:c r="F164" s="49"/>
      <x:c r="G164" s="49"/>
      <x:c r="H164" s="49"/>
      <x:c r="I164" s="49"/>
      <x:c r="J164" s="49"/>
      <x:c r="K164" s="49"/>
      <x:c r="L164" s="49"/>
      <x:c r="M164" s="49"/>
      <x:c r="N164" s="49"/>
      <x:c r="O164" s="49"/>
      <x:c r="P164" s="49"/>
      <x:c r="Q164" s="49"/>
      <x:c r="R164" s="49"/>
      <x:c r="S164" s="49"/>
      <x:c r="T164" s="49"/>
      <x:c r="U164" s="49"/>
      <x:c r="V164" s="49"/>
      <x:c r="W164" s="49"/>
      <x:c r="X164" s="49"/>
      <x:c r="Y164" s="49"/>
      <x:c r="Z164" s="49"/>
      <x:c r="AA164" s="49"/>
      <x:c r="AB164" s="49"/>
      <x:c r="AC164" s="49"/>
      <x:c r="AD164" s="49"/>
      <x:c r="AE164" s="49"/>
      <x:c r="AF164" s="49"/>
      <x:c r="AG164" s="49"/>
      <x:c r="AH164" s="49"/>
      <x:c r="AI164" s="49"/>
      <x:c r="AJ164" s="49"/>
      <x:c r="AK164" s="49"/>
      <x:c r="AL164" s="49"/>
      <x:c r="AM164" s="49"/>
      <x:c r="AN164" s="49"/>
      <x:c r="AO164" s="49"/>
      <x:c r="AP164" s="49"/>
      <x:c r="AQ164" s="49"/>
      <x:c r="AR164" s="49"/>
      <x:c r="AS164" s="49"/>
      <x:c r="AT164" s="49"/>
      <x:c r="AU164" s="49"/>
      <x:c r="AV164" s="49"/>
      <x:c r="AW164" s="49"/>
      <x:c r="AX164" s="49"/>
      <x:c r="AY164" s="49"/>
      <x:c r="AZ164" s="49"/>
    </x:row>
    <x:row r="165">
      <x:c r="A165" s="49"/>
      <x:c r="B165" s="49"/>
      <x:c r="C165" s="49"/>
      <x:c r="D165" s="49"/>
      <x:c r="E165" s="49"/>
      <x:c r="F165" s="49"/>
      <x:c r="G165" s="49"/>
      <x:c r="H165" s="49"/>
      <x:c r="I165" s="49"/>
      <x:c r="J165" s="49"/>
      <x:c r="K165" s="49"/>
      <x:c r="L165" s="49"/>
      <x:c r="M165" s="49"/>
      <x:c r="N165" s="49"/>
      <x:c r="O165" s="49"/>
      <x:c r="P165" s="49"/>
      <x:c r="Q165" s="49"/>
      <x:c r="R165" s="49"/>
      <x:c r="S165" s="49"/>
      <x:c r="T165" s="49"/>
      <x:c r="U165" s="49"/>
      <x:c r="V165" s="49"/>
      <x:c r="W165" s="49"/>
      <x:c r="X165" s="49"/>
      <x:c r="Y165" s="49"/>
      <x:c r="Z165" s="49"/>
      <x:c r="AA165" s="49"/>
      <x:c r="AB165" s="49"/>
      <x:c r="AC165" s="49"/>
      <x:c r="AD165" s="49"/>
      <x:c r="AE165" s="49"/>
      <x:c r="AF165" s="49"/>
      <x:c r="AG165" s="49"/>
      <x:c r="AH165" s="49"/>
      <x:c r="AI165" s="49"/>
      <x:c r="AJ165" s="49"/>
      <x:c r="AK165" s="49"/>
      <x:c r="AL165" s="49"/>
      <x:c r="AM165" s="49"/>
      <x:c r="AN165" s="49"/>
      <x:c r="AO165" s="49"/>
      <x:c r="AP165" s="49"/>
      <x:c r="AQ165" s="49"/>
      <x:c r="AR165" s="49"/>
      <x:c r="AS165" s="49"/>
      <x:c r="AT165" s="49"/>
      <x:c r="AU165" s="49"/>
      <x:c r="AV165" s="49"/>
      <x:c r="AW165" s="49"/>
      <x:c r="AX165" s="49"/>
      <x:c r="AY165" s="49"/>
      <x:c r="AZ165" s="49"/>
    </x:row>
    <x:row r="166">
      <x:c r="A166" s="49"/>
      <x:c r="B166" s="49"/>
      <x:c r="C166" s="49"/>
      <x:c r="D166" s="49"/>
      <x:c r="E166" s="49"/>
      <x:c r="F166" s="49"/>
      <x:c r="G166" s="49"/>
      <x:c r="H166" s="49"/>
      <x:c r="I166" s="49"/>
      <x:c r="J166" s="49"/>
      <x:c r="K166" s="49"/>
      <x:c r="L166" s="49"/>
      <x:c r="M166" s="49"/>
      <x:c r="N166" s="49"/>
      <x:c r="O166" s="49"/>
      <x:c r="P166" s="49"/>
      <x:c r="Q166" s="49"/>
      <x:c r="R166" s="49"/>
      <x:c r="S166" s="49"/>
      <x:c r="T166" s="49"/>
      <x:c r="U166" s="49"/>
      <x:c r="V166" s="49"/>
      <x:c r="W166" s="49"/>
      <x:c r="X166" s="49"/>
      <x:c r="Y166" s="49"/>
      <x:c r="Z166" s="49"/>
      <x:c r="AA166" s="49"/>
      <x:c r="AB166" s="49"/>
      <x:c r="AC166" s="49"/>
      <x:c r="AD166" s="49"/>
      <x:c r="AE166" s="49"/>
      <x:c r="AF166" s="49"/>
      <x:c r="AG166" s="49"/>
      <x:c r="AH166" s="49"/>
      <x:c r="AI166" s="49"/>
      <x:c r="AJ166" s="49"/>
      <x:c r="AK166" s="49"/>
      <x:c r="AL166" s="49"/>
      <x:c r="AM166" s="49"/>
      <x:c r="AN166" s="49"/>
      <x:c r="AO166" s="49"/>
      <x:c r="AP166" s="49"/>
      <x:c r="AQ166" s="49"/>
      <x:c r="AR166" s="49"/>
      <x:c r="AS166" s="49"/>
      <x:c r="AT166" s="49"/>
      <x:c r="AU166" s="49"/>
      <x:c r="AV166" s="49"/>
      <x:c r="AW166" s="49"/>
      <x:c r="AX166" s="49"/>
      <x:c r="AY166" s="49"/>
      <x:c r="AZ166" s="49"/>
    </x:row>
    <x:row r="167">
      <x:c r="A167" s="49"/>
      <x:c r="B167" s="49"/>
      <x:c r="C167" s="49"/>
      <x:c r="D167" s="49"/>
      <x:c r="E167" s="49"/>
      <x:c r="F167" s="49"/>
      <x:c r="G167" s="49"/>
      <x:c r="H167" s="49"/>
      <x:c r="I167" s="49"/>
      <x:c r="J167" s="49"/>
      <x:c r="K167" s="49"/>
      <x:c r="L167" s="49"/>
      <x:c r="M167" s="49"/>
      <x:c r="N167" s="49"/>
      <x:c r="O167" s="49"/>
      <x:c r="P167" s="49"/>
      <x:c r="Q167" s="49"/>
      <x:c r="R167" s="49"/>
      <x:c r="S167" s="49"/>
      <x:c r="T167" s="49"/>
      <x:c r="U167" s="49"/>
      <x:c r="V167" s="49"/>
      <x:c r="W167" s="49"/>
      <x:c r="X167" s="49"/>
      <x:c r="Y167" s="49"/>
      <x:c r="Z167" s="49"/>
      <x:c r="AA167" s="49"/>
      <x:c r="AB167" s="49"/>
      <x:c r="AC167" s="49"/>
      <x:c r="AD167" s="49"/>
      <x:c r="AE167" s="49"/>
      <x:c r="AF167" s="49"/>
      <x:c r="AG167" s="49"/>
      <x:c r="AH167" s="49"/>
      <x:c r="AI167" s="49"/>
      <x:c r="AJ167" s="49"/>
      <x:c r="AK167" s="49"/>
      <x:c r="AL167" s="49"/>
      <x:c r="AM167" s="49"/>
      <x:c r="AN167" s="49"/>
      <x:c r="AO167" s="49"/>
      <x:c r="AP167" s="49"/>
      <x:c r="AQ167" s="49"/>
      <x:c r="AR167" s="49"/>
      <x:c r="AS167" s="49"/>
      <x:c r="AT167" s="49"/>
      <x:c r="AU167" s="49"/>
      <x:c r="AV167" s="49"/>
      <x:c r="AW167" s="49"/>
      <x:c r="AX167" s="49"/>
      <x:c r="AY167" s="49"/>
      <x:c r="AZ167" s="49"/>
    </x:row>
    <x:row r="168">
      <x:c r="A168" s="49"/>
      <x:c r="B168" s="49"/>
      <x:c r="C168" s="49"/>
      <x:c r="D168" s="49"/>
      <x:c r="E168" s="49"/>
      <x:c r="F168" s="49"/>
      <x:c r="G168" s="49"/>
      <x:c r="H168" s="49"/>
      <x:c r="I168" s="49"/>
      <x:c r="J168" s="49"/>
      <x:c r="K168" s="49"/>
      <x:c r="L168" s="49"/>
      <x:c r="M168" s="49"/>
      <x:c r="N168" s="49"/>
      <x:c r="O168" s="49"/>
      <x:c r="P168" s="49"/>
      <x:c r="Q168" s="49"/>
      <x:c r="R168" s="49"/>
      <x:c r="S168" s="49"/>
      <x:c r="T168" s="49"/>
      <x:c r="U168" s="49"/>
      <x:c r="V168" s="49"/>
      <x:c r="W168" s="49"/>
      <x:c r="X168" s="49"/>
      <x:c r="Y168" s="49"/>
      <x:c r="Z168" s="49"/>
      <x:c r="AA168" s="49"/>
      <x:c r="AB168" s="49"/>
      <x:c r="AC168" s="49"/>
      <x:c r="AD168" s="49"/>
      <x:c r="AE168" s="49"/>
      <x:c r="AF168" s="49"/>
      <x:c r="AG168" s="49"/>
      <x:c r="AH168" s="49"/>
      <x:c r="AI168" s="49"/>
      <x:c r="AJ168" s="49"/>
      <x:c r="AK168" s="49"/>
      <x:c r="AL168" s="49"/>
      <x:c r="AM168" s="49"/>
      <x:c r="AN168" s="49"/>
      <x:c r="AO168" s="49"/>
      <x:c r="AP168" s="49"/>
      <x:c r="AQ168" s="49"/>
      <x:c r="AR168" s="49"/>
      <x:c r="AS168" s="49"/>
      <x:c r="AT168" s="49"/>
      <x:c r="AU168" s="49"/>
      <x:c r="AV168" s="49"/>
      <x:c r="AW168" s="49"/>
      <x:c r="AX168" s="49"/>
      <x:c r="AY168" s="49"/>
      <x:c r="AZ168" s="49"/>
    </x:row>
    <x:row r="169">
      <x:c r="A169" s="49"/>
      <x:c r="B169" s="49"/>
      <x:c r="C169" s="49"/>
      <x:c r="D169" s="49"/>
      <x:c r="E169" s="49"/>
      <x:c r="F169" s="49"/>
      <x:c r="G169" s="49"/>
      <x:c r="H169" s="49"/>
      <x:c r="I169" s="49"/>
      <x:c r="J169" s="49"/>
      <x:c r="K169" s="49"/>
      <x:c r="L169" s="49"/>
      <x:c r="M169" s="49"/>
      <x:c r="N169" s="49"/>
      <x:c r="O169" s="49"/>
      <x:c r="P169" s="49"/>
      <x:c r="Q169" s="49"/>
      <x:c r="R169" s="49"/>
      <x:c r="S169" s="49"/>
      <x:c r="T169" s="49"/>
      <x:c r="U169" s="49"/>
      <x:c r="V169" s="49"/>
      <x:c r="W169" s="49"/>
      <x:c r="X169" s="49"/>
      <x:c r="Y169" s="49"/>
      <x:c r="Z169" s="49"/>
      <x:c r="AA169" s="49"/>
      <x:c r="AB169" s="49"/>
      <x:c r="AC169" s="49"/>
      <x:c r="AD169" s="49"/>
      <x:c r="AE169" s="49"/>
      <x:c r="AF169" s="49"/>
      <x:c r="AG169" s="49"/>
      <x:c r="AH169" s="49"/>
      <x:c r="AI169" s="49"/>
      <x:c r="AJ169" s="49"/>
      <x:c r="AK169" s="49"/>
      <x:c r="AL169" s="49"/>
      <x:c r="AM169" s="49"/>
      <x:c r="AN169" s="49"/>
      <x:c r="AO169" s="49"/>
      <x:c r="AP169" s="49"/>
      <x:c r="AQ169" s="49"/>
      <x:c r="AR169" s="49"/>
      <x:c r="AS169" s="49"/>
      <x:c r="AT169" s="49"/>
      <x:c r="AU169" s="49"/>
      <x:c r="AV169" s="49"/>
      <x:c r="AW169" s="49"/>
      <x:c r="AX169" s="49"/>
      <x:c r="AY169" s="49"/>
      <x:c r="AZ169" s="49"/>
    </x:row>
    <x:row r="170">
      <x:c r="A170" s="49"/>
      <x:c r="B170" s="49"/>
      <x:c r="C170" s="49"/>
      <x:c r="D170" s="49"/>
      <x:c r="E170" s="49"/>
      <x:c r="F170" s="49"/>
      <x:c r="G170" s="49"/>
      <x:c r="H170" s="49"/>
      <x:c r="I170" s="49"/>
      <x:c r="J170" s="49"/>
      <x:c r="K170" s="49"/>
      <x:c r="L170" s="49"/>
      <x:c r="M170" s="49"/>
      <x:c r="N170" s="49"/>
      <x:c r="O170" s="49"/>
      <x:c r="P170" s="49"/>
      <x:c r="Q170" s="49"/>
      <x:c r="R170" s="49"/>
      <x:c r="S170" s="49"/>
      <x:c r="T170" s="49"/>
      <x:c r="U170" s="49"/>
      <x:c r="V170" s="49"/>
      <x:c r="W170" s="49"/>
      <x:c r="X170" s="49"/>
      <x:c r="Y170" s="49"/>
      <x:c r="Z170" s="49"/>
      <x:c r="AA170" s="49"/>
      <x:c r="AB170" s="49"/>
      <x:c r="AC170" s="49"/>
      <x:c r="AD170" s="49"/>
      <x:c r="AE170" s="49"/>
      <x:c r="AF170" s="49"/>
      <x:c r="AG170" s="49"/>
      <x:c r="AH170" s="49"/>
      <x:c r="AI170" s="49"/>
      <x:c r="AJ170" s="49"/>
      <x:c r="AK170" s="49"/>
      <x:c r="AL170" s="49"/>
      <x:c r="AM170" s="49"/>
      <x:c r="AN170" s="49"/>
      <x:c r="AO170" s="49"/>
      <x:c r="AP170" s="49"/>
      <x:c r="AQ170" s="49"/>
      <x:c r="AR170" s="49"/>
      <x:c r="AS170" s="49"/>
      <x:c r="AT170" s="49"/>
      <x:c r="AU170" s="49"/>
      <x:c r="AV170" s="49"/>
      <x:c r="AW170" s="49"/>
      <x:c r="AX170" s="49"/>
      <x:c r="AY170" s="49"/>
      <x:c r="AZ170" s="49"/>
    </x:row>
    <x:row r="171">
      <x:c r="A171" s="49"/>
      <x:c r="B171" s="49"/>
      <x:c r="C171" s="49"/>
      <x:c r="D171" s="49"/>
      <x:c r="E171" s="49"/>
      <x:c r="F171" s="49"/>
      <x:c r="G171" s="49"/>
      <x:c r="H171" s="49"/>
      <x:c r="I171" s="49"/>
      <x:c r="J171" s="49"/>
      <x:c r="K171" s="49"/>
      <x:c r="L171" s="49"/>
      <x:c r="M171" s="49"/>
      <x:c r="N171" s="49"/>
      <x:c r="O171" s="49"/>
      <x:c r="P171" s="49"/>
      <x:c r="Q171" s="49"/>
      <x:c r="R171" s="49"/>
      <x:c r="S171" s="49"/>
      <x:c r="T171" s="49"/>
      <x:c r="U171" s="49"/>
      <x:c r="V171" s="49"/>
      <x:c r="W171" s="49"/>
      <x:c r="X171" s="49"/>
      <x:c r="Y171" s="49"/>
      <x:c r="Z171" s="49"/>
      <x:c r="AA171" s="49"/>
      <x:c r="AB171" s="49"/>
      <x:c r="AC171" s="49"/>
      <x:c r="AD171" s="49"/>
      <x:c r="AE171" s="49"/>
      <x:c r="AF171" s="49"/>
      <x:c r="AG171" s="49"/>
      <x:c r="AH171" s="49"/>
      <x:c r="AI171" s="49"/>
      <x:c r="AJ171" s="49"/>
      <x:c r="AK171" s="49"/>
      <x:c r="AL171" s="49"/>
      <x:c r="AM171" s="49"/>
      <x:c r="AN171" s="49"/>
      <x:c r="AO171" s="49"/>
      <x:c r="AP171" s="49"/>
      <x:c r="AQ171" s="49"/>
      <x:c r="AR171" s="49"/>
      <x:c r="AS171" s="49"/>
      <x:c r="AT171" s="49"/>
      <x:c r="AU171" s="49"/>
      <x:c r="AV171" s="49"/>
      <x:c r="AW171" s="49"/>
      <x:c r="AX171" s="49"/>
      <x:c r="AY171" s="49"/>
      <x:c r="AZ171" s="49"/>
    </x:row>
    <x:row r="172">
      <x:c r="A172" s="49"/>
      <x:c r="B172" s="49"/>
      <x:c r="C172" s="49"/>
      <x:c r="D172" s="49"/>
      <x:c r="E172" s="49"/>
      <x:c r="F172" s="49"/>
      <x:c r="G172" s="49"/>
      <x:c r="H172" s="49"/>
      <x:c r="I172" s="49"/>
      <x:c r="J172" s="49"/>
      <x:c r="K172" s="49"/>
      <x:c r="L172" s="49"/>
      <x:c r="M172" s="49"/>
      <x:c r="N172" s="49"/>
      <x:c r="O172" s="49"/>
      <x:c r="P172" s="49"/>
      <x:c r="Q172" s="49"/>
      <x:c r="R172" s="49"/>
      <x:c r="S172" s="49"/>
      <x:c r="T172" s="49"/>
      <x:c r="U172" s="49"/>
      <x:c r="V172" s="49"/>
      <x:c r="W172" s="49"/>
      <x:c r="X172" s="49"/>
      <x:c r="Y172" s="49"/>
      <x:c r="Z172" s="49"/>
      <x:c r="AA172" s="49"/>
      <x:c r="AB172" s="49"/>
      <x:c r="AC172" s="49"/>
      <x:c r="AD172" s="49"/>
      <x:c r="AE172" s="49"/>
      <x:c r="AF172" s="49"/>
      <x:c r="AG172" s="49"/>
      <x:c r="AH172" s="49"/>
      <x:c r="AI172" s="49"/>
      <x:c r="AJ172" s="49"/>
      <x:c r="AK172" s="49"/>
      <x:c r="AL172" s="49"/>
      <x:c r="AM172" s="49"/>
      <x:c r="AN172" s="49"/>
      <x:c r="AO172" s="49"/>
      <x:c r="AP172" s="49"/>
      <x:c r="AQ172" s="49"/>
      <x:c r="AR172" s="49"/>
      <x:c r="AS172" s="49"/>
      <x:c r="AT172" s="49"/>
      <x:c r="AU172" s="49"/>
      <x:c r="AV172" s="49"/>
      <x:c r="AW172" s="49"/>
      <x:c r="AX172" s="49"/>
      <x:c r="AY172" s="49"/>
      <x:c r="AZ172" s="49"/>
    </x:row>
    <x:row r="173">
      <x:c r="A173" s="49"/>
      <x:c r="B173" s="49"/>
      <x:c r="C173" s="49"/>
      <x:c r="D173" s="49"/>
      <x:c r="E173" s="49"/>
      <x:c r="F173" s="49"/>
      <x:c r="G173" s="49"/>
      <x:c r="H173" s="49"/>
      <x:c r="I173" s="49"/>
      <x:c r="J173" s="49"/>
      <x:c r="K173" s="49"/>
      <x:c r="L173" s="49"/>
      <x:c r="M173" s="49"/>
      <x:c r="N173" s="49"/>
      <x:c r="O173" s="49"/>
      <x:c r="P173" s="49"/>
      <x:c r="Q173" s="49"/>
      <x:c r="R173" s="49"/>
      <x:c r="S173" s="49"/>
      <x:c r="T173" s="49"/>
      <x:c r="U173" s="49"/>
      <x:c r="V173" s="49"/>
      <x:c r="W173" s="49"/>
      <x:c r="X173" s="49"/>
      <x:c r="Y173" s="49"/>
      <x:c r="Z173" s="49"/>
      <x:c r="AA173" s="49"/>
      <x:c r="AB173" s="49"/>
      <x:c r="AC173" s="49"/>
      <x:c r="AD173" s="49"/>
      <x:c r="AE173" s="49"/>
      <x:c r="AF173" s="49"/>
      <x:c r="AG173" s="49"/>
      <x:c r="AH173" s="49"/>
      <x:c r="AI173" s="49"/>
      <x:c r="AJ173" s="49"/>
      <x:c r="AK173" s="49"/>
      <x:c r="AL173" s="49"/>
      <x:c r="AM173" s="49"/>
      <x:c r="AN173" s="49"/>
      <x:c r="AO173" s="49"/>
      <x:c r="AP173" s="49"/>
      <x:c r="AQ173" s="49"/>
      <x:c r="AR173" s="49"/>
      <x:c r="AS173" s="49"/>
      <x:c r="AT173" s="49"/>
      <x:c r="AU173" s="49"/>
      <x:c r="AV173" s="49"/>
      <x:c r="AW173" s="49"/>
      <x:c r="AX173" s="49"/>
      <x:c r="AY173" s="49"/>
      <x:c r="AZ173" s="49"/>
    </x:row>
    <x:row r="174">
      <x:c r="A174" s="49"/>
      <x:c r="B174" s="49"/>
      <x:c r="C174" s="49"/>
      <x:c r="D174" s="49"/>
      <x:c r="E174" s="49"/>
      <x:c r="F174" s="49"/>
      <x:c r="G174" s="49"/>
      <x:c r="H174" s="49"/>
      <x:c r="I174" s="49"/>
      <x:c r="J174" s="49"/>
      <x:c r="K174" s="49"/>
      <x:c r="L174" s="49"/>
      <x:c r="M174" s="49"/>
      <x:c r="N174" s="49"/>
      <x:c r="O174" s="49"/>
      <x:c r="P174" s="49"/>
      <x:c r="Q174" s="49"/>
      <x:c r="R174" s="49"/>
      <x:c r="S174" s="49"/>
      <x:c r="T174" s="49"/>
      <x:c r="U174" s="49"/>
      <x:c r="V174" s="49"/>
      <x:c r="W174" s="49"/>
      <x:c r="X174" s="49"/>
      <x:c r="Y174" s="49"/>
      <x:c r="Z174" s="49"/>
      <x:c r="AA174" s="49"/>
      <x:c r="AB174" s="49"/>
      <x:c r="AC174" s="49"/>
      <x:c r="AD174" s="49"/>
      <x:c r="AE174" s="49"/>
      <x:c r="AF174" s="49"/>
      <x:c r="AG174" s="49"/>
      <x:c r="AH174" s="49"/>
      <x:c r="AI174" s="49"/>
      <x:c r="AJ174" s="49"/>
      <x:c r="AK174" s="49"/>
      <x:c r="AL174" s="49"/>
      <x:c r="AM174" s="49"/>
      <x:c r="AN174" s="49"/>
      <x:c r="AO174" s="49"/>
      <x:c r="AP174" s="49"/>
      <x:c r="AQ174" s="49"/>
      <x:c r="AR174" s="49"/>
      <x:c r="AS174" s="49"/>
      <x:c r="AT174" s="49"/>
      <x:c r="AU174" s="49"/>
      <x:c r="AV174" s="49"/>
      <x:c r="AW174" s="49"/>
      <x:c r="AX174" s="49"/>
      <x:c r="AY174" s="49"/>
      <x:c r="AZ174" s="49"/>
    </x:row>
    <x:row r="175">
      <x:c r="A175" s="49"/>
      <x:c r="B175" s="49"/>
      <x:c r="C175" s="49"/>
      <x:c r="D175" s="49"/>
      <x:c r="E175" s="49"/>
      <x:c r="F175" s="49"/>
      <x:c r="G175" s="49"/>
      <x:c r="H175" s="49"/>
      <x:c r="I175" s="49"/>
      <x:c r="J175" s="49"/>
      <x:c r="K175" s="49"/>
      <x:c r="L175" s="49"/>
      <x:c r="M175" s="49"/>
      <x:c r="N175" s="49"/>
      <x:c r="O175" s="49"/>
      <x:c r="P175" s="49"/>
      <x:c r="Q175" s="49"/>
      <x:c r="R175" s="49"/>
      <x:c r="S175" s="49"/>
      <x:c r="T175" s="49"/>
      <x:c r="U175" s="49"/>
      <x:c r="V175" s="49"/>
      <x:c r="W175" s="49"/>
      <x:c r="X175" s="49"/>
      <x:c r="Y175" s="49"/>
      <x:c r="Z175" s="49"/>
      <x:c r="AA175" s="49"/>
      <x:c r="AB175" s="49"/>
      <x:c r="AC175" s="49"/>
      <x:c r="AD175" s="49"/>
      <x:c r="AE175" s="49"/>
      <x:c r="AF175" s="49"/>
      <x:c r="AG175" s="49"/>
      <x:c r="AH175" s="49"/>
      <x:c r="AI175" s="49"/>
      <x:c r="AJ175" s="49"/>
      <x:c r="AK175" s="49"/>
      <x:c r="AL175" s="49"/>
      <x:c r="AM175" s="49"/>
      <x:c r="AN175" s="49"/>
      <x:c r="AO175" s="49"/>
      <x:c r="AP175" s="49"/>
      <x:c r="AQ175" s="49"/>
      <x:c r="AR175" s="49"/>
      <x:c r="AS175" s="49"/>
      <x:c r="AT175" s="49"/>
      <x:c r="AU175" s="49"/>
      <x:c r="AV175" s="49"/>
      <x:c r="AW175" s="49"/>
      <x:c r="AX175" s="49"/>
      <x:c r="AY175" s="49"/>
      <x:c r="AZ175" s="49"/>
    </x:row>
    <x:row r="176">
      <x:c r="A176" s="49"/>
      <x:c r="B176" s="49"/>
      <x:c r="C176" s="49"/>
      <x:c r="D176" s="49"/>
      <x:c r="E176" s="49"/>
      <x:c r="F176" s="49"/>
      <x:c r="G176" s="49"/>
      <x:c r="H176" s="49"/>
      <x:c r="I176" s="49"/>
      <x:c r="J176" s="49"/>
      <x:c r="K176" s="49"/>
      <x:c r="L176" s="49"/>
      <x:c r="M176" s="49"/>
      <x:c r="N176" s="49"/>
      <x:c r="O176" s="49"/>
      <x:c r="P176" s="49"/>
      <x:c r="Q176" s="49"/>
      <x:c r="R176" s="49"/>
      <x:c r="S176" s="49"/>
      <x:c r="T176" s="49"/>
      <x:c r="U176" s="49"/>
      <x:c r="V176" s="49"/>
      <x:c r="W176" s="49"/>
      <x:c r="X176" s="49"/>
      <x:c r="Y176" s="49"/>
      <x:c r="Z176" s="49"/>
      <x:c r="AA176" s="49"/>
      <x:c r="AB176" s="49"/>
      <x:c r="AC176" s="49"/>
      <x:c r="AD176" s="49"/>
      <x:c r="AE176" s="49"/>
      <x:c r="AF176" s="49"/>
      <x:c r="AG176" s="49"/>
      <x:c r="AH176" s="49"/>
      <x:c r="AI176" s="49"/>
      <x:c r="AJ176" s="49"/>
      <x:c r="AK176" s="49"/>
      <x:c r="AL176" s="49"/>
      <x:c r="AM176" s="49"/>
      <x:c r="AN176" s="49"/>
      <x:c r="AO176" s="49"/>
      <x:c r="AP176" s="49"/>
      <x:c r="AQ176" s="49"/>
      <x:c r="AR176" s="49"/>
      <x:c r="AS176" s="49"/>
      <x:c r="AT176" s="49"/>
      <x:c r="AU176" s="49"/>
      <x:c r="AV176" s="49"/>
      <x:c r="AW176" s="49"/>
      <x:c r="AX176" s="49"/>
      <x:c r="AY176" s="49"/>
      <x:c r="AZ176" s="49"/>
    </x:row>
    <x:row r="177">
      <x:c r="A177" s="49"/>
      <x:c r="B177" s="49"/>
      <x:c r="C177" s="49"/>
      <x:c r="D177" s="49"/>
      <x:c r="E177" s="49"/>
      <x:c r="F177" s="49"/>
      <x:c r="G177" s="49"/>
      <x:c r="H177" s="49"/>
      <x:c r="I177" s="49"/>
      <x:c r="J177" s="49"/>
      <x:c r="K177" s="49"/>
      <x:c r="L177" s="49"/>
      <x:c r="M177" s="49"/>
      <x:c r="N177" s="49"/>
      <x:c r="O177" s="49"/>
      <x:c r="P177" s="49"/>
      <x:c r="Q177" s="49"/>
      <x:c r="R177" s="49"/>
      <x:c r="S177" s="49"/>
      <x:c r="T177" s="49"/>
      <x:c r="U177" s="49"/>
      <x:c r="V177" s="49"/>
      <x:c r="W177" s="49"/>
      <x:c r="X177" s="49"/>
      <x:c r="Y177" s="49"/>
      <x:c r="Z177" s="49"/>
      <x:c r="AA177" s="49"/>
      <x:c r="AB177" s="49"/>
      <x:c r="AC177" s="49"/>
      <x:c r="AD177" s="49"/>
      <x:c r="AE177" s="49"/>
      <x:c r="AF177" s="49"/>
      <x:c r="AG177" s="49"/>
      <x:c r="AH177" s="49"/>
      <x:c r="AI177" s="49"/>
      <x:c r="AJ177" s="49"/>
      <x:c r="AK177" s="49"/>
      <x:c r="AL177" s="49"/>
      <x:c r="AM177" s="49"/>
      <x:c r="AN177" s="49"/>
      <x:c r="AO177" s="49"/>
      <x:c r="AP177" s="49"/>
      <x:c r="AQ177" s="49"/>
      <x:c r="AR177" s="49"/>
      <x:c r="AS177" s="49"/>
      <x:c r="AT177" s="49"/>
      <x:c r="AU177" s="49"/>
      <x:c r="AV177" s="49"/>
      <x:c r="AW177" s="49"/>
      <x:c r="AX177" s="49"/>
      <x:c r="AY177" s="49"/>
      <x:c r="AZ177" s="49"/>
    </x:row>
    <x:row r="178">
      <x:c r="A178" s="49"/>
      <x:c r="B178" s="49"/>
      <x:c r="C178" s="49"/>
      <x:c r="D178" s="49"/>
      <x:c r="E178" s="49"/>
      <x:c r="F178" s="49"/>
      <x:c r="G178" s="49"/>
      <x:c r="H178" s="49"/>
      <x:c r="I178" s="49"/>
      <x:c r="J178" s="49"/>
      <x:c r="K178" s="49"/>
      <x:c r="L178" s="49"/>
      <x:c r="M178" s="49"/>
      <x:c r="N178" s="49"/>
      <x:c r="O178" s="49"/>
      <x:c r="P178" s="49"/>
      <x:c r="Q178" s="49"/>
      <x:c r="R178" s="49"/>
      <x:c r="S178" s="49"/>
      <x:c r="T178" s="49"/>
      <x:c r="U178" s="49"/>
      <x:c r="V178" s="49"/>
      <x:c r="W178" s="49"/>
      <x:c r="X178" s="49"/>
      <x:c r="Y178" s="49"/>
      <x:c r="Z178" s="49"/>
      <x:c r="AA178" s="49"/>
      <x:c r="AB178" s="49"/>
      <x:c r="AC178" s="49"/>
      <x:c r="AD178" s="49"/>
      <x:c r="AE178" s="49"/>
      <x:c r="AF178" s="49"/>
      <x:c r="AG178" s="49"/>
      <x:c r="AH178" s="49"/>
      <x:c r="AI178" s="49"/>
      <x:c r="AJ178" s="49"/>
      <x:c r="AK178" s="49"/>
      <x:c r="AL178" s="49"/>
      <x:c r="AM178" s="49"/>
      <x:c r="AN178" s="49"/>
      <x:c r="AO178" s="49"/>
      <x:c r="AP178" s="49"/>
      <x:c r="AQ178" s="49"/>
      <x:c r="AR178" s="49"/>
      <x:c r="AS178" s="49"/>
      <x:c r="AT178" s="49"/>
      <x:c r="AU178" s="49"/>
      <x:c r="AV178" s="49"/>
      <x:c r="AW178" s="49"/>
      <x:c r="AX178" s="49"/>
      <x:c r="AY178" s="49"/>
      <x:c r="AZ178" s="49"/>
    </x:row>
    <x:row r="179">
      <x:c r="A179" s="49"/>
      <x:c r="B179" s="49"/>
      <x:c r="C179" s="49"/>
      <x:c r="D179" s="49"/>
      <x:c r="E179" s="49"/>
      <x:c r="F179" s="49"/>
      <x:c r="G179" s="49"/>
      <x:c r="H179" s="49"/>
      <x:c r="I179" s="49"/>
      <x:c r="J179" s="49"/>
      <x:c r="K179" s="49"/>
      <x:c r="L179" s="49"/>
      <x:c r="M179" s="49"/>
      <x:c r="N179" s="49"/>
      <x:c r="O179" s="49"/>
      <x:c r="P179" s="49"/>
      <x:c r="Q179" s="49"/>
      <x:c r="R179" s="49"/>
      <x:c r="S179" s="49"/>
      <x:c r="T179" s="49"/>
      <x:c r="U179" s="49"/>
      <x:c r="V179" s="49"/>
      <x:c r="W179" s="49"/>
      <x:c r="X179" s="49"/>
      <x:c r="Y179" s="49"/>
      <x:c r="Z179" s="49"/>
      <x:c r="AA179" s="49"/>
      <x:c r="AB179" s="49"/>
      <x:c r="AC179" s="49"/>
      <x:c r="AD179" s="49"/>
      <x:c r="AE179" s="49"/>
      <x:c r="AF179" s="49"/>
      <x:c r="AG179" s="49"/>
      <x:c r="AH179" s="49"/>
      <x:c r="AI179" s="49"/>
      <x:c r="AJ179" s="49"/>
      <x:c r="AK179" s="49"/>
      <x:c r="AL179" s="49"/>
      <x:c r="AM179" s="49"/>
      <x:c r="AN179" s="49"/>
      <x:c r="AO179" s="49"/>
      <x:c r="AP179" s="49"/>
      <x:c r="AQ179" s="49"/>
      <x:c r="AR179" s="49"/>
      <x:c r="AS179" s="49"/>
      <x:c r="AT179" s="49"/>
      <x:c r="AU179" s="49"/>
      <x:c r="AV179" s="49"/>
      <x:c r="AW179" s="49"/>
      <x:c r="AX179" s="49"/>
      <x:c r="AY179" s="49"/>
      <x:c r="AZ179" s="49"/>
    </x:row>
    <x:row r="180">
      <x:c r="A180" s="49"/>
      <x:c r="B180" s="49"/>
      <x:c r="C180" s="49"/>
      <x:c r="D180" s="49"/>
      <x:c r="E180" s="49"/>
      <x:c r="F180" s="49"/>
      <x:c r="G180" s="49"/>
      <x:c r="H180" s="49"/>
      <x:c r="I180" s="49"/>
      <x:c r="J180" s="49"/>
      <x:c r="K180" s="49"/>
      <x:c r="L180" s="49"/>
      <x:c r="M180" s="49"/>
      <x:c r="N180" s="49"/>
      <x:c r="O180" s="49"/>
      <x:c r="P180" s="49"/>
      <x:c r="Q180" s="49"/>
      <x:c r="R180" s="49"/>
      <x:c r="S180" s="49"/>
      <x:c r="T180" s="49"/>
      <x:c r="U180" s="49"/>
      <x:c r="V180" s="49"/>
      <x:c r="W180" s="49"/>
      <x:c r="X180" s="49"/>
      <x:c r="Y180" s="49"/>
      <x:c r="Z180" s="49"/>
      <x:c r="AA180" s="49"/>
      <x:c r="AB180" s="49"/>
      <x:c r="AC180" s="49"/>
      <x:c r="AD180" s="49"/>
      <x:c r="AE180" s="49"/>
      <x:c r="AF180" s="49"/>
      <x:c r="AG180" s="49"/>
      <x:c r="AH180" s="49"/>
      <x:c r="AI180" s="49"/>
      <x:c r="AJ180" s="49"/>
      <x:c r="AK180" s="49"/>
      <x:c r="AL180" s="49"/>
      <x:c r="AM180" s="49"/>
      <x:c r="AN180" s="49"/>
      <x:c r="AO180" s="49"/>
      <x:c r="AP180" s="49"/>
      <x:c r="AQ180" s="49"/>
      <x:c r="AR180" s="49"/>
      <x:c r="AS180" s="49"/>
      <x:c r="AT180" s="49"/>
      <x:c r="AU180" s="49"/>
      <x:c r="AV180" s="49"/>
      <x:c r="AW180" s="49"/>
      <x:c r="AX180" s="49"/>
      <x:c r="AY180" s="49"/>
      <x:c r="AZ180" s="49"/>
    </x:row>
    <x:row r="181">
      <x:c r="A181" s="49"/>
      <x:c r="B181" s="49"/>
      <x:c r="C181" s="49"/>
      <x:c r="D181" s="49"/>
      <x:c r="E181" s="49"/>
      <x:c r="F181" s="49"/>
      <x:c r="G181" s="49"/>
      <x:c r="H181" s="49"/>
      <x:c r="I181" s="49"/>
      <x:c r="J181" s="49"/>
      <x:c r="K181" s="49"/>
      <x:c r="L181" s="49"/>
      <x:c r="M181" s="49"/>
      <x:c r="N181" s="49"/>
      <x:c r="O181" s="49"/>
      <x:c r="P181" s="49"/>
      <x:c r="Q181" s="49"/>
      <x:c r="R181" s="49"/>
      <x:c r="S181" s="49"/>
      <x:c r="T181" s="49"/>
      <x:c r="U181" s="49"/>
      <x:c r="V181" s="49"/>
      <x:c r="W181" s="49"/>
      <x:c r="X181" s="49"/>
      <x:c r="Y181" s="49"/>
      <x:c r="Z181" s="49"/>
      <x:c r="AA181" s="49"/>
      <x:c r="AB181" s="49"/>
      <x:c r="AC181" s="49"/>
      <x:c r="AD181" s="49"/>
      <x:c r="AE181" s="49"/>
      <x:c r="AF181" s="49"/>
      <x:c r="AG181" s="49"/>
      <x:c r="AH181" s="49"/>
      <x:c r="AI181" s="49"/>
      <x:c r="AJ181" s="49"/>
      <x:c r="AK181" s="49"/>
      <x:c r="AL181" s="49"/>
      <x:c r="AM181" s="49"/>
      <x:c r="AN181" s="49"/>
      <x:c r="AO181" s="49"/>
      <x:c r="AP181" s="49"/>
      <x:c r="AQ181" s="49"/>
      <x:c r="AR181" s="49"/>
      <x:c r="AS181" s="49"/>
      <x:c r="AT181" s="49"/>
      <x:c r="AU181" s="49"/>
      <x:c r="AV181" s="49"/>
      <x:c r="AW181" s="49"/>
      <x:c r="AX181" s="49"/>
      <x:c r="AY181" s="49"/>
      <x:c r="AZ181" s="49"/>
    </x:row>
    <x:row r="182">
      <x:c r="A182" s="49"/>
      <x:c r="B182" s="49"/>
      <x:c r="C182" s="49"/>
      <x:c r="D182" s="49"/>
      <x:c r="E182" s="49"/>
      <x:c r="F182" s="49"/>
      <x:c r="G182" s="49"/>
      <x:c r="H182" s="49"/>
      <x:c r="I182" s="49"/>
      <x:c r="J182" s="49"/>
      <x:c r="K182" s="49"/>
      <x:c r="L182" s="49"/>
      <x:c r="M182" s="49"/>
      <x:c r="N182" s="49"/>
      <x:c r="O182" s="49"/>
      <x:c r="P182" s="49"/>
      <x:c r="Q182" s="49"/>
      <x:c r="R182" s="49"/>
      <x:c r="S182" s="49"/>
      <x:c r="T182" s="49"/>
      <x:c r="U182" s="49"/>
      <x:c r="V182" s="49"/>
      <x:c r="W182" s="49"/>
      <x:c r="X182" s="49"/>
      <x:c r="Y182" s="49"/>
      <x:c r="Z182" s="49"/>
      <x:c r="AA182" s="49"/>
      <x:c r="AB182" s="49"/>
      <x:c r="AC182" s="49"/>
      <x:c r="AD182" s="49"/>
      <x:c r="AE182" s="49"/>
      <x:c r="AF182" s="49"/>
      <x:c r="AG182" s="49"/>
      <x:c r="AH182" s="49"/>
      <x:c r="AI182" s="49"/>
      <x:c r="AJ182" s="49"/>
      <x:c r="AK182" s="49"/>
      <x:c r="AL182" s="49"/>
      <x:c r="AM182" s="49"/>
      <x:c r="AN182" s="49"/>
      <x:c r="AO182" s="49"/>
      <x:c r="AP182" s="49"/>
      <x:c r="AQ182" s="49"/>
      <x:c r="AR182" s="49"/>
      <x:c r="AS182" s="49"/>
      <x:c r="AT182" s="49"/>
      <x:c r="AU182" s="49"/>
      <x:c r="AV182" s="49"/>
      <x:c r="AW182" s="49"/>
      <x:c r="AX182" s="49"/>
      <x:c r="AY182" s="49"/>
      <x:c r="AZ182" s="49"/>
    </x:row>
    <x:row r="183">
      <x:c r="A183" s="49"/>
      <x:c r="B183" s="49"/>
      <x:c r="C183" s="49"/>
      <x:c r="D183" s="49"/>
      <x:c r="E183" s="49"/>
      <x:c r="F183" s="49"/>
      <x:c r="G183" s="49"/>
      <x:c r="H183" s="49"/>
      <x:c r="I183" s="49"/>
      <x:c r="J183" s="49"/>
      <x:c r="K183" s="49"/>
      <x:c r="L183" s="49"/>
      <x:c r="M183" s="49"/>
      <x:c r="N183" s="49"/>
      <x:c r="O183" s="49"/>
      <x:c r="P183" s="49"/>
      <x:c r="Q183" s="49"/>
      <x:c r="R183" s="49"/>
      <x:c r="S183" s="49"/>
      <x:c r="T183" s="49"/>
      <x:c r="U183" s="49"/>
      <x:c r="V183" s="49"/>
      <x:c r="W183" s="49"/>
      <x:c r="X183" s="49"/>
      <x:c r="Y183" s="49"/>
      <x:c r="Z183" s="49"/>
      <x:c r="AA183" s="49"/>
      <x:c r="AB183" s="49"/>
      <x:c r="AC183" s="49"/>
      <x:c r="AD183" s="49"/>
      <x:c r="AE183" s="49"/>
      <x:c r="AF183" s="49"/>
      <x:c r="AG183" s="49"/>
      <x:c r="AH183" s="49"/>
      <x:c r="AI183" s="49"/>
      <x:c r="AJ183" s="49"/>
      <x:c r="AK183" s="49"/>
      <x:c r="AL183" s="49"/>
      <x:c r="AM183" s="49"/>
      <x:c r="AN183" s="49"/>
      <x:c r="AO183" s="49"/>
      <x:c r="AP183" s="49"/>
      <x:c r="AQ183" s="49"/>
      <x:c r="AR183" s="49"/>
      <x:c r="AS183" s="49"/>
      <x:c r="AT183" s="49"/>
      <x:c r="AU183" s="49"/>
      <x:c r="AV183" s="49"/>
      <x:c r="AW183" s="49"/>
      <x:c r="AX183" s="49"/>
      <x:c r="AY183" s="49"/>
      <x:c r="AZ183" s="49"/>
    </x:row>
    <x:row r="184">
      <x:c r="A184" s="49"/>
      <x:c r="B184" s="49"/>
      <x:c r="C184" s="49"/>
      <x:c r="D184" s="49"/>
      <x:c r="E184" s="49"/>
      <x:c r="F184" s="49"/>
      <x:c r="G184" s="49"/>
      <x:c r="H184" s="49"/>
      <x:c r="I184" s="49"/>
      <x:c r="J184" s="49"/>
      <x:c r="K184" s="49"/>
      <x:c r="L184" s="49"/>
      <x:c r="M184" s="49"/>
      <x:c r="N184" s="49"/>
      <x:c r="O184" s="49"/>
      <x:c r="P184" s="49"/>
      <x:c r="Q184" s="49"/>
      <x:c r="R184" s="49"/>
      <x:c r="S184" s="49"/>
      <x:c r="T184" s="49"/>
      <x:c r="U184" s="49"/>
      <x:c r="V184" s="49"/>
      <x:c r="W184" s="49"/>
      <x:c r="X184" s="49"/>
      <x:c r="Y184" s="49"/>
      <x:c r="Z184" s="49"/>
      <x:c r="AA184" s="49"/>
      <x:c r="AB184" s="49"/>
      <x:c r="AC184" s="49"/>
      <x:c r="AD184" s="49"/>
      <x:c r="AE184" s="49"/>
      <x:c r="AF184" s="49"/>
      <x:c r="AG184" s="49"/>
      <x:c r="AH184" s="49"/>
      <x:c r="AI184" s="49"/>
      <x:c r="AJ184" s="49"/>
      <x:c r="AK184" s="49"/>
      <x:c r="AL184" s="49"/>
      <x:c r="AM184" s="49"/>
      <x:c r="AN184" s="49"/>
      <x:c r="AO184" s="49"/>
      <x:c r="AP184" s="49"/>
      <x:c r="AQ184" s="49"/>
      <x:c r="AR184" s="49"/>
      <x:c r="AS184" s="49"/>
      <x:c r="AT184" s="49"/>
      <x:c r="AU184" s="49"/>
      <x:c r="AV184" s="49"/>
      <x:c r="AW184" s="49"/>
      <x:c r="AX184" s="49"/>
      <x:c r="AY184" s="49"/>
      <x:c r="AZ184" s="49"/>
    </x:row>
    <x:row r="185">
      <x:c r="A185" s="49"/>
      <x:c r="B185" s="49"/>
      <x:c r="C185" s="49"/>
      <x:c r="D185" s="49"/>
      <x:c r="E185" s="49"/>
      <x:c r="F185" s="49"/>
      <x:c r="G185" s="49"/>
      <x:c r="H185" s="49"/>
      <x:c r="I185" s="49"/>
      <x:c r="J185" s="49"/>
      <x:c r="K185" s="49"/>
      <x:c r="L185" s="49"/>
      <x:c r="M185" s="49"/>
      <x:c r="N185" s="49"/>
      <x:c r="O185" s="49"/>
      <x:c r="P185" s="49"/>
      <x:c r="Q185" s="49"/>
      <x:c r="R185" s="49"/>
      <x:c r="S185" s="49"/>
      <x:c r="T185" s="49"/>
      <x:c r="U185" s="49"/>
      <x:c r="V185" s="49"/>
      <x:c r="W185" s="49"/>
      <x:c r="X185" s="49"/>
      <x:c r="Y185" s="49"/>
      <x:c r="Z185" s="49"/>
      <x:c r="AA185" s="49"/>
      <x:c r="AB185" s="49"/>
      <x:c r="AC185" s="49"/>
      <x:c r="AD185" s="49"/>
      <x:c r="AE185" s="49"/>
      <x:c r="AF185" s="49"/>
      <x:c r="AG185" s="49"/>
      <x:c r="AH185" s="49"/>
      <x:c r="AI185" s="49"/>
      <x:c r="AJ185" s="49"/>
      <x:c r="AK185" s="49"/>
      <x:c r="AL185" s="49"/>
      <x:c r="AM185" s="49"/>
      <x:c r="AN185" s="49"/>
      <x:c r="AO185" s="49"/>
      <x:c r="AP185" s="49"/>
      <x:c r="AQ185" s="49"/>
      <x:c r="AR185" s="49"/>
      <x:c r="AS185" s="49"/>
      <x:c r="AT185" s="49"/>
      <x:c r="AU185" s="49"/>
      <x:c r="AV185" s="49"/>
      <x:c r="AW185" s="49"/>
      <x:c r="AX185" s="49"/>
      <x:c r="AY185" s="49"/>
      <x:c r="AZ185" s="49"/>
    </x:row>
    <x:row r="186">
      <x:c r="A186" s="49"/>
      <x:c r="B186" s="49"/>
      <x:c r="C186" s="49"/>
      <x:c r="D186" s="49"/>
      <x:c r="E186" s="49"/>
      <x:c r="F186" s="49"/>
      <x:c r="G186" s="49"/>
      <x:c r="H186" s="49"/>
      <x:c r="I186" s="49"/>
      <x:c r="J186" s="49"/>
      <x:c r="K186" s="49"/>
      <x:c r="L186" s="49"/>
      <x:c r="M186" s="49"/>
      <x:c r="N186" s="49"/>
      <x:c r="O186" s="49"/>
      <x:c r="P186" s="49"/>
      <x:c r="Q186" s="49"/>
      <x:c r="R186" s="49"/>
      <x:c r="S186" s="49"/>
      <x:c r="T186" s="49"/>
      <x:c r="U186" s="49"/>
      <x:c r="V186" s="49"/>
      <x:c r="W186" s="49"/>
      <x:c r="X186" s="49"/>
      <x:c r="Y186" s="49"/>
      <x:c r="Z186" s="49"/>
      <x:c r="AA186" s="49"/>
      <x:c r="AB186" s="49"/>
      <x:c r="AC186" s="49"/>
      <x:c r="AD186" s="49"/>
      <x:c r="AE186" s="49"/>
      <x:c r="AF186" s="49"/>
      <x:c r="AG186" s="49"/>
      <x:c r="AH186" s="49"/>
      <x:c r="AI186" s="49"/>
      <x:c r="AJ186" s="49"/>
      <x:c r="AK186" s="49"/>
      <x:c r="AL186" s="49"/>
      <x:c r="AM186" s="49"/>
      <x:c r="AN186" s="49"/>
      <x:c r="AO186" s="49"/>
      <x:c r="AP186" s="49"/>
      <x:c r="AQ186" s="49"/>
      <x:c r="AR186" s="49"/>
      <x:c r="AS186" s="49"/>
      <x:c r="AT186" s="49"/>
      <x:c r="AU186" s="49"/>
      <x:c r="AV186" s="49"/>
      <x:c r="AW186" s="49"/>
      <x:c r="AX186" s="49"/>
      <x:c r="AY186" s="49"/>
      <x:c r="AZ186" s="49"/>
    </x:row>
    <x:row r="187">
      <x:c r="A187" s="49"/>
      <x:c r="B187" s="49"/>
      <x:c r="C187" s="49"/>
      <x:c r="D187" s="49"/>
      <x:c r="E187" s="49"/>
      <x:c r="F187" s="49"/>
      <x:c r="G187" s="49"/>
      <x:c r="H187" s="49"/>
      <x:c r="I187" s="49"/>
      <x:c r="J187" s="49"/>
      <x:c r="K187" s="49"/>
      <x:c r="L187" s="49"/>
      <x:c r="M187" s="49"/>
      <x:c r="N187" s="49"/>
      <x:c r="O187" s="49"/>
      <x:c r="P187" s="49"/>
      <x:c r="Q187" s="49"/>
      <x:c r="R187" s="49"/>
      <x:c r="S187" s="49"/>
      <x:c r="T187" s="49"/>
      <x:c r="U187" s="49"/>
      <x:c r="V187" s="49"/>
      <x:c r="W187" s="49"/>
      <x:c r="X187" s="49"/>
      <x:c r="Y187" s="49"/>
      <x:c r="Z187" s="49"/>
      <x:c r="AA187" s="49"/>
      <x:c r="AB187" s="49"/>
      <x:c r="AC187" s="49"/>
      <x:c r="AD187" s="49"/>
      <x:c r="AE187" s="49"/>
      <x:c r="AF187" s="49"/>
      <x:c r="AG187" s="49"/>
      <x:c r="AH187" s="49"/>
      <x:c r="AI187" s="49"/>
      <x:c r="AJ187" s="49"/>
      <x:c r="AK187" s="49"/>
      <x:c r="AL187" s="49"/>
      <x:c r="AM187" s="49"/>
      <x:c r="AN187" s="49"/>
      <x:c r="AO187" s="49"/>
      <x:c r="AP187" s="49"/>
      <x:c r="AQ187" s="49"/>
      <x:c r="AR187" s="49"/>
      <x:c r="AS187" s="49"/>
      <x:c r="AT187" s="49"/>
      <x:c r="AU187" s="49"/>
      <x:c r="AV187" s="49"/>
      <x:c r="AW187" s="49"/>
      <x:c r="AX187" s="49"/>
      <x:c r="AY187" s="49"/>
      <x:c r="AZ187" s="49"/>
    </x:row>
    <x:row r="188">
      <x:c r="A188" s="49"/>
      <x:c r="B188" s="49"/>
      <x:c r="C188" s="49"/>
      <x:c r="D188" s="49"/>
      <x:c r="E188" s="49"/>
      <x:c r="F188" s="49"/>
      <x:c r="G188" s="49"/>
      <x:c r="H188" s="49"/>
      <x:c r="I188" s="49"/>
      <x:c r="J188" s="49"/>
      <x:c r="K188" s="49"/>
      <x:c r="L188" s="49"/>
      <x:c r="M188" s="49"/>
      <x:c r="N188" s="49"/>
      <x:c r="O188" s="49"/>
      <x:c r="P188" s="49"/>
      <x:c r="Q188" s="49"/>
      <x:c r="R188" s="49"/>
      <x:c r="S188" s="49"/>
      <x:c r="T188" s="49"/>
      <x:c r="U188" s="49"/>
      <x:c r="V188" s="49"/>
      <x:c r="W188" s="49"/>
      <x:c r="X188" s="49"/>
      <x:c r="Y188" s="49"/>
      <x:c r="Z188" s="49"/>
      <x:c r="AA188" s="49"/>
      <x:c r="AB188" s="49"/>
      <x:c r="AC188" s="49"/>
      <x:c r="AD188" s="49"/>
      <x:c r="AE188" s="49"/>
      <x:c r="AF188" s="49"/>
      <x:c r="AG188" s="49"/>
      <x:c r="AH188" s="49"/>
      <x:c r="AI188" s="49"/>
      <x:c r="AJ188" s="49"/>
      <x:c r="AK188" s="49"/>
      <x:c r="AL188" s="49"/>
      <x:c r="AM188" s="49"/>
      <x:c r="AN188" s="49"/>
      <x:c r="AO188" s="49"/>
      <x:c r="AP188" s="49"/>
      <x:c r="AQ188" s="49"/>
      <x:c r="AR188" s="49"/>
      <x:c r="AS188" s="49"/>
      <x:c r="AT188" s="49"/>
      <x:c r="AU188" s="49"/>
      <x:c r="AV188" s="49"/>
      <x:c r="AW188" s="49"/>
      <x:c r="AX188" s="49"/>
      <x:c r="AY188" s="49"/>
      <x:c r="AZ188" s="49"/>
    </x:row>
    <x:row r="189">
      <x:c r="A189" s="49"/>
      <x:c r="B189" s="49"/>
      <x:c r="C189" s="49"/>
      <x:c r="D189" s="49"/>
      <x:c r="E189" s="49"/>
      <x:c r="F189" s="49"/>
      <x:c r="G189" s="49"/>
      <x:c r="H189" s="49"/>
      <x:c r="I189" s="49"/>
      <x:c r="J189" s="49"/>
      <x:c r="K189" s="49"/>
      <x:c r="L189" s="49"/>
      <x:c r="M189" s="49"/>
      <x:c r="N189" s="49"/>
      <x:c r="O189" s="49"/>
      <x:c r="P189" s="49"/>
      <x:c r="Q189" s="49"/>
      <x:c r="R189" s="49"/>
      <x:c r="S189" s="49"/>
      <x:c r="T189" s="49"/>
      <x:c r="U189" s="49"/>
      <x:c r="V189" s="49"/>
      <x:c r="W189" s="49"/>
      <x:c r="X189" s="49"/>
      <x:c r="Y189" s="49"/>
      <x:c r="Z189" s="49"/>
      <x:c r="AA189" s="49"/>
      <x:c r="AB189" s="49"/>
      <x:c r="AC189" s="49"/>
      <x:c r="AD189" s="49"/>
      <x:c r="AE189" s="49"/>
      <x:c r="AF189" s="49"/>
      <x:c r="AG189" s="49"/>
      <x:c r="AH189" s="49"/>
      <x:c r="AI189" s="49"/>
      <x:c r="AJ189" s="49"/>
      <x:c r="AK189" s="49"/>
      <x:c r="AL189" s="49"/>
      <x:c r="AM189" s="49"/>
      <x:c r="AN189" s="49"/>
      <x:c r="AO189" s="49"/>
      <x:c r="AP189" s="49"/>
      <x:c r="AQ189" s="49"/>
      <x:c r="AR189" s="49"/>
      <x:c r="AS189" s="49"/>
      <x:c r="AT189" s="49"/>
      <x:c r="AU189" s="49"/>
      <x:c r="AV189" s="49"/>
      <x:c r="AW189" s="49"/>
      <x:c r="AX189" s="49"/>
      <x:c r="AY189" s="49"/>
      <x:c r="AZ189" s="49"/>
    </x:row>
    <x:row r="190">
      <x:c r="A190" s="49"/>
      <x:c r="B190" s="49"/>
      <x:c r="C190" s="49"/>
      <x:c r="D190" s="49"/>
      <x:c r="E190" s="49"/>
      <x:c r="F190" s="49"/>
      <x:c r="G190" s="49"/>
      <x:c r="H190" s="49"/>
      <x:c r="I190" s="49"/>
      <x:c r="J190" s="49"/>
      <x:c r="K190" s="49"/>
      <x:c r="L190" s="49"/>
      <x:c r="M190" s="49"/>
      <x:c r="N190" s="49"/>
      <x:c r="O190" s="49"/>
      <x:c r="P190" s="49"/>
      <x:c r="Q190" s="49"/>
      <x:c r="R190" s="49"/>
      <x:c r="S190" s="49"/>
      <x:c r="T190" s="49"/>
      <x:c r="U190" s="49"/>
      <x:c r="V190" s="49"/>
      <x:c r="W190" s="49"/>
      <x:c r="X190" s="49"/>
      <x:c r="Y190" s="49"/>
      <x:c r="Z190" s="49"/>
      <x:c r="AA190" s="49"/>
      <x:c r="AB190" s="49"/>
      <x:c r="AC190" s="49"/>
      <x:c r="AD190" s="49"/>
      <x:c r="AE190" s="49"/>
      <x:c r="AF190" s="49"/>
      <x:c r="AG190" s="49"/>
      <x:c r="AH190" s="49"/>
      <x:c r="AI190" s="49"/>
      <x:c r="AJ190" s="49"/>
      <x:c r="AK190" s="49"/>
      <x:c r="AL190" s="49"/>
      <x:c r="AM190" s="49"/>
      <x:c r="AN190" s="49"/>
      <x:c r="AO190" s="49"/>
      <x:c r="AP190" s="49"/>
      <x:c r="AQ190" s="49"/>
      <x:c r="AR190" s="49"/>
      <x:c r="AS190" s="49"/>
      <x:c r="AT190" s="49"/>
      <x:c r="AU190" s="49"/>
      <x:c r="AV190" s="49"/>
      <x:c r="AW190" s="49"/>
      <x:c r="AX190" s="49"/>
      <x:c r="AY190" s="49"/>
      <x:c r="AZ190" s="49"/>
    </x:row>
    <x:row r="191">
      <x:c r="A191" s="49"/>
      <x:c r="B191" s="49"/>
      <x:c r="C191" s="49"/>
      <x:c r="D191" s="49"/>
      <x:c r="E191" s="49"/>
      <x:c r="F191" s="49"/>
      <x:c r="G191" s="49"/>
      <x:c r="H191" s="49"/>
      <x:c r="I191" s="49"/>
      <x:c r="J191" s="49"/>
      <x:c r="K191" s="49"/>
      <x:c r="L191" s="49"/>
      <x:c r="M191" s="49"/>
      <x:c r="N191" s="49"/>
      <x:c r="O191" s="49"/>
      <x:c r="P191" s="49"/>
      <x:c r="Q191" s="49"/>
      <x:c r="R191" s="49"/>
      <x:c r="S191" s="49"/>
      <x:c r="T191" s="49"/>
      <x:c r="U191" s="49"/>
      <x:c r="V191" s="49"/>
      <x:c r="W191" s="49"/>
      <x:c r="X191" s="49"/>
      <x:c r="Y191" s="49"/>
      <x:c r="Z191" s="49"/>
      <x:c r="AA191" s="49"/>
      <x:c r="AB191" s="49"/>
      <x:c r="AC191" s="49"/>
      <x:c r="AD191" s="49"/>
      <x:c r="AE191" s="49"/>
      <x:c r="AF191" s="49"/>
      <x:c r="AG191" s="49"/>
      <x:c r="AH191" s="49"/>
      <x:c r="AI191" s="49"/>
      <x:c r="AJ191" s="49"/>
      <x:c r="AK191" s="49"/>
      <x:c r="AL191" s="49"/>
      <x:c r="AM191" s="49"/>
      <x:c r="AN191" s="49"/>
      <x:c r="AO191" s="49"/>
      <x:c r="AP191" s="49"/>
      <x:c r="AQ191" s="49"/>
      <x:c r="AR191" s="49"/>
      <x:c r="AS191" s="49"/>
      <x:c r="AT191" s="49"/>
      <x:c r="AU191" s="49"/>
      <x:c r="AV191" s="49"/>
      <x:c r="AW191" s="49"/>
      <x:c r="AX191" s="49"/>
      <x:c r="AY191" s="49"/>
      <x:c r="AZ191" s="49"/>
    </x:row>
    <x:row r="192">
      <x:c r="A192" s="49"/>
      <x:c r="B192" s="49"/>
      <x:c r="C192" s="49"/>
      <x:c r="D192" s="49"/>
      <x:c r="E192" s="49"/>
      <x:c r="F192" s="49"/>
      <x:c r="G192" s="49"/>
      <x:c r="H192" s="49"/>
      <x:c r="I192" s="49"/>
      <x:c r="J192" s="49"/>
      <x:c r="K192" s="49"/>
      <x:c r="L192" s="49"/>
      <x:c r="M192" s="49"/>
      <x:c r="N192" s="49"/>
      <x:c r="O192" s="49"/>
      <x:c r="P192" s="49"/>
      <x:c r="Q192" s="49"/>
      <x:c r="R192" s="49"/>
      <x:c r="S192" s="49"/>
      <x:c r="T192" s="49"/>
      <x:c r="U192" s="49"/>
      <x:c r="V192" s="49"/>
      <x:c r="W192" s="49"/>
      <x:c r="X192" s="49"/>
      <x:c r="Y192" s="49"/>
      <x:c r="Z192" s="49"/>
      <x:c r="AA192" s="49"/>
      <x:c r="AB192" s="49"/>
      <x:c r="AC192" s="49"/>
      <x:c r="AD192" s="49"/>
      <x:c r="AE192" s="49"/>
      <x:c r="AF192" s="49"/>
      <x:c r="AG192" s="49"/>
      <x:c r="AH192" s="49"/>
      <x:c r="AI192" s="49"/>
      <x:c r="AJ192" s="49"/>
      <x:c r="AK192" s="49"/>
      <x:c r="AL192" s="49"/>
      <x:c r="AM192" s="49"/>
      <x:c r="AN192" s="49"/>
      <x:c r="AO192" s="49"/>
      <x:c r="AP192" s="49"/>
      <x:c r="AQ192" s="49"/>
      <x:c r="AR192" s="49"/>
      <x:c r="AS192" s="49"/>
      <x:c r="AT192" s="49"/>
      <x:c r="AU192" s="49"/>
      <x:c r="AV192" s="49"/>
      <x:c r="AW192" s="49"/>
      <x:c r="AX192" s="49"/>
      <x:c r="AY192" s="49"/>
      <x:c r="AZ192" s="49"/>
    </x:row>
    <x:row r="193">
      <x:c r="A193" s="49"/>
      <x:c r="B193" s="49"/>
      <x:c r="C193" s="49"/>
      <x:c r="D193" s="49"/>
      <x:c r="E193" s="49"/>
      <x:c r="F193" s="49"/>
      <x:c r="G193" s="49"/>
      <x:c r="H193" s="49"/>
      <x:c r="I193" s="49"/>
      <x:c r="J193" s="49"/>
      <x:c r="K193" s="49"/>
      <x:c r="L193" s="49"/>
      <x:c r="M193" s="49"/>
      <x:c r="N193" s="49"/>
      <x:c r="O193" s="49"/>
      <x:c r="P193" s="49"/>
      <x:c r="Q193" s="49"/>
      <x:c r="R193" s="49"/>
      <x:c r="S193" s="49"/>
      <x:c r="T193" s="49"/>
      <x:c r="U193" s="49"/>
      <x:c r="V193" s="49"/>
      <x:c r="W193" s="49"/>
      <x:c r="X193" s="49"/>
      <x:c r="Y193" s="49"/>
      <x:c r="Z193" s="49"/>
      <x:c r="AA193" s="49"/>
      <x:c r="AB193" s="49"/>
      <x:c r="AC193" s="49"/>
      <x:c r="AD193" s="49"/>
      <x:c r="AE193" s="49"/>
      <x:c r="AF193" s="49"/>
      <x:c r="AG193" s="49"/>
      <x:c r="AH193" s="49"/>
      <x:c r="AI193" s="49"/>
      <x:c r="AJ193" s="49"/>
      <x:c r="AK193" s="49"/>
      <x:c r="AL193" s="49"/>
      <x:c r="AM193" s="49"/>
      <x:c r="AN193" s="49"/>
      <x:c r="AO193" s="49"/>
      <x:c r="AP193" s="49"/>
      <x:c r="AQ193" s="49"/>
      <x:c r="AR193" s="49"/>
      <x:c r="AS193" s="49"/>
      <x:c r="AT193" s="49"/>
      <x:c r="AU193" s="49"/>
      <x:c r="AV193" s="49"/>
      <x:c r="AW193" s="49"/>
      <x:c r="AX193" s="49"/>
      <x:c r="AY193" s="49"/>
      <x:c r="AZ193" s="49"/>
    </x:row>
    <x:row r="194">
      <x:c r="A194" s="49"/>
      <x:c r="B194" s="49"/>
      <x:c r="C194" s="49"/>
      <x:c r="D194" s="49"/>
      <x:c r="E194" s="49"/>
      <x:c r="F194" s="49"/>
      <x:c r="G194" s="49"/>
      <x:c r="H194" s="49"/>
      <x:c r="I194" s="49"/>
      <x:c r="J194" s="49"/>
      <x:c r="K194" s="49"/>
      <x:c r="L194" s="49"/>
      <x:c r="M194" s="49"/>
      <x:c r="N194" s="49"/>
      <x:c r="O194" s="49"/>
      <x:c r="P194" s="49"/>
      <x:c r="Q194" s="49"/>
      <x:c r="R194" s="49"/>
      <x:c r="S194" s="49"/>
      <x:c r="T194" s="49"/>
      <x:c r="U194" s="49"/>
      <x:c r="V194" s="49"/>
      <x:c r="W194" s="49"/>
      <x:c r="X194" s="49"/>
      <x:c r="Y194" s="49"/>
      <x:c r="Z194" s="49"/>
      <x:c r="AA194" s="49"/>
      <x:c r="AB194" s="49"/>
      <x:c r="AC194" s="49"/>
      <x:c r="AD194" s="49"/>
      <x:c r="AE194" s="49"/>
      <x:c r="AF194" s="49"/>
      <x:c r="AG194" s="49"/>
      <x:c r="AH194" s="49"/>
      <x:c r="AI194" s="49"/>
      <x:c r="AJ194" s="49"/>
      <x:c r="AK194" s="49"/>
      <x:c r="AL194" s="49"/>
      <x:c r="AM194" s="49"/>
      <x:c r="AN194" s="49"/>
      <x:c r="AO194" s="49"/>
      <x:c r="AP194" s="49"/>
      <x:c r="AQ194" s="49"/>
      <x:c r="AR194" s="49"/>
      <x:c r="AS194" s="49"/>
      <x:c r="AT194" s="49"/>
      <x:c r="AU194" s="49"/>
      <x:c r="AV194" s="49"/>
      <x:c r="AW194" s="49"/>
      <x:c r="AX194" s="49"/>
      <x:c r="AY194" s="49"/>
      <x:c r="AZ194" s="49"/>
    </x:row>
    <x:row r="195">
      <x:c r="A195" s="49"/>
      <x:c r="B195" s="49"/>
      <x:c r="C195" s="49"/>
      <x:c r="D195" s="49"/>
      <x:c r="E195" s="49"/>
      <x:c r="F195" s="49"/>
      <x:c r="G195" s="49"/>
      <x:c r="H195" s="49"/>
      <x:c r="I195" s="49"/>
      <x:c r="J195" s="49"/>
      <x:c r="K195" s="49"/>
      <x:c r="L195" s="49"/>
      <x:c r="M195" s="49"/>
      <x:c r="N195" s="49"/>
      <x:c r="O195" s="49"/>
      <x:c r="P195" s="49"/>
      <x:c r="Q195" s="49"/>
      <x:c r="R195" s="49"/>
      <x:c r="S195" s="49"/>
      <x:c r="T195" s="49"/>
      <x:c r="U195" s="49"/>
      <x:c r="V195" s="49"/>
      <x:c r="W195" s="49"/>
      <x:c r="X195" s="49"/>
      <x:c r="Y195" s="49"/>
      <x:c r="Z195" s="49"/>
      <x:c r="AA195" s="49"/>
      <x:c r="AB195" s="49"/>
      <x:c r="AC195" s="49"/>
      <x:c r="AD195" s="49"/>
      <x:c r="AE195" s="49"/>
      <x:c r="AF195" s="49"/>
      <x:c r="AG195" s="49"/>
      <x:c r="AH195" s="49"/>
      <x:c r="AI195" s="49"/>
      <x:c r="AJ195" s="49"/>
      <x:c r="AK195" s="49"/>
      <x:c r="AL195" s="49"/>
      <x:c r="AM195" s="49"/>
      <x:c r="AN195" s="49"/>
      <x:c r="AO195" s="49"/>
      <x:c r="AP195" s="49"/>
      <x:c r="AQ195" s="49"/>
      <x:c r="AR195" s="49"/>
      <x:c r="AS195" s="49"/>
      <x:c r="AT195" s="49"/>
      <x:c r="AU195" s="49"/>
      <x:c r="AV195" s="49"/>
      <x:c r="AW195" s="49"/>
      <x:c r="AX195" s="49"/>
      <x:c r="AY195" s="49"/>
      <x:c r="AZ195" s="49"/>
    </x:row>
    <x:row r="196">
      <x:c r="A196" s="49"/>
      <x:c r="B196" s="49"/>
      <x:c r="C196" s="49"/>
      <x:c r="D196" s="49"/>
      <x:c r="E196" s="49"/>
      <x:c r="F196" s="49"/>
      <x:c r="G196" s="49"/>
      <x:c r="H196" s="49"/>
      <x:c r="I196" s="49"/>
      <x:c r="J196" s="49"/>
      <x:c r="K196" s="49"/>
      <x:c r="L196" s="49"/>
      <x:c r="M196" s="49"/>
      <x:c r="N196" s="49"/>
      <x:c r="O196" s="49"/>
      <x:c r="P196" s="49"/>
      <x:c r="Q196" s="49"/>
      <x:c r="R196" s="49"/>
      <x:c r="S196" s="49"/>
      <x:c r="T196" s="49"/>
      <x:c r="U196" s="49"/>
      <x:c r="V196" s="49"/>
      <x:c r="W196" s="49"/>
      <x:c r="X196" s="49"/>
      <x:c r="Y196" s="49"/>
      <x:c r="Z196" s="49"/>
      <x:c r="AA196" s="49"/>
      <x:c r="AB196" s="49"/>
      <x:c r="AC196" s="49"/>
      <x:c r="AD196" s="49"/>
      <x:c r="AE196" s="49"/>
      <x:c r="AF196" s="49"/>
      <x:c r="AG196" s="49"/>
      <x:c r="AH196" s="49"/>
      <x:c r="AI196" s="49"/>
      <x:c r="AJ196" s="49"/>
      <x:c r="AK196" s="49"/>
      <x:c r="AL196" s="49"/>
      <x:c r="AM196" s="49"/>
      <x:c r="AN196" s="49"/>
      <x:c r="AO196" s="49"/>
      <x:c r="AP196" s="49"/>
      <x:c r="AQ196" s="49"/>
      <x:c r="AR196" s="49"/>
      <x:c r="AS196" s="49"/>
      <x:c r="AT196" s="49"/>
      <x:c r="AU196" s="49"/>
      <x:c r="AV196" s="49"/>
      <x:c r="AW196" s="49"/>
      <x:c r="AX196" s="49"/>
      <x:c r="AY196" s="49"/>
      <x:c r="AZ196" s="49"/>
    </x:row>
    <x:row r="197">
      <x:c r="A197" s="49"/>
      <x:c r="B197" s="49"/>
      <x:c r="C197" s="49"/>
      <x:c r="D197" s="49"/>
      <x:c r="E197" s="49"/>
      <x:c r="F197" s="49"/>
      <x:c r="G197" s="49"/>
      <x:c r="H197" s="49"/>
      <x:c r="I197" s="49"/>
      <x:c r="J197" s="49"/>
      <x:c r="K197" s="49"/>
      <x:c r="L197" s="49"/>
      <x:c r="M197" s="49"/>
      <x:c r="N197" s="49"/>
      <x:c r="O197" s="49"/>
      <x:c r="P197" s="49"/>
      <x:c r="Q197" s="49"/>
      <x:c r="R197" s="49"/>
      <x:c r="S197" s="49"/>
      <x:c r="T197" s="49"/>
      <x:c r="U197" s="49"/>
      <x:c r="V197" s="49"/>
      <x:c r="W197" s="49"/>
      <x:c r="X197" s="49"/>
      <x:c r="Y197" s="49"/>
      <x:c r="Z197" s="49"/>
      <x:c r="AA197" s="49"/>
      <x:c r="AB197" s="49"/>
      <x:c r="AC197" s="49"/>
      <x:c r="AD197" s="49"/>
      <x:c r="AE197" s="49"/>
      <x:c r="AF197" s="49"/>
      <x:c r="AG197" s="49"/>
      <x:c r="AH197" s="49"/>
      <x:c r="AI197" s="49"/>
      <x:c r="AJ197" s="49"/>
      <x:c r="AK197" s="49"/>
      <x:c r="AL197" s="49"/>
      <x:c r="AM197" s="49"/>
      <x:c r="AN197" s="49"/>
      <x:c r="AO197" s="49"/>
      <x:c r="AP197" s="49"/>
      <x:c r="AQ197" s="49"/>
      <x:c r="AR197" s="49"/>
      <x:c r="AS197" s="49"/>
      <x:c r="AT197" s="49"/>
      <x:c r="AU197" s="49"/>
      <x:c r="AV197" s="49"/>
      <x:c r="AW197" s="49"/>
      <x:c r="AX197" s="49"/>
      <x:c r="AY197" s="49"/>
      <x:c r="AZ197" s="49"/>
    </x:row>
    <x:row r="198">
      <x:c r="A198" s="49"/>
      <x:c r="B198" s="49"/>
      <x:c r="C198" s="49"/>
      <x:c r="D198" s="49"/>
      <x:c r="E198" s="49"/>
      <x:c r="F198" s="49"/>
      <x:c r="G198" s="49"/>
      <x:c r="H198" s="49"/>
      <x:c r="I198" s="49"/>
      <x:c r="J198" s="49"/>
      <x:c r="K198" s="49"/>
      <x:c r="L198" s="49"/>
      <x:c r="M198" s="49"/>
      <x:c r="N198" s="49"/>
      <x:c r="O198" s="49"/>
      <x:c r="P198" s="49"/>
      <x:c r="Q198" s="49"/>
      <x:c r="R198" s="49"/>
      <x:c r="S198" s="49"/>
      <x:c r="T198" s="49"/>
      <x:c r="U198" s="49"/>
      <x:c r="V198" s="49"/>
      <x:c r="W198" s="49"/>
      <x:c r="X198" s="49"/>
      <x:c r="Y198" s="49"/>
      <x:c r="Z198" s="49"/>
      <x:c r="AA198" s="49"/>
      <x:c r="AB198" s="49"/>
      <x:c r="AC198" s="49"/>
      <x:c r="AD198" s="49"/>
      <x:c r="AE198" s="49"/>
      <x:c r="AF198" s="49"/>
      <x:c r="AG198" s="49"/>
      <x:c r="AH198" s="49"/>
      <x:c r="AI198" s="49"/>
      <x:c r="AJ198" s="49"/>
      <x:c r="AK198" s="49"/>
      <x:c r="AL198" s="49"/>
      <x:c r="AM198" s="49"/>
      <x:c r="AN198" s="49"/>
      <x:c r="AO198" s="49"/>
      <x:c r="AP198" s="49"/>
      <x:c r="AQ198" s="49"/>
      <x:c r="AR198" s="49"/>
      <x:c r="AS198" s="49"/>
      <x:c r="AT198" s="49"/>
      <x:c r="AU198" s="49"/>
      <x:c r="AV198" s="49"/>
      <x:c r="AW198" s="49"/>
      <x:c r="AX198" s="49"/>
      <x:c r="AY198" s="49"/>
      <x:c r="AZ198" s="49"/>
    </x:row>
    <x:row r="199">
      <x:c r="A199" s="49"/>
      <x:c r="B199" s="49"/>
      <x:c r="C199" s="49"/>
      <x:c r="D199" s="49"/>
      <x:c r="E199" s="49"/>
      <x:c r="F199" s="49"/>
      <x:c r="G199" s="49"/>
      <x:c r="H199" s="49"/>
      <x:c r="I199" s="49"/>
      <x:c r="J199" s="49"/>
      <x:c r="K199" s="49"/>
      <x:c r="L199" s="49"/>
      <x:c r="M199" s="49"/>
      <x:c r="N199" s="49"/>
      <x:c r="O199" s="49"/>
      <x:c r="P199" s="49"/>
      <x:c r="Q199" s="49"/>
      <x:c r="R199" s="49"/>
      <x:c r="S199" s="49"/>
      <x:c r="T199" s="49"/>
      <x:c r="U199" s="49"/>
      <x:c r="V199" s="49"/>
      <x:c r="W199" s="49"/>
      <x:c r="X199" s="49"/>
      <x:c r="Y199" s="49"/>
      <x:c r="Z199" s="49"/>
      <x:c r="AA199" s="49"/>
      <x:c r="AB199" s="49"/>
      <x:c r="AC199" s="49"/>
      <x:c r="AD199" s="49"/>
      <x:c r="AE199" s="49"/>
      <x:c r="AF199" s="49"/>
      <x:c r="AG199" s="49"/>
      <x:c r="AH199" s="49"/>
      <x:c r="AI199" s="49"/>
      <x:c r="AJ199" s="49"/>
      <x:c r="AK199" s="49"/>
      <x:c r="AL199" s="49"/>
      <x:c r="AM199" s="49"/>
      <x:c r="AN199" s="49"/>
      <x:c r="AO199" s="49"/>
      <x:c r="AP199" s="49"/>
      <x:c r="AQ199" s="49"/>
      <x:c r="AR199" s="49"/>
      <x:c r="AS199" s="49"/>
      <x:c r="AT199" s="49"/>
      <x:c r="AU199" s="49"/>
      <x:c r="AV199" s="49"/>
      <x:c r="AW199" s="49"/>
      <x:c r="AX199" s="49"/>
      <x:c r="AY199" s="49"/>
      <x:c r="AZ199" s="49"/>
    </x:row>
    <x:row r="200">
      <x:c r="A200" s="49"/>
      <x:c r="B200" s="49"/>
      <x:c r="C200" s="49"/>
      <x:c r="D200" s="49"/>
      <x:c r="E200" s="49"/>
      <x:c r="F200" s="49"/>
      <x:c r="G200" s="49"/>
      <x:c r="H200" s="49"/>
      <x:c r="I200" s="49"/>
      <x:c r="J200" s="49"/>
      <x:c r="K200" s="49"/>
      <x:c r="L200" s="49"/>
      <x:c r="M200" s="49"/>
      <x:c r="N200" s="49"/>
      <x:c r="O200" s="49"/>
      <x:c r="P200" s="49"/>
      <x:c r="Q200" s="49"/>
      <x:c r="R200" s="49"/>
      <x:c r="S200" s="49"/>
      <x:c r="T200" s="49"/>
      <x:c r="U200" s="49"/>
      <x:c r="V200" s="49"/>
      <x:c r="W200" s="49"/>
      <x:c r="X200" s="49"/>
      <x:c r="Y200" s="49"/>
      <x:c r="Z200" s="49"/>
      <x:c r="AA200" s="49"/>
      <x:c r="AB200" s="49"/>
      <x:c r="AC200" s="49"/>
      <x:c r="AD200" s="49"/>
      <x:c r="AE200" s="49"/>
      <x:c r="AF200" s="49"/>
      <x:c r="AG200" s="49"/>
      <x:c r="AH200" s="49"/>
      <x:c r="AI200" s="49"/>
      <x:c r="AJ200" s="49"/>
      <x:c r="AK200" s="49"/>
      <x:c r="AL200" s="49"/>
      <x:c r="AM200" s="49"/>
      <x:c r="AN200" s="49"/>
      <x:c r="AO200" s="49"/>
      <x:c r="AP200" s="49"/>
      <x:c r="AQ200" s="49"/>
      <x:c r="AR200" s="49"/>
      <x:c r="AS200" s="49"/>
      <x:c r="AT200" s="49"/>
      <x:c r="AU200" s="49"/>
      <x:c r="AV200" s="49"/>
      <x:c r="AW200" s="49"/>
      <x:c r="AX200" s="49"/>
      <x:c r="AY200" s="49"/>
      <x:c r="AZ200" s="49"/>
    </x:row>
  </x:sheetData>
  <x:mergeCells>
    <x:mergeCell ref="A1:P1"/>
    <x:mergeCell ref="A2:P3"/>
    <x:mergeCell ref="A5:H5"/>
    <x:mergeCell ref="A22:H22"/>
  </x:mergeCells>
  <x:conditionalFormatting sqref="F12:F19">
    <x:cfRule type="colorScale" priority="2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conditionalFormatting sqref="D12:D19">
    <x:cfRule type="cellIs" dxfId="2" priority="3" operator="lessThan">
      <x:formula>0.999999</x:formula>
    </x:cfRule>
    <x:cfRule type="cellIs" dxfId="3" priority="4" operator="greaterThanOrEqual">
      <x:formula>0.999999</x:formula>
    </x:cfRule>
  </x:conditionalFormatting>
  <x:pageMargins left="0.7" right="0.7" top="0.75" bottom="0.75" header="0.3" footer="0.3"/>
  <x:drawing xmlns:r="http://schemas.openxmlformats.org/officeDocument/2006/relationships" r:id="Re97d9310b6f54d22"/>
</x:worksheet>
</file>